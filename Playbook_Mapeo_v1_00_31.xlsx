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nicopizarro/Downloads/"/>
    </mc:Choice>
  </mc:AlternateContent>
  <xr:revisionPtr revIDLastSave="0" documentId="13_ncr:1_{5A37BBAE-4634-534D-96A9-F3154AC5D690}" xr6:coauthVersionLast="47" xr6:coauthVersionMax="47" xr10:uidLastSave="{00000000-0000-0000-0000-000000000000}"/>
  <bookViews>
    <workbookView xWindow="0" yWindow="660" windowWidth="30240" windowHeight="17260" tabRatio="500" activeTab="6" xr2:uid="{00000000-000D-0000-FFFF-FFFF00000000}"/>
  </bookViews>
  <sheets>
    <sheet name="DASHBOARD" sheetId="1" r:id="rId1"/>
    <sheet name="PIEDRAS ANGULARES" sheetId="2" r:id="rId2"/>
    <sheet name="DICCIONARIO" sheetId="8" r:id="rId3"/>
    <sheet name="UNIVERSO MAESTRO" sheetId="3" r:id="rId4"/>
    <sheet name="MAPA DE CONEXIONES" sheetId="4" r:id="rId5"/>
    <sheet name="POI MAESTRO" sheetId="5" r:id="rId6"/>
    <sheet name="AMPLITUD FUNCIONAL" sheetId="6" r:id="rId7"/>
    <sheet name="CLUSTERS EJECUTIVOS" sheetId="7" r:id="rId8"/>
    <sheet name="REGLAS METODOLÓGICAS" sheetId="9" r:id="rId9"/>
    <sheet name="CHANGELOG" sheetId="10" r:id="rId10"/>
    <sheet name="_LISTAS" sheetId="11" state="hidden" r:id="rId11"/>
    <sheet name="_PENDIENTES" sheetId="12" state="hidden" r:id="rId12"/>
    <sheet name="FICHAS_V1" sheetId="13" r:id="rId13"/>
    <sheet name="FICHAS_V2" sheetId="14" r:id="rId14"/>
    <sheet name="FICHAS_V3" sheetId="15" r:id="rId15"/>
    <sheet name="FICHAS_V4" sheetId="16" r:id="rId16"/>
    <sheet name="FICHAS_V5" sheetId="17" r:id="rId17"/>
    <sheet name="FICHAS_V6" sheetId="18" r:id="rId18"/>
    <sheet name="FICHAS_V7" sheetId="19" r:id="rId19"/>
    <sheet name="FICHAS_V8" sheetId="20" r:id="rId20"/>
    <sheet name="FICHAS_V9" sheetId="21" r:id="rId21"/>
    <sheet name="_DASH_DATA" sheetId="22" r:id="rId22"/>
  </sheets>
  <definedNames>
    <definedName name="_xlnm._FilterDatabase" localSheetId="6" hidden="1">'AMPLITUD FUNCIONAL'!$A$7:$AW$7</definedName>
    <definedName name="_xlnm._FilterDatabase" localSheetId="4" hidden="1">'MAPA DE CONEXIONES'!$A$5:$O$5</definedName>
    <definedName name="_xlnm._FilterDatabase" localSheetId="5" hidden="1">'POI MAESTRO'!$A$5:$K$347</definedName>
    <definedName name="_xlnm._FilterDatabase" localSheetId="3" hidden="1">'UNIVERSO MAESTRO'!$A$5:$T$490</definedName>
    <definedName name="L_CATEGORIAS">_LISTAS!$D$4:$D$12</definedName>
    <definedName name="L_CERTEZA">_LISTAS!$L$4:$L$6</definedName>
    <definedName name="L_DIRECCION">_LISTAS!$P$4:$P$6</definedName>
    <definedName name="L_ESTADO">_LISTAS!$E$4:$E$6</definedName>
    <definedName name="L_FUNCION">_LISTAS!$J$4:$J$12</definedName>
    <definedName name="L_HOJAS">_LISTAS!$A$4:$A$15</definedName>
    <definedName name="L_NIVEL_REL">_LISTAS!$O$4:$O$6</definedName>
    <definedName name="L_OBLIGATORIO">_LISTAS!$C$4:$C$6</definedName>
    <definedName name="L_PAIS">_LISTAS!$I$4:$I$15</definedName>
    <definedName name="L_SEGMENTO">_LISTAS!$K$4:$K$12</definedName>
    <definedName name="L_SPN">_LISTAS!$R$4:$R$6</definedName>
    <definedName name="L_TIER">_LISTAS!$H$4:$H$6</definedName>
    <definedName name="L_TIPO_ACTOR">_LISTAS!$M$4:$M$36</definedName>
    <definedName name="L_TIPO_CAMBIO">_LISTAS!$F$4:$F$14</definedName>
    <definedName name="L_TIPO_RELACION">_LISTAS!$N$4:$N$12</definedName>
    <definedName name="L_TIPOS_DATO">_LISTAS!$B$4:$B$9</definedName>
    <definedName name="L_VERTICAL">_LISTAS!$G$4:$G$12</definedName>
    <definedName name="L_VIS_POI">_LISTAS!$Q$4:$Q$6</definedName>
    <definedName name="_xlnm.Print_Area" localSheetId="0">DASHBOARD!$A$1:$L$65</definedName>
    <definedName name="_xlnm.Print_Area" localSheetId="1">'PIEDRAS ANGULARES'!$A$1:$E$51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152" i="22" l="1"/>
  <c r="V152" i="22"/>
  <c r="U152" i="22"/>
  <c r="N145" i="22" s="1"/>
  <c r="T152" i="22"/>
  <c r="S152" i="22"/>
  <c r="R152" i="22"/>
  <c r="Q152" i="22"/>
  <c r="P152" i="22"/>
  <c r="O152" i="22"/>
  <c r="N152" i="22"/>
  <c r="M152" i="22"/>
  <c r="L152" i="22"/>
  <c r="K152" i="22"/>
  <c r="L145" i="22" s="1"/>
  <c r="M138" i="22" s="1"/>
  <c r="W151" i="22"/>
  <c r="V151" i="22"/>
  <c r="U151" i="22"/>
  <c r="N144" i="22" s="1"/>
  <c r="T151" i="22"/>
  <c r="S151" i="22"/>
  <c r="R151" i="22"/>
  <c r="Q151" i="22"/>
  <c r="P151" i="22"/>
  <c r="O151" i="22"/>
  <c r="N151" i="22"/>
  <c r="M151" i="22"/>
  <c r="L151" i="22"/>
  <c r="K151" i="22"/>
  <c r="L144" i="22" s="1"/>
  <c r="M137" i="22" s="1"/>
  <c r="W150" i="22"/>
  <c r="V150" i="22"/>
  <c r="O143" i="22" s="1"/>
  <c r="U150" i="22"/>
  <c r="T150" i="22"/>
  <c r="S150" i="22"/>
  <c r="R150" i="22"/>
  <c r="Q150" i="22"/>
  <c r="P150" i="22"/>
  <c r="O150" i="22"/>
  <c r="N150" i="22"/>
  <c r="M150" i="22"/>
  <c r="L150" i="22"/>
  <c r="M143" i="22" s="1"/>
  <c r="K150" i="22"/>
  <c r="W149" i="22"/>
  <c r="V149" i="22"/>
  <c r="U149" i="22"/>
  <c r="T149" i="22"/>
  <c r="S149" i="22"/>
  <c r="R149" i="22"/>
  <c r="Q149" i="22"/>
  <c r="P149" i="22"/>
  <c r="O149" i="22"/>
  <c r="N149" i="22"/>
  <c r="M149" i="22"/>
  <c r="L149" i="22"/>
  <c r="K149" i="22"/>
  <c r="I149" i="22"/>
  <c r="W148" i="22"/>
  <c r="V148" i="22"/>
  <c r="U148" i="22"/>
  <c r="T148" i="22"/>
  <c r="S148" i="22"/>
  <c r="R148" i="22"/>
  <c r="Q148" i="22"/>
  <c r="P148" i="22"/>
  <c r="O148" i="22"/>
  <c r="N148" i="22"/>
  <c r="M148" i="22"/>
  <c r="L148" i="22"/>
  <c r="K148" i="22"/>
  <c r="I148" i="22"/>
  <c r="W147" i="22"/>
  <c r="V147" i="22"/>
  <c r="U147" i="22"/>
  <c r="T147" i="22"/>
  <c r="S147" i="22"/>
  <c r="R147" i="22"/>
  <c r="Q147" i="22"/>
  <c r="P147" i="22"/>
  <c r="O147" i="22"/>
  <c r="N147" i="22"/>
  <c r="M147" i="22"/>
  <c r="L147" i="22"/>
  <c r="K147" i="22"/>
  <c r="I147" i="22"/>
  <c r="W146" i="22"/>
  <c r="V146" i="22"/>
  <c r="U146" i="22"/>
  <c r="T146" i="22"/>
  <c r="S146" i="22"/>
  <c r="R146" i="22"/>
  <c r="Q146" i="22"/>
  <c r="P146" i="22"/>
  <c r="O146" i="22"/>
  <c r="N146" i="22"/>
  <c r="M146" i="22"/>
  <c r="L146" i="22"/>
  <c r="K146" i="22"/>
  <c r="I146" i="22"/>
  <c r="W145" i="22"/>
  <c r="V145" i="22"/>
  <c r="U145" i="22"/>
  <c r="T145" i="22"/>
  <c r="S145" i="22"/>
  <c r="R145" i="22"/>
  <c r="Q145" i="22"/>
  <c r="P145" i="22"/>
  <c r="O145" i="22"/>
  <c r="M145" i="22"/>
  <c r="K145" i="22"/>
  <c r="I145" i="22"/>
  <c r="W144" i="22"/>
  <c r="O137" i="22" s="1"/>
  <c r="V144" i="22"/>
  <c r="U144" i="22"/>
  <c r="T144" i="22"/>
  <c r="S144" i="22"/>
  <c r="R144" i="22"/>
  <c r="N137" i="22" s="1"/>
  <c r="Q144" i="22"/>
  <c r="P144" i="22"/>
  <c r="O144" i="22"/>
  <c r="M144" i="22"/>
  <c r="K144" i="22"/>
  <c r="I144" i="22"/>
  <c r="W143" i="22"/>
  <c r="V143" i="22"/>
  <c r="O136" i="22" s="1"/>
  <c r="U143" i="22"/>
  <c r="T143" i="22"/>
  <c r="S143" i="22"/>
  <c r="R143" i="22"/>
  <c r="Q143" i="22"/>
  <c r="P143" i="22"/>
  <c r="N143" i="22"/>
  <c r="L143" i="22"/>
  <c r="M136" i="22" s="1"/>
  <c r="K143" i="22"/>
  <c r="I143" i="22"/>
  <c r="W142" i="22"/>
  <c r="V142" i="22"/>
  <c r="O135" i="22" s="1"/>
  <c r="U142" i="22"/>
  <c r="T142" i="22"/>
  <c r="S142" i="22"/>
  <c r="R142" i="22"/>
  <c r="Q142" i="22"/>
  <c r="P142" i="22"/>
  <c r="N135" i="22" s="1"/>
  <c r="O142" i="22"/>
  <c r="N142" i="22"/>
  <c r="M142" i="22"/>
  <c r="L142" i="22"/>
  <c r="M135" i="22" s="1"/>
  <c r="K142" i="22"/>
  <c r="I142" i="22"/>
  <c r="L135" i="22" s="1"/>
  <c r="W141" i="22"/>
  <c r="V141" i="22"/>
  <c r="U141" i="22"/>
  <c r="T141" i="22"/>
  <c r="N134" i="22" s="1"/>
  <c r="S141" i="22"/>
  <c r="R141" i="22"/>
  <c r="Q141" i="22"/>
  <c r="P141" i="22"/>
  <c r="O141" i="22"/>
  <c r="N141" i="22"/>
  <c r="M141" i="22"/>
  <c r="M134" i="22" s="1"/>
  <c r="L141" i="22"/>
  <c r="K141" i="22"/>
  <c r="I141" i="22"/>
  <c r="L134" i="22" s="1"/>
  <c r="M127" i="22" s="1"/>
  <c r="W140" i="22"/>
  <c r="V140" i="22"/>
  <c r="U140" i="22"/>
  <c r="T140" i="22"/>
  <c r="S140" i="22"/>
  <c r="R140" i="22"/>
  <c r="Q140" i="22"/>
  <c r="P140" i="22"/>
  <c r="O140" i="22"/>
  <c r="N140" i="22"/>
  <c r="M133" i="22" s="1"/>
  <c r="M140" i="22"/>
  <c r="L140" i="22"/>
  <c r="K140" i="22"/>
  <c r="I140" i="22"/>
  <c r="W139" i="22"/>
  <c r="V139" i="22"/>
  <c r="U139" i="22"/>
  <c r="T139" i="22"/>
  <c r="S139" i="22"/>
  <c r="R139" i="22"/>
  <c r="N132" i="22" s="1"/>
  <c r="Q139" i="22"/>
  <c r="P139" i="22"/>
  <c r="O139" i="22"/>
  <c r="N139" i="22"/>
  <c r="M132" i="22" s="1"/>
  <c r="M139" i="22"/>
  <c r="L139" i="22"/>
  <c r="K139" i="22"/>
  <c r="I139" i="22"/>
  <c r="W138" i="22"/>
  <c r="V138" i="22"/>
  <c r="O131" i="22" s="1"/>
  <c r="U138" i="22"/>
  <c r="T138" i="22"/>
  <c r="S138" i="22"/>
  <c r="R138" i="22"/>
  <c r="N131" i="22" s="1"/>
  <c r="Q138" i="22"/>
  <c r="P138" i="22"/>
  <c r="O138" i="22"/>
  <c r="N138" i="22"/>
  <c r="L138" i="22"/>
  <c r="M131" i="22" s="1"/>
  <c r="K138" i="22"/>
  <c r="I138" i="22"/>
  <c r="W137" i="22"/>
  <c r="V137" i="22"/>
  <c r="O130" i="22" s="1"/>
  <c r="U137" i="22"/>
  <c r="T137" i="22"/>
  <c r="S137" i="22"/>
  <c r="R137" i="22"/>
  <c r="Q137" i="22"/>
  <c r="P137" i="22"/>
  <c r="N130" i="22" s="1"/>
  <c r="L137" i="22"/>
  <c r="M130" i="22" s="1"/>
  <c r="K137" i="22"/>
  <c r="I137" i="22"/>
  <c r="W136" i="22"/>
  <c r="V136" i="22"/>
  <c r="U136" i="22"/>
  <c r="T136" i="22"/>
  <c r="S136" i="22"/>
  <c r="R136" i="22"/>
  <c r="Q136" i="22"/>
  <c r="P136" i="22"/>
  <c r="N129" i="22" s="1"/>
  <c r="N136" i="22"/>
  <c r="L136" i="22"/>
  <c r="K136" i="22"/>
  <c r="I136" i="22"/>
  <c r="W135" i="22"/>
  <c r="V135" i="22"/>
  <c r="U135" i="22"/>
  <c r="T135" i="22"/>
  <c r="S135" i="22"/>
  <c r="R135" i="22"/>
  <c r="N128" i="22" s="1"/>
  <c r="Q135" i="22"/>
  <c r="P135" i="22"/>
  <c r="K135" i="22"/>
  <c r="I135" i="22"/>
  <c r="L128" i="22" s="1"/>
  <c r="W134" i="22"/>
  <c r="V134" i="22"/>
  <c r="O127" i="22" s="1"/>
  <c r="U134" i="22"/>
  <c r="T134" i="22"/>
  <c r="S134" i="22"/>
  <c r="R134" i="22"/>
  <c r="N127" i="22" s="1"/>
  <c r="Q134" i="22"/>
  <c r="P134" i="22"/>
  <c r="O134" i="22"/>
  <c r="K134" i="22"/>
  <c r="I134" i="22"/>
  <c r="L127" i="22" s="1"/>
  <c r="W133" i="22"/>
  <c r="V133" i="22"/>
  <c r="O126" i="22" s="1"/>
  <c r="U133" i="22"/>
  <c r="T133" i="22"/>
  <c r="S133" i="22"/>
  <c r="R133" i="22"/>
  <c r="N126" i="22" s="1"/>
  <c r="Q133" i="22"/>
  <c r="P133" i="22"/>
  <c r="O133" i="22"/>
  <c r="N133" i="22"/>
  <c r="L133" i="22"/>
  <c r="K133" i="22"/>
  <c r="I133" i="22"/>
  <c r="W132" i="22"/>
  <c r="V132" i="22"/>
  <c r="O125" i="22" s="1"/>
  <c r="U132" i="22"/>
  <c r="T132" i="22"/>
  <c r="S132" i="22"/>
  <c r="R132" i="22"/>
  <c r="Q132" i="22"/>
  <c r="P132" i="22"/>
  <c r="O132" i="22"/>
  <c r="L132" i="22"/>
  <c r="K132" i="22"/>
  <c r="I132" i="22"/>
  <c r="W131" i="22"/>
  <c r="V131" i="22"/>
  <c r="U131" i="22"/>
  <c r="T131" i="22"/>
  <c r="S131" i="22"/>
  <c r="R131" i="22"/>
  <c r="Q131" i="22"/>
  <c r="P131" i="22"/>
  <c r="L131" i="22"/>
  <c r="K131" i="22"/>
  <c r="I131" i="22"/>
  <c r="L124" i="22" s="1"/>
  <c r="W130" i="22"/>
  <c r="V130" i="22"/>
  <c r="O123" i="22" s="1"/>
  <c r="U130" i="22"/>
  <c r="T130" i="22"/>
  <c r="N123" i="22" s="1"/>
  <c r="S130" i="22"/>
  <c r="R130" i="22"/>
  <c r="Q130" i="22"/>
  <c r="P130" i="22"/>
  <c r="L130" i="22"/>
  <c r="K130" i="22"/>
  <c r="I130" i="22"/>
  <c r="L123" i="22" s="1"/>
  <c r="W129" i="22"/>
  <c r="V129" i="22"/>
  <c r="O122" i="22" s="1"/>
  <c r="U129" i="22"/>
  <c r="T129" i="22"/>
  <c r="S129" i="22"/>
  <c r="R129" i="22"/>
  <c r="Q129" i="22"/>
  <c r="P129" i="22"/>
  <c r="O129" i="22"/>
  <c r="L129" i="22"/>
  <c r="K129" i="22"/>
  <c r="I129" i="22"/>
  <c r="L122" i="22" s="1"/>
  <c r="W128" i="22"/>
  <c r="V128" i="22"/>
  <c r="O121" i="22" s="1"/>
  <c r="U128" i="22"/>
  <c r="T128" i="22"/>
  <c r="S128" i="22"/>
  <c r="R128" i="22"/>
  <c r="Q128" i="22"/>
  <c r="P128" i="22"/>
  <c r="O128" i="22"/>
  <c r="K128" i="22"/>
  <c r="I128" i="22"/>
  <c r="W127" i="22"/>
  <c r="V127" i="22"/>
  <c r="U127" i="22"/>
  <c r="T127" i="22"/>
  <c r="S127" i="22"/>
  <c r="R127" i="22"/>
  <c r="Q127" i="22"/>
  <c r="P127" i="22"/>
  <c r="K127" i="22"/>
  <c r="I127" i="22"/>
  <c r="W126" i="22"/>
  <c r="V126" i="22"/>
  <c r="O119" i="22" s="1"/>
  <c r="U126" i="22"/>
  <c r="T126" i="22"/>
  <c r="S126" i="22"/>
  <c r="R126" i="22"/>
  <c r="Q126" i="22"/>
  <c r="P126" i="22"/>
  <c r="L126" i="22"/>
  <c r="K126" i="22"/>
  <c r="I126" i="22"/>
  <c r="L119" i="22" s="1"/>
  <c r="W125" i="22"/>
  <c r="V125" i="22"/>
  <c r="O118" i="22" s="1"/>
  <c r="U125" i="22"/>
  <c r="T125" i="22"/>
  <c r="S125" i="22"/>
  <c r="R125" i="22"/>
  <c r="Q125" i="22"/>
  <c r="P125" i="22"/>
  <c r="N118" i="22" s="1"/>
  <c r="N125" i="22"/>
  <c r="L125" i="22"/>
  <c r="K125" i="22"/>
  <c r="I125" i="22"/>
  <c r="L118" i="22" s="1"/>
  <c r="W124" i="22"/>
  <c r="V124" i="22"/>
  <c r="O117" i="22" s="1"/>
  <c r="U124" i="22"/>
  <c r="T124" i="22"/>
  <c r="S124" i="22"/>
  <c r="R124" i="22"/>
  <c r="Q124" i="22"/>
  <c r="P124" i="22"/>
  <c r="N117" i="22" s="1"/>
  <c r="O124" i="22"/>
  <c r="N124" i="22"/>
  <c r="K124" i="22"/>
  <c r="I124" i="22"/>
  <c r="W123" i="22"/>
  <c r="V123" i="22"/>
  <c r="O116" i="22" s="1"/>
  <c r="U123" i="22"/>
  <c r="T123" i="22"/>
  <c r="S123" i="22"/>
  <c r="I114" i="22" s="1"/>
  <c r="L107" i="22" s="1"/>
  <c r="R123" i="22"/>
  <c r="Q123" i="22"/>
  <c r="P123" i="22"/>
  <c r="K123" i="22"/>
  <c r="I123" i="22"/>
  <c r="W122" i="22"/>
  <c r="V122" i="22"/>
  <c r="O115" i="22" s="1"/>
  <c r="U122" i="22"/>
  <c r="T122" i="22"/>
  <c r="S122" i="22"/>
  <c r="R122" i="22"/>
  <c r="Q122" i="22"/>
  <c r="P122" i="22"/>
  <c r="N122" i="22"/>
  <c r="K122" i="22"/>
  <c r="I122" i="22"/>
  <c r="L115" i="22" s="1"/>
  <c r="W121" i="22"/>
  <c r="V121" i="22"/>
  <c r="O114" i="22" s="1"/>
  <c r="U121" i="22"/>
  <c r="T121" i="22"/>
  <c r="S121" i="22"/>
  <c r="R121" i="22"/>
  <c r="Q121" i="22"/>
  <c r="P121" i="22"/>
  <c r="N121" i="22"/>
  <c r="L121" i="22"/>
  <c r="K121" i="22"/>
  <c r="I121" i="22"/>
  <c r="L114" i="22" s="1"/>
  <c r="W120" i="22"/>
  <c r="V120" i="22"/>
  <c r="O113" i="22" s="1"/>
  <c r="U120" i="22"/>
  <c r="T120" i="22"/>
  <c r="S120" i="22"/>
  <c r="R120" i="22"/>
  <c r="Q120" i="22"/>
  <c r="P120" i="22"/>
  <c r="N113" i="22" s="1"/>
  <c r="N120" i="22"/>
  <c r="L120" i="22"/>
  <c r="K120" i="22"/>
  <c r="I120" i="22"/>
  <c r="L113" i="22" s="1"/>
  <c r="W119" i="22"/>
  <c r="V119" i="22"/>
  <c r="O112" i="22" s="1"/>
  <c r="U119" i="22"/>
  <c r="T119" i="22"/>
  <c r="S119" i="22"/>
  <c r="R119" i="22"/>
  <c r="Q119" i="22"/>
  <c r="P119" i="22"/>
  <c r="N119" i="22"/>
  <c r="K119" i="22"/>
  <c r="I119" i="22"/>
  <c r="W118" i="22"/>
  <c r="V118" i="22"/>
  <c r="O111" i="22" s="1"/>
  <c r="U118" i="22"/>
  <c r="T118" i="22"/>
  <c r="S118" i="22"/>
  <c r="I110" i="22" s="1"/>
  <c r="L103" i="22" s="1"/>
  <c r="R118" i="22"/>
  <c r="Q118" i="22"/>
  <c r="P118" i="22"/>
  <c r="N111" i="22" s="1"/>
  <c r="K118" i="22"/>
  <c r="I118" i="22"/>
  <c r="L111" i="22" s="1"/>
  <c r="W117" i="22"/>
  <c r="V117" i="22"/>
  <c r="U117" i="22"/>
  <c r="T117" i="22"/>
  <c r="S117" i="22"/>
  <c r="R117" i="22"/>
  <c r="Q117" i="22"/>
  <c r="P117" i="22"/>
  <c r="L117" i="22"/>
  <c r="K117" i="22"/>
  <c r="I117" i="22"/>
  <c r="L110" i="22" s="1"/>
  <c r="W116" i="22"/>
  <c r="V116" i="22"/>
  <c r="O109" i="22" s="1"/>
  <c r="U116" i="22"/>
  <c r="T116" i="22"/>
  <c r="S116" i="22"/>
  <c r="R116" i="22"/>
  <c r="Q116" i="22"/>
  <c r="P116" i="22"/>
  <c r="N109" i="22" s="1"/>
  <c r="N116" i="22"/>
  <c r="L116" i="22"/>
  <c r="K116" i="22"/>
  <c r="I116" i="22"/>
  <c r="W115" i="22"/>
  <c r="V115" i="22"/>
  <c r="O108" i="22" s="1"/>
  <c r="U115" i="22"/>
  <c r="T115" i="22"/>
  <c r="S115" i="22"/>
  <c r="R115" i="22"/>
  <c r="N108" i="22" s="1"/>
  <c r="Q115" i="22"/>
  <c r="P115" i="22"/>
  <c r="K115" i="22"/>
  <c r="I115" i="22"/>
  <c r="W114" i="22"/>
  <c r="V114" i="22"/>
  <c r="O107" i="22" s="1"/>
  <c r="U114" i="22"/>
  <c r="T114" i="22"/>
  <c r="S114" i="22"/>
  <c r="R114" i="22"/>
  <c r="N107" i="22" s="1"/>
  <c r="Q114" i="22"/>
  <c r="P114" i="22"/>
  <c r="K114" i="22"/>
  <c r="W113" i="22"/>
  <c r="V113" i="22"/>
  <c r="O106" i="22" s="1"/>
  <c r="U113" i="22"/>
  <c r="T113" i="22"/>
  <c r="S113" i="22"/>
  <c r="N106" i="22" s="1"/>
  <c r="R113" i="22"/>
  <c r="Q113" i="22"/>
  <c r="P113" i="22"/>
  <c r="K113" i="22"/>
  <c r="I113" i="22"/>
  <c r="L106" i="22" s="1"/>
  <c r="W112" i="22"/>
  <c r="V112" i="22"/>
  <c r="U112" i="22"/>
  <c r="T112" i="22"/>
  <c r="S112" i="22"/>
  <c r="R112" i="22"/>
  <c r="Q112" i="22"/>
  <c r="P112" i="22"/>
  <c r="N105" i="22" s="1"/>
  <c r="N112" i="22"/>
  <c r="L112" i="22"/>
  <c r="K112" i="22"/>
  <c r="I112" i="22"/>
  <c r="L105" i="22" s="1"/>
  <c r="W111" i="22"/>
  <c r="V111" i="22"/>
  <c r="U111" i="22"/>
  <c r="T111" i="22"/>
  <c r="S111" i="22"/>
  <c r="R111" i="22"/>
  <c r="N104" i="22" s="1"/>
  <c r="Q111" i="22"/>
  <c r="P111" i="22"/>
  <c r="K111" i="22"/>
  <c r="I111" i="22"/>
  <c r="W110" i="22"/>
  <c r="V110" i="22"/>
  <c r="O103" i="22" s="1"/>
  <c r="U110" i="22"/>
  <c r="T110" i="22"/>
  <c r="S110" i="22"/>
  <c r="R110" i="22"/>
  <c r="Q110" i="22"/>
  <c r="P110" i="22"/>
  <c r="N110" i="22"/>
  <c r="K110" i="22"/>
  <c r="W109" i="22"/>
  <c r="V109" i="22"/>
  <c r="O102" i="22" s="1"/>
  <c r="U109" i="22"/>
  <c r="T109" i="22"/>
  <c r="S109" i="22"/>
  <c r="R109" i="22"/>
  <c r="Q109" i="22"/>
  <c r="P109" i="22"/>
  <c r="L109" i="22"/>
  <c r="K109" i="22"/>
  <c r="I109" i="22"/>
  <c r="L102" i="22" s="1"/>
  <c r="W108" i="22"/>
  <c r="V108" i="22"/>
  <c r="O101" i="22" s="1"/>
  <c r="U108" i="22"/>
  <c r="T108" i="22"/>
  <c r="S108" i="22"/>
  <c r="R108" i="22"/>
  <c r="Q108" i="22"/>
  <c r="P108" i="22"/>
  <c r="N101" i="22" s="1"/>
  <c r="L108" i="22"/>
  <c r="K108" i="22"/>
  <c r="I108" i="22"/>
  <c r="W107" i="22"/>
  <c r="V107" i="22"/>
  <c r="U107" i="22"/>
  <c r="T107" i="22"/>
  <c r="S107" i="22"/>
  <c r="R107" i="22"/>
  <c r="Q107" i="22"/>
  <c r="P107" i="22"/>
  <c r="N100" i="22" s="1"/>
  <c r="K107" i="22"/>
  <c r="I107" i="22"/>
  <c r="W106" i="22"/>
  <c r="V106" i="22"/>
  <c r="U106" i="22"/>
  <c r="T106" i="22"/>
  <c r="S106" i="22"/>
  <c r="R106" i="22"/>
  <c r="N99" i="22" s="1"/>
  <c r="Q106" i="22"/>
  <c r="P106" i="22"/>
  <c r="K106" i="22"/>
  <c r="I106" i="22"/>
  <c r="L99" i="22" s="1"/>
  <c r="W105" i="22"/>
  <c r="V105" i="22"/>
  <c r="O98" i="22" s="1"/>
  <c r="U105" i="22"/>
  <c r="T105" i="22"/>
  <c r="S105" i="22"/>
  <c r="R105" i="22"/>
  <c r="N98" i="22" s="1"/>
  <c r="Q105" i="22"/>
  <c r="P105" i="22"/>
  <c r="K105" i="22"/>
  <c r="I105" i="22"/>
  <c r="L98" i="22" s="1"/>
  <c r="W104" i="22"/>
  <c r="V104" i="22"/>
  <c r="O97" i="22" s="1"/>
  <c r="U104" i="22"/>
  <c r="T104" i="22"/>
  <c r="S104" i="22"/>
  <c r="R104" i="22"/>
  <c r="Q104" i="22"/>
  <c r="P104" i="22"/>
  <c r="O104" i="22"/>
  <c r="L104" i="22"/>
  <c r="K104" i="22"/>
  <c r="I104" i="22"/>
  <c r="W103" i="22"/>
  <c r="V103" i="22"/>
  <c r="O96" i="22" s="1"/>
  <c r="U103" i="22"/>
  <c r="T103" i="22"/>
  <c r="S103" i="22"/>
  <c r="R103" i="22"/>
  <c r="Q103" i="22"/>
  <c r="P103" i="22"/>
  <c r="N96" i="22" s="1"/>
  <c r="N103" i="22"/>
  <c r="K103" i="22"/>
  <c r="I103" i="22"/>
  <c r="W102" i="22"/>
  <c r="V102" i="22"/>
  <c r="U102" i="22"/>
  <c r="T102" i="22"/>
  <c r="S102" i="22"/>
  <c r="R102" i="22"/>
  <c r="Q102" i="22"/>
  <c r="P102" i="22"/>
  <c r="N102" i="22"/>
  <c r="K102" i="22"/>
  <c r="I102" i="22"/>
  <c r="W101" i="22"/>
  <c r="V101" i="22"/>
  <c r="O94" i="22" s="1"/>
  <c r="U101" i="22"/>
  <c r="T101" i="22"/>
  <c r="S101" i="22"/>
  <c r="R101" i="22"/>
  <c r="N94" i="22" s="1"/>
  <c r="Q101" i="22"/>
  <c r="P101" i="22"/>
  <c r="L101" i="22"/>
  <c r="K101" i="22"/>
  <c r="I101" i="22"/>
  <c r="L94" i="22" s="1"/>
  <c r="W100" i="22"/>
  <c r="V100" i="22"/>
  <c r="O93" i="22" s="1"/>
  <c r="U100" i="22"/>
  <c r="T100" i="22"/>
  <c r="S100" i="22"/>
  <c r="R100" i="22"/>
  <c r="Q100" i="22"/>
  <c r="P100" i="22"/>
  <c r="L100" i="22"/>
  <c r="K100" i="22"/>
  <c r="I100" i="22"/>
  <c r="W99" i="22"/>
  <c r="V99" i="22"/>
  <c r="O92" i="22" s="1"/>
  <c r="U99" i="22"/>
  <c r="T99" i="22"/>
  <c r="S99" i="22"/>
  <c r="R99" i="22"/>
  <c r="Q99" i="22"/>
  <c r="P99" i="22"/>
  <c r="N92" i="22" s="1"/>
  <c r="O99" i="22"/>
  <c r="K99" i="22"/>
  <c r="I99" i="22"/>
  <c r="W98" i="22"/>
  <c r="V98" i="22"/>
  <c r="O91" i="22" s="1"/>
  <c r="U98" i="22"/>
  <c r="T98" i="22"/>
  <c r="S98" i="22"/>
  <c r="R98" i="22"/>
  <c r="N91" i="22" s="1"/>
  <c r="Q98" i="22"/>
  <c r="P98" i="22"/>
  <c r="K98" i="22"/>
  <c r="I98" i="22"/>
  <c r="W97" i="22"/>
  <c r="V97" i="22"/>
  <c r="O90" i="22" s="1"/>
  <c r="U97" i="22"/>
  <c r="T97" i="22"/>
  <c r="S97" i="22"/>
  <c r="R97" i="22"/>
  <c r="Q97" i="22"/>
  <c r="P97" i="22"/>
  <c r="L97" i="22"/>
  <c r="K97" i="22"/>
  <c r="I97" i="22"/>
  <c r="L90" i="22" s="1"/>
  <c r="W96" i="22"/>
  <c r="V96" i="22"/>
  <c r="O89" i="22" s="1"/>
  <c r="U96" i="22"/>
  <c r="T96" i="22"/>
  <c r="S96" i="22"/>
  <c r="R96" i="22"/>
  <c r="Q96" i="22"/>
  <c r="P96" i="22"/>
  <c r="N89" i="22" s="1"/>
  <c r="L96" i="22"/>
  <c r="K96" i="22"/>
  <c r="I96" i="22"/>
  <c r="L89" i="22" s="1"/>
  <c r="W95" i="22"/>
  <c r="V95" i="22"/>
  <c r="O88" i="22" s="1"/>
  <c r="U95" i="22"/>
  <c r="T95" i="22"/>
  <c r="S95" i="22"/>
  <c r="R95" i="22"/>
  <c r="Q95" i="22"/>
  <c r="P95" i="22"/>
  <c r="N88" i="22" s="1"/>
  <c r="N95" i="22"/>
  <c r="L95" i="22"/>
  <c r="K95" i="22"/>
  <c r="I95" i="22"/>
  <c r="W94" i="22"/>
  <c r="V94" i="22"/>
  <c r="O87" i="22" s="1"/>
  <c r="U94" i="22"/>
  <c r="T94" i="22"/>
  <c r="S94" i="22"/>
  <c r="R94" i="22"/>
  <c r="Q94" i="22"/>
  <c r="P94" i="22"/>
  <c r="N87" i="22" s="1"/>
  <c r="K94" i="22"/>
  <c r="I94" i="22"/>
  <c r="W93" i="22"/>
  <c r="V93" i="22"/>
  <c r="O86" i="22" s="1"/>
  <c r="U93" i="22"/>
  <c r="T93" i="22"/>
  <c r="S93" i="22"/>
  <c r="I86" i="22" s="1"/>
  <c r="L79" i="22" s="1"/>
  <c r="R93" i="22"/>
  <c r="Q93" i="22"/>
  <c r="P93" i="22"/>
  <c r="K93" i="22"/>
  <c r="I93" i="22"/>
  <c r="W92" i="22"/>
  <c r="V92" i="22"/>
  <c r="O85" i="22" s="1"/>
  <c r="U92" i="22"/>
  <c r="T92" i="22"/>
  <c r="S92" i="22"/>
  <c r="R92" i="22"/>
  <c r="Q92" i="22"/>
  <c r="P92" i="22"/>
  <c r="L92" i="22"/>
  <c r="K92" i="22"/>
  <c r="I92" i="22"/>
  <c r="L85" i="22" s="1"/>
  <c r="W91" i="22"/>
  <c r="V91" i="22"/>
  <c r="O84" i="22" s="1"/>
  <c r="U91" i="22"/>
  <c r="T91" i="22"/>
  <c r="S91" i="22"/>
  <c r="R91" i="22"/>
  <c r="Q91" i="22"/>
  <c r="P91" i="22"/>
  <c r="L91" i="22"/>
  <c r="K91" i="22"/>
  <c r="I91" i="22"/>
  <c r="L84" i="22" s="1"/>
  <c r="W90" i="22"/>
  <c r="V90" i="22"/>
  <c r="O83" i="22" s="1"/>
  <c r="U90" i="22"/>
  <c r="T90" i="22"/>
  <c r="S90" i="22"/>
  <c r="R90" i="22"/>
  <c r="Q90" i="22"/>
  <c r="P90" i="22"/>
  <c r="N83" i="22" s="1"/>
  <c r="K90" i="22"/>
  <c r="I90" i="22"/>
  <c r="W89" i="22"/>
  <c r="V89" i="22"/>
  <c r="O82" i="22" s="1"/>
  <c r="U89" i="22"/>
  <c r="T89" i="22"/>
  <c r="S89" i="22"/>
  <c r="R89" i="22"/>
  <c r="Q89" i="22"/>
  <c r="P89" i="22"/>
  <c r="N82" i="22" s="1"/>
  <c r="K89" i="22"/>
  <c r="I89" i="22"/>
  <c r="L82" i="22" s="1"/>
  <c r="W88" i="22"/>
  <c r="V88" i="22"/>
  <c r="O81" i="22" s="1"/>
  <c r="U88" i="22"/>
  <c r="T88" i="22"/>
  <c r="S88" i="22"/>
  <c r="N81" i="22" s="1"/>
  <c r="R88" i="22"/>
  <c r="Q88" i="22"/>
  <c r="P88" i="22"/>
  <c r="L88" i="22"/>
  <c r="K88" i="22"/>
  <c r="I88" i="22"/>
  <c r="L81" i="22" s="1"/>
  <c r="W87" i="22"/>
  <c r="V87" i="22"/>
  <c r="U87" i="22"/>
  <c r="T87" i="22"/>
  <c r="S87" i="22"/>
  <c r="R87" i="22"/>
  <c r="Q87" i="22"/>
  <c r="P87" i="22"/>
  <c r="N80" i="22" s="1"/>
  <c r="L87" i="22"/>
  <c r="K87" i="22"/>
  <c r="I87" i="22"/>
  <c r="W86" i="22"/>
  <c r="V86" i="22"/>
  <c r="U86" i="22"/>
  <c r="T86" i="22"/>
  <c r="S86" i="22"/>
  <c r="R86" i="22"/>
  <c r="Q86" i="22"/>
  <c r="P86" i="22"/>
  <c r="N79" i="22" s="1"/>
  <c r="L86" i="22"/>
  <c r="K86" i="22"/>
  <c r="W85" i="22"/>
  <c r="V85" i="22"/>
  <c r="O78" i="22" s="1"/>
  <c r="U85" i="22"/>
  <c r="T85" i="22"/>
  <c r="S85" i="22"/>
  <c r="R85" i="22"/>
  <c r="Q85" i="22"/>
  <c r="P85" i="22"/>
  <c r="N78" i="22" s="1"/>
  <c r="N85" i="22"/>
  <c r="K85" i="22"/>
  <c r="I85" i="22"/>
  <c r="L78" i="22" s="1"/>
  <c r="W84" i="22"/>
  <c r="V84" i="22"/>
  <c r="O77" i="22" s="1"/>
  <c r="U84" i="22"/>
  <c r="T84" i="22"/>
  <c r="S84" i="22"/>
  <c r="R84" i="22"/>
  <c r="Q84" i="22"/>
  <c r="P84" i="22"/>
  <c r="K84" i="22"/>
  <c r="I84" i="22"/>
  <c r="L77" i="22" s="1"/>
  <c r="W83" i="22"/>
  <c r="V83" i="22"/>
  <c r="O76" i="22" s="1"/>
  <c r="U83" i="22"/>
  <c r="T83" i="22"/>
  <c r="S83" i="22"/>
  <c r="R83" i="22"/>
  <c r="Q83" i="22"/>
  <c r="P83" i="22"/>
  <c r="N76" i="22" s="1"/>
  <c r="L83" i="22"/>
  <c r="K83" i="22"/>
  <c r="I83" i="22"/>
  <c r="W82" i="22"/>
  <c r="V82" i="22"/>
  <c r="U82" i="22"/>
  <c r="T82" i="22"/>
  <c r="S82" i="22"/>
  <c r="R82" i="22"/>
  <c r="N75" i="22" s="1"/>
  <c r="Q82" i="22"/>
  <c r="P82" i="22"/>
  <c r="K82" i="22"/>
  <c r="I82" i="22"/>
  <c r="W81" i="22"/>
  <c r="V81" i="22"/>
  <c r="U81" i="22"/>
  <c r="T81" i="22"/>
  <c r="N74" i="22" s="1"/>
  <c r="S81" i="22"/>
  <c r="R81" i="22"/>
  <c r="Q81" i="22"/>
  <c r="P81" i="22"/>
  <c r="K81" i="22"/>
  <c r="I81" i="22"/>
  <c r="L74" i="22" s="1"/>
  <c r="W80" i="22"/>
  <c r="V80" i="22"/>
  <c r="O73" i="22" s="1"/>
  <c r="U80" i="22"/>
  <c r="T80" i="22"/>
  <c r="N73" i="22" s="1"/>
  <c r="S80" i="22"/>
  <c r="R80" i="22"/>
  <c r="Q80" i="22"/>
  <c r="P80" i="22"/>
  <c r="L80" i="22"/>
  <c r="K80" i="22"/>
  <c r="I80" i="22"/>
  <c r="L73" i="22" s="1"/>
  <c r="W79" i="22"/>
  <c r="V79" i="22"/>
  <c r="O72" i="22" s="1"/>
  <c r="U79" i="22"/>
  <c r="T79" i="22"/>
  <c r="S79" i="22"/>
  <c r="R79" i="22"/>
  <c r="Q79" i="22"/>
  <c r="P79" i="22"/>
  <c r="N72" i="22" s="1"/>
  <c r="O79" i="22"/>
  <c r="K79" i="22"/>
  <c r="I79" i="22"/>
  <c r="W78" i="22"/>
  <c r="V78" i="22"/>
  <c r="O71" i="22" s="1"/>
  <c r="U78" i="22"/>
  <c r="T78" i="22"/>
  <c r="S78" i="22"/>
  <c r="I71" i="22" s="1"/>
  <c r="L64" i="22" s="1"/>
  <c r="R78" i="22"/>
  <c r="Q78" i="22"/>
  <c r="P78" i="22"/>
  <c r="N71" i="22" s="1"/>
  <c r="K78" i="22"/>
  <c r="I78" i="22"/>
  <c r="W77" i="22"/>
  <c r="V77" i="22"/>
  <c r="U77" i="22"/>
  <c r="T77" i="22"/>
  <c r="S77" i="22"/>
  <c r="R77" i="22"/>
  <c r="Q77" i="22"/>
  <c r="P77" i="22"/>
  <c r="N77" i="22"/>
  <c r="K77" i="22"/>
  <c r="I77" i="22"/>
  <c r="L70" i="22" s="1"/>
  <c r="W76" i="22"/>
  <c r="V76" i="22"/>
  <c r="O69" i="22" s="1"/>
  <c r="U76" i="22"/>
  <c r="T76" i="22"/>
  <c r="S76" i="22"/>
  <c r="R76" i="22"/>
  <c r="Q76" i="22"/>
  <c r="P76" i="22"/>
  <c r="N69" i="22" s="1"/>
  <c r="L76" i="22"/>
  <c r="K76" i="22"/>
  <c r="I76" i="22"/>
  <c r="L69" i="22" s="1"/>
  <c r="W75" i="22"/>
  <c r="V75" i="22"/>
  <c r="O68" i="22" s="1"/>
  <c r="U75" i="22"/>
  <c r="T75" i="22"/>
  <c r="S75" i="22"/>
  <c r="R75" i="22"/>
  <c r="Q75" i="22"/>
  <c r="P75" i="22"/>
  <c r="L75" i="22"/>
  <c r="K75" i="22"/>
  <c r="I75" i="22"/>
  <c r="L68" i="22" s="1"/>
  <c r="W74" i="22"/>
  <c r="V74" i="22"/>
  <c r="O67" i="22" s="1"/>
  <c r="U74" i="22"/>
  <c r="T74" i="22"/>
  <c r="S74" i="22"/>
  <c r="I67" i="22" s="1"/>
  <c r="R74" i="22"/>
  <c r="Q74" i="22"/>
  <c r="P74" i="22"/>
  <c r="O74" i="22"/>
  <c r="K74" i="22"/>
  <c r="I74" i="22"/>
  <c r="W73" i="22"/>
  <c r="V73" i="22"/>
  <c r="U73" i="22"/>
  <c r="T73" i="22"/>
  <c r="S73" i="22"/>
  <c r="I66" i="22" s="1"/>
  <c r="L59" i="22" s="1"/>
  <c r="R73" i="22"/>
  <c r="Q73" i="22"/>
  <c r="P73" i="22"/>
  <c r="K73" i="22"/>
  <c r="I73" i="22"/>
  <c r="W72" i="22"/>
  <c r="V72" i="22"/>
  <c r="O65" i="22" s="1"/>
  <c r="U72" i="22"/>
  <c r="T72" i="22"/>
  <c r="S72" i="22"/>
  <c r="R72" i="22"/>
  <c r="Q72" i="22"/>
  <c r="P72" i="22"/>
  <c r="L72" i="22"/>
  <c r="K72" i="22"/>
  <c r="I72" i="22"/>
  <c r="L65" i="22" s="1"/>
  <c r="W71" i="22"/>
  <c r="V71" i="22"/>
  <c r="O64" i="22" s="1"/>
  <c r="U71" i="22"/>
  <c r="T71" i="22"/>
  <c r="S71" i="22"/>
  <c r="R71" i="22"/>
  <c r="Q71" i="22"/>
  <c r="P71" i="22"/>
  <c r="N64" i="22" s="1"/>
  <c r="L71" i="22"/>
  <c r="K71" i="22"/>
  <c r="W70" i="22"/>
  <c r="V70" i="22"/>
  <c r="U70" i="22"/>
  <c r="T70" i="22"/>
  <c r="S70" i="22"/>
  <c r="R70" i="22"/>
  <c r="Q70" i="22"/>
  <c r="P70" i="22"/>
  <c r="N63" i="22" s="1"/>
  <c r="N70" i="22"/>
  <c r="K70" i="22"/>
  <c r="I70" i="22"/>
  <c r="W69" i="22"/>
  <c r="V69" i="22"/>
  <c r="O62" i="22" s="1"/>
  <c r="U69" i="22"/>
  <c r="T69" i="22"/>
  <c r="S69" i="22"/>
  <c r="I62" i="22" s="1"/>
  <c r="L55" i="22" s="1"/>
  <c r="R69" i="22"/>
  <c r="N62" i="22" s="1"/>
  <c r="Q69" i="22"/>
  <c r="P69" i="22"/>
  <c r="K69" i="22"/>
  <c r="W68" i="22"/>
  <c r="O61" i="22" s="1"/>
  <c r="V68" i="22"/>
  <c r="U68" i="22"/>
  <c r="T68" i="22"/>
  <c r="S68" i="22"/>
  <c r="I61" i="22" s="1"/>
  <c r="R68" i="22"/>
  <c r="Q68" i="22"/>
  <c r="N61" i="22" s="1"/>
  <c r="P68" i="22"/>
  <c r="K68" i="22"/>
  <c r="I68" i="22"/>
  <c r="W67" i="22"/>
  <c r="V67" i="22"/>
  <c r="U67" i="22"/>
  <c r="T67" i="22"/>
  <c r="S67" i="22"/>
  <c r="R67" i="22"/>
  <c r="Q67" i="22"/>
  <c r="P67" i="22"/>
  <c r="N67" i="22"/>
  <c r="L67" i="22"/>
  <c r="K67" i="22"/>
  <c r="W66" i="22"/>
  <c r="V66" i="22"/>
  <c r="U66" i="22"/>
  <c r="T66" i="22"/>
  <c r="S66" i="22"/>
  <c r="I59" i="22" s="1"/>
  <c r="R66" i="22"/>
  <c r="Q66" i="22"/>
  <c r="P66" i="22"/>
  <c r="O66" i="22"/>
  <c r="L66" i="22"/>
  <c r="K66" i="22"/>
  <c r="W65" i="22"/>
  <c r="V65" i="22"/>
  <c r="U65" i="22"/>
  <c r="T65" i="22"/>
  <c r="S65" i="22"/>
  <c r="R65" i="22"/>
  <c r="Q65" i="22"/>
  <c r="N58" i="22" s="1"/>
  <c r="P65" i="22"/>
  <c r="K65" i="22"/>
  <c r="I65" i="22"/>
  <c r="L58" i="22" s="1"/>
  <c r="W64" i="22"/>
  <c r="O57" i="22" s="1"/>
  <c r="V64" i="22"/>
  <c r="U64" i="22"/>
  <c r="T64" i="22"/>
  <c r="S64" i="22"/>
  <c r="I57" i="22" s="1"/>
  <c r="R64" i="22"/>
  <c r="Q64" i="22"/>
  <c r="P64" i="22"/>
  <c r="K64" i="22"/>
  <c r="I64" i="22"/>
  <c r="L57" i="22" s="1"/>
  <c r="W63" i="22"/>
  <c r="V63" i="22"/>
  <c r="U63" i="22"/>
  <c r="T63" i="22"/>
  <c r="S63" i="22"/>
  <c r="I56" i="22" s="1"/>
  <c r="L49" i="22" s="1"/>
  <c r="R63" i="22"/>
  <c r="Q63" i="22"/>
  <c r="N56" i="22" s="1"/>
  <c r="P63" i="22"/>
  <c r="O63" i="22"/>
  <c r="K63" i="22"/>
  <c r="I63" i="22"/>
  <c r="L56" i="22" s="1"/>
  <c r="W62" i="22"/>
  <c r="V62" i="22"/>
  <c r="U62" i="22"/>
  <c r="T62" i="22"/>
  <c r="S62" i="22"/>
  <c r="I55" i="22" s="1"/>
  <c r="L48" i="22" s="1"/>
  <c r="R62" i="22"/>
  <c r="Q62" i="22"/>
  <c r="N55" i="22" s="1"/>
  <c r="P62" i="22"/>
  <c r="L62" i="22"/>
  <c r="K62" i="22"/>
  <c r="W61" i="22"/>
  <c r="V61" i="22"/>
  <c r="O54" i="22" s="1"/>
  <c r="U61" i="22"/>
  <c r="T61" i="22"/>
  <c r="S61" i="22"/>
  <c r="R61" i="22"/>
  <c r="Q61" i="22"/>
  <c r="P61" i="22"/>
  <c r="L61" i="22"/>
  <c r="K61" i="22"/>
  <c r="W60" i="22"/>
  <c r="V60" i="22"/>
  <c r="O53" i="22" s="1"/>
  <c r="U60" i="22"/>
  <c r="N53" i="22" s="1"/>
  <c r="T60" i="22"/>
  <c r="S60" i="22"/>
  <c r="R60" i="22"/>
  <c r="Q60" i="22"/>
  <c r="P60" i="22"/>
  <c r="L60" i="22"/>
  <c r="K60" i="22"/>
  <c r="I60" i="22"/>
  <c r="L53" i="22" s="1"/>
  <c r="W59" i="22"/>
  <c r="V59" i="22"/>
  <c r="U59" i="22"/>
  <c r="T59" i="22"/>
  <c r="S59" i="22"/>
  <c r="I52" i="22" s="1"/>
  <c r="R59" i="22"/>
  <c r="Q59" i="22"/>
  <c r="P59" i="22"/>
  <c r="N52" i="22" s="1"/>
  <c r="O59" i="22"/>
  <c r="N59" i="22"/>
  <c r="K59" i="22"/>
  <c r="L52" i="22" s="1"/>
  <c r="W58" i="22"/>
  <c r="V58" i="22"/>
  <c r="U58" i="22"/>
  <c r="T58" i="22"/>
  <c r="S58" i="22"/>
  <c r="I51" i="22" s="1"/>
  <c r="L44" i="22" s="1"/>
  <c r="R58" i="22"/>
  <c r="Q58" i="22"/>
  <c r="N51" i="22" s="1"/>
  <c r="P58" i="22"/>
  <c r="O58" i="22"/>
  <c r="K58" i="22"/>
  <c r="I58" i="22"/>
  <c r="L51" i="22" s="1"/>
  <c r="W57" i="22"/>
  <c r="V57" i="22"/>
  <c r="U57" i="22"/>
  <c r="T57" i="22"/>
  <c r="S57" i="22"/>
  <c r="R57" i="22"/>
  <c r="Q57" i="22"/>
  <c r="P57" i="22"/>
  <c r="N57" i="22"/>
  <c r="K57" i="22"/>
  <c r="W56" i="22"/>
  <c r="V56" i="22"/>
  <c r="U56" i="22"/>
  <c r="T56" i="22"/>
  <c r="S56" i="22"/>
  <c r="I49" i="22" s="1"/>
  <c r="L42" i="22" s="1"/>
  <c r="R56" i="22"/>
  <c r="Q56" i="22"/>
  <c r="N49" i="22" s="1"/>
  <c r="P56" i="22"/>
  <c r="O56" i="22"/>
  <c r="K56" i="22"/>
  <c r="W55" i="22"/>
  <c r="O48" i="22" s="1"/>
  <c r="V55" i="22"/>
  <c r="U55" i="22"/>
  <c r="T55" i="22"/>
  <c r="S55" i="22"/>
  <c r="I48" i="22" s="1"/>
  <c r="L41" i="22" s="1"/>
  <c r="R55" i="22"/>
  <c r="Q55" i="22"/>
  <c r="P55" i="22"/>
  <c r="O55" i="22"/>
  <c r="K55" i="22"/>
  <c r="W54" i="22"/>
  <c r="V54" i="22"/>
  <c r="U54" i="22"/>
  <c r="T54" i="22"/>
  <c r="S54" i="22"/>
  <c r="I47" i="22" s="1"/>
  <c r="R54" i="22"/>
  <c r="Q54" i="22"/>
  <c r="P54" i="22"/>
  <c r="K54" i="22"/>
  <c r="I54" i="22"/>
  <c r="L47" i="22" s="1"/>
  <c r="W53" i="22"/>
  <c r="O46" i="22" s="1"/>
  <c r="V53" i="22"/>
  <c r="U53" i="22"/>
  <c r="T53" i="22"/>
  <c r="S53" i="22"/>
  <c r="R53" i="22"/>
  <c r="Q53" i="22"/>
  <c r="P53" i="22"/>
  <c r="K53" i="22"/>
  <c r="I53" i="22"/>
  <c r="W52" i="22"/>
  <c r="V52" i="22"/>
  <c r="U52" i="22"/>
  <c r="T52" i="22"/>
  <c r="S52" i="22"/>
  <c r="I46" i="22" s="1"/>
  <c r="R52" i="22"/>
  <c r="Q52" i="22"/>
  <c r="N45" i="22" s="1"/>
  <c r="P52" i="22"/>
  <c r="O52" i="22"/>
  <c r="K52" i="22"/>
  <c r="W51" i="22"/>
  <c r="V51" i="22"/>
  <c r="O44" i="22" s="1"/>
  <c r="U51" i="22"/>
  <c r="T51" i="22"/>
  <c r="S51" i="22"/>
  <c r="R51" i="22"/>
  <c r="Q51" i="22"/>
  <c r="N44" i="22" s="1"/>
  <c r="P51" i="22"/>
  <c r="O51" i="22"/>
  <c r="K51" i="22"/>
  <c r="W50" i="22"/>
  <c r="V50" i="22"/>
  <c r="U50" i="22"/>
  <c r="T50" i="22"/>
  <c r="S50" i="22"/>
  <c r="I44" i="22" s="1"/>
  <c r="L37" i="22" s="1"/>
  <c r="R50" i="22"/>
  <c r="Q50" i="22"/>
  <c r="P50" i="22"/>
  <c r="L50" i="22"/>
  <c r="K50" i="22"/>
  <c r="I50" i="22"/>
  <c r="L43" i="22" s="1"/>
  <c r="W49" i="22"/>
  <c r="V49" i="22"/>
  <c r="U49" i="22"/>
  <c r="T49" i="22"/>
  <c r="S49" i="22"/>
  <c r="R49" i="22"/>
  <c r="Q49" i="22"/>
  <c r="P49" i="22"/>
  <c r="N42" i="22" s="1"/>
  <c r="O49" i="22"/>
  <c r="K49" i="22"/>
  <c r="W48" i="22"/>
  <c r="V48" i="22"/>
  <c r="U48" i="22"/>
  <c r="T48" i="22"/>
  <c r="S48" i="22"/>
  <c r="I42" i="22" s="1"/>
  <c r="R48" i="22"/>
  <c r="Q48" i="22"/>
  <c r="N41" i="22" s="1"/>
  <c r="P48" i="22"/>
  <c r="K48" i="22"/>
  <c r="W47" i="22"/>
  <c r="V47" i="22"/>
  <c r="O40" i="22" s="1"/>
  <c r="U47" i="22"/>
  <c r="T47" i="22"/>
  <c r="S47" i="22"/>
  <c r="I41" i="22" s="1"/>
  <c r="R47" i="22"/>
  <c r="Q47" i="22"/>
  <c r="P47" i="22"/>
  <c r="O47" i="22"/>
  <c r="K47" i="22"/>
  <c r="W46" i="22"/>
  <c r="V46" i="22"/>
  <c r="O39" i="22" s="1"/>
  <c r="U46" i="22"/>
  <c r="T46" i="22"/>
  <c r="S46" i="22"/>
  <c r="R46" i="22"/>
  <c r="Q46" i="22"/>
  <c r="P46" i="22"/>
  <c r="L46" i="22"/>
  <c r="K46" i="22"/>
  <c r="W45" i="22"/>
  <c r="O38" i="22" s="1"/>
  <c r="V45" i="22"/>
  <c r="U45" i="22"/>
  <c r="T45" i="22"/>
  <c r="S45" i="22"/>
  <c r="R45" i="22"/>
  <c r="Q45" i="22"/>
  <c r="P45" i="22"/>
  <c r="O45" i="22"/>
  <c r="L45" i="22"/>
  <c r="K45" i="22"/>
  <c r="I45" i="22"/>
  <c r="L38" i="22" s="1"/>
  <c r="W44" i="22"/>
  <c r="O37" i="22" s="1"/>
  <c r="V44" i="22"/>
  <c r="U44" i="22"/>
  <c r="T44" i="22"/>
  <c r="S44" i="22"/>
  <c r="I38" i="22" s="1"/>
  <c r="L31" i="22" s="1"/>
  <c r="R44" i="22"/>
  <c r="Q44" i="22"/>
  <c r="P44" i="22"/>
  <c r="N37" i="22" s="1"/>
  <c r="K44" i="22"/>
  <c r="W43" i="22"/>
  <c r="O36" i="22" s="1"/>
  <c r="V43" i="22"/>
  <c r="U43" i="22"/>
  <c r="T43" i="22"/>
  <c r="S43" i="22"/>
  <c r="I37" i="22" s="1"/>
  <c r="L30" i="22" s="1"/>
  <c r="R43" i="22"/>
  <c r="Q43" i="22"/>
  <c r="N36" i="22" s="1"/>
  <c r="P43" i="22"/>
  <c r="K43" i="22"/>
  <c r="I43" i="22"/>
  <c r="L36" i="22" s="1"/>
  <c r="W42" i="22"/>
  <c r="V42" i="22"/>
  <c r="O35" i="22" s="1"/>
  <c r="U42" i="22"/>
  <c r="T42" i="22"/>
  <c r="S42" i="22"/>
  <c r="I36" i="22" s="1"/>
  <c r="L29" i="22" s="1"/>
  <c r="R42" i="22"/>
  <c r="Q42" i="22"/>
  <c r="P42" i="22"/>
  <c r="O42" i="22"/>
  <c r="K42" i="22"/>
  <c r="W41" i="22"/>
  <c r="V41" i="22"/>
  <c r="U41" i="22"/>
  <c r="T41" i="22"/>
  <c r="S41" i="22"/>
  <c r="I35" i="22" s="1"/>
  <c r="L28" i="22" s="1"/>
  <c r="R41" i="22"/>
  <c r="N34" i="22" s="1"/>
  <c r="Q41" i="22"/>
  <c r="P41" i="22"/>
  <c r="O41" i="22"/>
  <c r="K41" i="22"/>
  <c r="W40" i="22"/>
  <c r="V40" i="22"/>
  <c r="U40" i="22"/>
  <c r="T40" i="22"/>
  <c r="S40" i="22"/>
  <c r="R40" i="22"/>
  <c r="Q40" i="22"/>
  <c r="P40" i="22"/>
  <c r="K40" i="22"/>
  <c r="I40" i="22"/>
  <c r="L33" i="22" s="1"/>
  <c r="W39" i="22"/>
  <c r="O32" i="22" s="1"/>
  <c r="V39" i="22"/>
  <c r="U39" i="22"/>
  <c r="T39" i="22"/>
  <c r="S39" i="22"/>
  <c r="R39" i="22"/>
  <c r="Q39" i="22"/>
  <c r="P39" i="22"/>
  <c r="N39" i="22"/>
  <c r="K39" i="22"/>
  <c r="I39" i="22"/>
  <c r="L32" i="22" s="1"/>
  <c r="W38" i="22"/>
  <c r="O31" i="22" s="1"/>
  <c r="V38" i="22"/>
  <c r="U38" i="22"/>
  <c r="T38" i="22"/>
  <c r="S38" i="22"/>
  <c r="I32" i="22" s="1"/>
  <c r="R38" i="22"/>
  <c r="Q38" i="22"/>
  <c r="N31" i="22" s="1"/>
  <c r="P38" i="22"/>
  <c r="N38" i="22"/>
  <c r="K38" i="22"/>
  <c r="W37" i="22"/>
  <c r="V37" i="22"/>
  <c r="U37" i="22"/>
  <c r="T37" i="22"/>
  <c r="S37" i="22"/>
  <c r="I31" i="22" s="1"/>
  <c r="L24" i="22" s="1"/>
  <c r="R37" i="22"/>
  <c r="Q37" i="22"/>
  <c r="N30" i="22" s="1"/>
  <c r="P37" i="22"/>
  <c r="K37" i="22"/>
  <c r="W36" i="22"/>
  <c r="V36" i="22"/>
  <c r="U36" i="22"/>
  <c r="T36" i="22"/>
  <c r="S36" i="22"/>
  <c r="I30" i="22" s="1"/>
  <c r="R36" i="22"/>
  <c r="Q36" i="22"/>
  <c r="P36" i="22"/>
  <c r="K36" i="22"/>
  <c r="W35" i="22"/>
  <c r="O28" i="22" s="1"/>
  <c r="V35" i="22"/>
  <c r="U35" i="22"/>
  <c r="T35" i="22"/>
  <c r="S35" i="22"/>
  <c r="R35" i="22"/>
  <c r="Q35" i="22"/>
  <c r="P35" i="22"/>
  <c r="L35" i="22"/>
  <c r="K35" i="22"/>
  <c r="W34" i="22"/>
  <c r="V34" i="22"/>
  <c r="U34" i="22"/>
  <c r="T34" i="22"/>
  <c r="S34" i="22"/>
  <c r="R34" i="22"/>
  <c r="Q34" i="22"/>
  <c r="P34" i="22"/>
  <c r="O34" i="22"/>
  <c r="K34" i="22"/>
  <c r="W33" i="22"/>
  <c r="V33" i="22"/>
  <c r="U33" i="22"/>
  <c r="T33" i="22"/>
  <c r="S33" i="22"/>
  <c r="I27" i="22" s="1"/>
  <c r="L20" i="22" s="1"/>
  <c r="R33" i="22"/>
  <c r="Q33" i="22"/>
  <c r="N26" i="22" s="1"/>
  <c r="P33" i="22"/>
  <c r="O33" i="22"/>
  <c r="K33" i="22"/>
  <c r="I33" i="22"/>
  <c r="L26" i="22" s="1"/>
  <c r="W32" i="22"/>
  <c r="V32" i="22"/>
  <c r="U32" i="22"/>
  <c r="T32" i="22"/>
  <c r="S32" i="22"/>
  <c r="I26" i="22" s="1"/>
  <c r="R32" i="22"/>
  <c r="Q32" i="22"/>
  <c r="P32" i="22"/>
  <c r="K32" i="22"/>
  <c r="W31" i="22"/>
  <c r="O24" i="22" s="1"/>
  <c r="V31" i="22"/>
  <c r="U31" i="22"/>
  <c r="T31" i="22"/>
  <c r="S31" i="22"/>
  <c r="R31" i="22"/>
  <c r="Q31" i="22"/>
  <c r="P31" i="22"/>
  <c r="K31" i="22"/>
  <c r="W30" i="22"/>
  <c r="V30" i="22"/>
  <c r="O23" i="22" s="1"/>
  <c r="U30" i="22"/>
  <c r="T30" i="22"/>
  <c r="S30" i="22"/>
  <c r="I24" i="22" s="1"/>
  <c r="L17" i="22" s="1"/>
  <c r="R30" i="22"/>
  <c r="Q30" i="22"/>
  <c r="P30" i="22"/>
  <c r="O30" i="22"/>
  <c r="K30" i="22"/>
  <c r="W29" i="22"/>
  <c r="V29" i="22"/>
  <c r="U29" i="22"/>
  <c r="T29" i="22"/>
  <c r="S29" i="22"/>
  <c r="R29" i="22"/>
  <c r="Q29" i="22"/>
  <c r="P29" i="22"/>
  <c r="O29" i="22"/>
  <c r="K29" i="22"/>
  <c r="I29" i="22"/>
  <c r="L22" i="22" s="1"/>
  <c r="W28" i="22"/>
  <c r="O21" i="22" s="1"/>
  <c r="V28" i="22"/>
  <c r="U28" i="22"/>
  <c r="T28" i="22"/>
  <c r="S28" i="22"/>
  <c r="I23" i="22" s="1"/>
  <c r="R28" i="22"/>
  <c r="Q28" i="22"/>
  <c r="P28" i="22"/>
  <c r="N28" i="22"/>
  <c r="K28" i="22"/>
  <c r="I28" i="22"/>
  <c r="L21" i="22" s="1"/>
  <c r="W27" i="22"/>
  <c r="V27" i="22"/>
  <c r="U27" i="22"/>
  <c r="T27" i="22"/>
  <c r="S27" i="22"/>
  <c r="I22" i="22" s="1"/>
  <c r="R27" i="22"/>
  <c r="Q27" i="22"/>
  <c r="N20" i="22" s="1"/>
  <c r="P27" i="22"/>
  <c r="O27" i="22"/>
  <c r="N27" i="22"/>
  <c r="K27" i="22"/>
  <c r="W26" i="22"/>
  <c r="V26" i="22"/>
  <c r="U26" i="22"/>
  <c r="T26" i="22"/>
  <c r="S26" i="22"/>
  <c r="R26" i="22"/>
  <c r="Q26" i="22"/>
  <c r="N19" i="22" s="1"/>
  <c r="P26" i="22"/>
  <c r="O26" i="22"/>
  <c r="K26" i="22"/>
  <c r="W25" i="22"/>
  <c r="V25" i="22"/>
  <c r="O18" i="22" s="1"/>
  <c r="U25" i="22"/>
  <c r="T25" i="22"/>
  <c r="S25" i="22"/>
  <c r="I20" i="22" s="1"/>
  <c r="L13" i="22" s="1"/>
  <c r="R25" i="22"/>
  <c r="Q25" i="22"/>
  <c r="P25" i="22"/>
  <c r="N18" i="22" s="1"/>
  <c r="L25" i="22"/>
  <c r="K25" i="22"/>
  <c r="I25" i="22"/>
  <c r="L18" i="22" s="1"/>
  <c r="W24" i="22"/>
  <c r="V24" i="22"/>
  <c r="U24" i="22"/>
  <c r="T24" i="22"/>
  <c r="S24" i="22"/>
  <c r="R24" i="22"/>
  <c r="Q24" i="22"/>
  <c r="P24" i="22"/>
  <c r="K24" i="22"/>
  <c r="W23" i="22"/>
  <c r="O16" i="22" s="1"/>
  <c r="V23" i="22"/>
  <c r="U23" i="22"/>
  <c r="T23" i="22"/>
  <c r="S23" i="22"/>
  <c r="R23" i="22"/>
  <c r="Q23" i="22"/>
  <c r="P23" i="22"/>
  <c r="K23" i="22"/>
  <c r="L16" i="22" s="1"/>
  <c r="W22" i="22"/>
  <c r="V22" i="22"/>
  <c r="O15" i="22" s="1"/>
  <c r="U22" i="22"/>
  <c r="T22" i="22"/>
  <c r="S22" i="22"/>
  <c r="I17" i="22" s="1"/>
  <c r="R22" i="22"/>
  <c r="Q22" i="22"/>
  <c r="P22" i="22"/>
  <c r="O22" i="22"/>
  <c r="K22" i="22"/>
  <c r="L15" i="22" s="1"/>
  <c r="W21" i="22"/>
  <c r="V21" i="22"/>
  <c r="O14" i="22" s="1"/>
  <c r="U21" i="22"/>
  <c r="N14" i="22" s="1"/>
  <c r="T21" i="22"/>
  <c r="S21" i="22"/>
  <c r="R21" i="22"/>
  <c r="Q21" i="22"/>
  <c r="P21" i="22"/>
  <c r="K21" i="22"/>
  <c r="L14" i="22" s="1"/>
  <c r="I21" i="22"/>
  <c r="W20" i="22"/>
  <c r="V20" i="22"/>
  <c r="O13" i="22" s="1"/>
  <c r="U20" i="22"/>
  <c r="T20" i="22"/>
  <c r="S20" i="22"/>
  <c r="R20" i="22"/>
  <c r="Q20" i="22"/>
  <c r="P20" i="22"/>
  <c r="O20" i="22"/>
  <c r="K20" i="22"/>
  <c r="W19" i="22"/>
  <c r="O12" i="22" s="1"/>
  <c r="V19" i="22"/>
  <c r="U19" i="22"/>
  <c r="T19" i="22"/>
  <c r="S19" i="22"/>
  <c r="I14" i="22" s="1"/>
  <c r="L7" i="22" s="1"/>
  <c r="R19" i="22"/>
  <c r="Q19" i="22"/>
  <c r="P19" i="22"/>
  <c r="O19" i="22"/>
  <c r="K19" i="22"/>
  <c r="I19" i="22"/>
  <c r="L12" i="22" s="1"/>
  <c r="W18" i="22"/>
  <c r="O11" i="22" s="1"/>
  <c r="V18" i="22"/>
  <c r="U18" i="22"/>
  <c r="T18" i="22"/>
  <c r="S18" i="22"/>
  <c r="R18" i="22"/>
  <c r="Q18" i="22"/>
  <c r="P18" i="22"/>
  <c r="K18" i="22"/>
  <c r="I18" i="22"/>
  <c r="L11" i="22" s="1"/>
  <c r="W17" i="22"/>
  <c r="V17" i="22"/>
  <c r="U17" i="22"/>
  <c r="T17" i="22"/>
  <c r="S17" i="22"/>
  <c r="R17" i="22"/>
  <c r="Q17" i="22"/>
  <c r="P17" i="22"/>
  <c r="O17" i="22"/>
  <c r="N17" i="22"/>
  <c r="K17" i="22"/>
  <c r="W16" i="22"/>
  <c r="V16" i="22"/>
  <c r="U16" i="22"/>
  <c r="T16" i="22"/>
  <c r="S16" i="22"/>
  <c r="R16" i="22"/>
  <c r="Q16" i="22"/>
  <c r="P16" i="22"/>
  <c r="K16" i="22"/>
  <c r="L9" i="22" s="1"/>
  <c r="W15" i="22"/>
  <c r="V15" i="22"/>
  <c r="O8" i="22" s="1"/>
  <c r="U15" i="22"/>
  <c r="T15" i="22"/>
  <c r="S15" i="22"/>
  <c r="R15" i="22"/>
  <c r="Q15" i="22"/>
  <c r="P15" i="22"/>
  <c r="K15" i="22"/>
  <c r="I15" i="22"/>
  <c r="W14" i="22"/>
  <c r="V14" i="22"/>
  <c r="U14" i="22"/>
  <c r="T14" i="22"/>
  <c r="S14" i="22"/>
  <c r="I9" i="22" s="1"/>
  <c r="L2" i="22" s="1"/>
  <c r="R14" i="22"/>
  <c r="N7" i="22" s="1"/>
  <c r="Q14" i="22"/>
  <c r="P14" i="22"/>
  <c r="K14" i="22"/>
  <c r="W13" i="22"/>
  <c r="V13" i="22"/>
  <c r="O6" i="22" s="1"/>
  <c r="U13" i="22"/>
  <c r="T13" i="22"/>
  <c r="S13" i="22"/>
  <c r="R13" i="22"/>
  <c r="Q13" i="22"/>
  <c r="P13" i="22"/>
  <c r="K13" i="22"/>
  <c r="I13" i="22"/>
  <c r="W12" i="22"/>
  <c r="V12" i="22"/>
  <c r="O5" i="22" s="1"/>
  <c r="U12" i="22"/>
  <c r="T12" i="22"/>
  <c r="N5" i="22" s="1"/>
  <c r="S12" i="22"/>
  <c r="R12" i="22"/>
  <c r="Q12" i="22"/>
  <c r="P12" i="22"/>
  <c r="N12" i="22"/>
  <c r="K12" i="22"/>
  <c r="I12" i="22"/>
  <c r="L5" i="22" s="1"/>
  <c r="W11" i="22"/>
  <c r="V11" i="22"/>
  <c r="O4" i="22" s="1"/>
  <c r="U11" i="22"/>
  <c r="N4" i="22" s="1"/>
  <c r="T11" i="22"/>
  <c r="S11" i="22"/>
  <c r="R11" i="22"/>
  <c r="Q11" i="22"/>
  <c r="P11" i="22"/>
  <c r="N11" i="22"/>
  <c r="K11" i="22"/>
  <c r="I11" i="22"/>
  <c r="L4" i="22" s="1"/>
  <c r="W10" i="22"/>
  <c r="V10" i="22"/>
  <c r="O3" i="22" s="1"/>
  <c r="U10" i="22"/>
  <c r="T10" i="22"/>
  <c r="S10" i="22"/>
  <c r="R10" i="22"/>
  <c r="Q10" i="22"/>
  <c r="P10" i="22"/>
  <c r="O10" i="22"/>
  <c r="N10" i="22"/>
  <c r="K10" i="22"/>
  <c r="I10" i="22"/>
  <c r="W9" i="22"/>
  <c r="V9" i="22"/>
  <c r="U9" i="22"/>
  <c r="T9" i="22"/>
  <c r="S9" i="22"/>
  <c r="R9" i="22"/>
  <c r="Q9" i="22"/>
  <c r="P9" i="22"/>
  <c r="O9" i="22"/>
  <c r="K9" i="22"/>
  <c r="W8" i="22"/>
  <c r="V8" i="22"/>
  <c r="U8" i="22"/>
  <c r="T8" i="22"/>
  <c r="S8" i="22"/>
  <c r="I3" i="22" s="1"/>
  <c r="R8" i="22"/>
  <c r="Q8" i="22"/>
  <c r="P8" i="22"/>
  <c r="L8" i="22"/>
  <c r="K8" i="22"/>
  <c r="W7" i="22"/>
  <c r="V7" i="22"/>
  <c r="U7" i="22"/>
  <c r="T7" i="22"/>
  <c r="S7" i="22"/>
  <c r="R7" i="22"/>
  <c r="Q7" i="22"/>
  <c r="P7" i="22"/>
  <c r="K7" i="22"/>
  <c r="I7" i="22"/>
  <c r="W6" i="22"/>
  <c r="V6" i="22"/>
  <c r="U6" i="22"/>
  <c r="T6" i="22"/>
  <c r="S6" i="22"/>
  <c r="R6" i="22"/>
  <c r="Q6" i="22"/>
  <c r="P6" i="22"/>
  <c r="L6" i="22"/>
  <c r="K6" i="22"/>
  <c r="I6" i="22"/>
  <c r="W5" i="22"/>
  <c r="V5" i="22"/>
  <c r="U5" i="22"/>
  <c r="T5" i="22"/>
  <c r="S5" i="22"/>
  <c r="R5" i="22"/>
  <c r="Q5" i="22"/>
  <c r="P5" i="22"/>
  <c r="K5" i="22"/>
  <c r="I5" i="22"/>
  <c r="W4" i="22"/>
  <c r="V4" i="22"/>
  <c r="U4" i="22"/>
  <c r="T4" i="22"/>
  <c r="S4" i="22"/>
  <c r="R4" i="22"/>
  <c r="Q4" i="22"/>
  <c r="P4" i="22"/>
  <c r="K4" i="22"/>
  <c r="I4" i="22"/>
  <c r="W3" i="22"/>
  <c r="V3" i="22"/>
  <c r="U3" i="22"/>
  <c r="T3" i="22"/>
  <c r="S3" i="22"/>
  <c r="R3" i="22"/>
  <c r="Q3" i="22"/>
  <c r="P3" i="22"/>
  <c r="N3" i="22"/>
  <c r="K3" i="22"/>
  <c r="W2" i="22"/>
  <c r="V2" i="22"/>
  <c r="U2" i="22"/>
  <c r="T2" i="22"/>
  <c r="S2" i="22"/>
  <c r="R2" i="22"/>
  <c r="Q2" i="22"/>
  <c r="P2" i="22"/>
  <c r="K2" i="22"/>
  <c r="I2" i="22"/>
  <c r="AV247" i="6"/>
  <c r="AT247" i="6"/>
  <c r="AS247" i="6"/>
  <c r="AR247" i="6"/>
  <c r="AQ247" i="6"/>
  <c r="AP247" i="6"/>
  <c r="AO247" i="6"/>
  <c r="AN247" i="6"/>
  <c r="AM247" i="6"/>
  <c r="AL247" i="6"/>
  <c r="D247" i="6"/>
  <c r="C247" i="6"/>
  <c r="AV246" i="6"/>
  <c r="AT246" i="6"/>
  <c r="AS246" i="6"/>
  <c r="AR246" i="6"/>
  <c r="AQ246" i="6"/>
  <c r="AP246" i="6"/>
  <c r="AO246" i="6"/>
  <c r="AN246" i="6"/>
  <c r="AM246" i="6"/>
  <c r="AL246" i="6"/>
  <c r="D246" i="6"/>
  <c r="C246" i="6"/>
  <c r="AV245" i="6"/>
  <c r="AT245" i="6"/>
  <c r="AS245" i="6"/>
  <c r="AR245" i="6"/>
  <c r="AQ245" i="6"/>
  <c r="AP245" i="6"/>
  <c r="AO245" i="6"/>
  <c r="AN245" i="6"/>
  <c r="AM245" i="6"/>
  <c r="AL245" i="6"/>
  <c r="D245" i="6"/>
  <c r="C245" i="6"/>
  <c r="AV244" i="6"/>
  <c r="AT244" i="6"/>
  <c r="AS244" i="6"/>
  <c r="AR244" i="6"/>
  <c r="AQ244" i="6"/>
  <c r="AP244" i="6"/>
  <c r="AO244" i="6"/>
  <c r="AN244" i="6"/>
  <c r="AM244" i="6"/>
  <c r="AL244" i="6"/>
  <c r="D244" i="6"/>
  <c r="C244" i="6"/>
  <c r="AV243" i="6"/>
  <c r="AT243" i="6"/>
  <c r="AS243" i="6"/>
  <c r="AR243" i="6"/>
  <c r="AQ243" i="6"/>
  <c r="AP243" i="6"/>
  <c r="AO243" i="6"/>
  <c r="AN243" i="6"/>
  <c r="AM243" i="6"/>
  <c r="AL243" i="6"/>
  <c r="D243" i="6"/>
  <c r="C243" i="6"/>
  <c r="AV242" i="6"/>
  <c r="AT242" i="6"/>
  <c r="AS242" i="6"/>
  <c r="AR242" i="6"/>
  <c r="AQ242" i="6"/>
  <c r="AP242" i="6"/>
  <c r="AO242" i="6"/>
  <c r="AN242" i="6"/>
  <c r="AM242" i="6"/>
  <c r="AL242" i="6"/>
  <c r="D242" i="6"/>
  <c r="C242" i="6"/>
  <c r="AV241" i="6"/>
  <c r="AT241" i="6"/>
  <c r="AS241" i="6"/>
  <c r="AR241" i="6"/>
  <c r="AQ241" i="6"/>
  <c r="AP241" i="6"/>
  <c r="AO241" i="6"/>
  <c r="AN241" i="6"/>
  <c r="AM241" i="6"/>
  <c r="AL241" i="6"/>
  <c r="D241" i="6"/>
  <c r="C241" i="6"/>
  <c r="AV240" i="6"/>
  <c r="AT240" i="6"/>
  <c r="AS240" i="6"/>
  <c r="AR240" i="6"/>
  <c r="AQ240" i="6"/>
  <c r="AP240" i="6"/>
  <c r="AO240" i="6"/>
  <c r="AN240" i="6"/>
  <c r="AM240" i="6"/>
  <c r="AL240" i="6"/>
  <c r="D240" i="6"/>
  <c r="C240" i="6"/>
  <c r="AV239" i="6"/>
  <c r="AT239" i="6"/>
  <c r="AS239" i="6"/>
  <c r="AR239" i="6"/>
  <c r="AQ239" i="6"/>
  <c r="AP239" i="6"/>
  <c r="AO239" i="6"/>
  <c r="AN239" i="6"/>
  <c r="AM239" i="6"/>
  <c r="AL239" i="6"/>
  <c r="D239" i="6"/>
  <c r="C239" i="6"/>
  <c r="AV238" i="6"/>
  <c r="AT238" i="6"/>
  <c r="AS238" i="6"/>
  <c r="AR238" i="6"/>
  <c r="AQ238" i="6"/>
  <c r="AP238" i="6"/>
  <c r="AO238" i="6"/>
  <c r="AN238" i="6"/>
  <c r="AM238" i="6"/>
  <c r="AL238" i="6"/>
  <c r="D238" i="6"/>
  <c r="C238" i="6"/>
  <c r="AV237" i="6"/>
  <c r="AT237" i="6"/>
  <c r="AS237" i="6"/>
  <c r="AR237" i="6"/>
  <c r="AQ237" i="6"/>
  <c r="AP237" i="6"/>
  <c r="AO237" i="6"/>
  <c r="AN237" i="6"/>
  <c r="AM237" i="6"/>
  <c r="AL237" i="6"/>
  <c r="D237" i="6"/>
  <c r="C237" i="6"/>
  <c r="AV236" i="6"/>
  <c r="AT236" i="6"/>
  <c r="AS236" i="6"/>
  <c r="AR236" i="6"/>
  <c r="AQ236" i="6"/>
  <c r="AP236" i="6"/>
  <c r="AO236" i="6"/>
  <c r="AN236" i="6"/>
  <c r="AM236" i="6"/>
  <c r="AL236" i="6"/>
  <c r="D236" i="6"/>
  <c r="C236" i="6"/>
  <c r="AV235" i="6"/>
  <c r="AT235" i="6"/>
  <c r="AS235" i="6"/>
  <c r="AR235" i="6"/>
  <c r="AQ235" i="6"/>
  <c r="AP235" i="6"/>
  <c r="AO235" i="6"/>
  <c r="AN235" i="6"/>
  <c r="AM235" i="6"/>
  <c r="AL235" i="6"/>
  <c r="D235" i="6"/>
  <c r="C235" i="6"/>
  <c r="AV234" i="6"/>
  <c r="AT234" i="6"/>
  <c r="AS234" i="6"/>
  <c r="AR234" i="6"/>
  <c r="AQ234" i="6"/>
  <c r="AP234" i="6"/>
  <c r="AO234" i="6"/>
  <c r="AN234" i="6"/>
  <c r="AM234" i="6"/>
  <c r="AL234" i="6"/>
  <c r="D234" i="6"/>
  <c r="C234" i="6"/>
  <c r="AV233" i="6"/>
  <c r="AT233" i="6"/>
  <c r="AS233" i="6"/>
  <c r="AR233" i="6"/>
  <c r="AQ233" i="6"/>
  <c r="AP233" i="6"/>
  <c r="AO233" i="6"/>
  <c r="AN233" i="6"/>
  <c r="AM233" i="6"/>
  <c r="AL233" i="6"/>
  <c r="D233" i="6"/>
  <c r="C233" i="6"/>
  <c r="AV232" i="6"/>
  <c r="AT232" i="6"/>
  <c r="AS232" i="6"/>
  <c r="AR232" i="6"/>
  <c r="AQ232" i="6"/>
  <c r="AP232" i="6"/>
  <c r="AO232" i="6"/>
  <c r="AN232" i="6"/>
  <c r="AM232" i="6"/>
  <c r="AL232" i="6"/>
  <c r="D232" i="6"/>
  <c r="C232" i="6"/>
  <c r="AV231" i="6"/>
  <c r="AT231" i="6"/>
  <c r="AS231" i="6"/>
  <c r="AR231" i="6"/>
  <c r="AQ231" i="6"/>
  <c r="AP231" i="6"/>
  <c r="AO231" i="6"/>
  <c r="AN231" i="6"/>
  <c r="AM231" i="6"/>
  <c r="AL231" i="6"/>
  <c r="D231" i="6"/>
  <c r="C231" i="6"/>
  <c r="AV230" i="6"/>
  <c r="AT230" i="6"/>
  <c r="AS230" i="6"/>
  <c r="AR230" i="6"/>
  <c r="AQ230" i="6"/>
  <c r="AP230" i="6"/>
  <c r="AO230" i="6"/>
  <c r="AN230" i="6"/>
  <c r="AM230" i="6"/>
  <c r="AL230" i="6"/>
  <c r="D230" i="6"/>
  <c r="C230" i="6"/>
  <c r="AV229" i="6"/>
  <c r="AT229" i="6"/>
  <c r="AS229" i="6"/>
  <c r="AR229" i="6"/>
  <c r="AQ229" i="6"/>
  <c r="AP229" i="6"/>
  <c r="AO229" i="6"/>
  <c r="AN229" i="6"/>
  <c r="AM229" i="6"/>
  <c r="AL229" i="6"/>
  <c r="D229" i="6"/>
  <c r="C229" i="6"/>
  <c r="AV228" i="6"/>
  <c r="AT228" i="6"/>
  <c r="AS228" i="6"/>
  <c r="AR228" i="6"/>
  <c r="AQ228" i="6"/>
  <c r="AP228" i="6"/>
  <c r="AO228" i="6"/>
  <c r="AN228" i="6"/>
  <c r="AM228" i="6"/>
  <c r="AL228" i="6"/>
  <c r="D228" i="6"/>
  <c r="C228" i="6"/>
  <c r="AV227" i="6"/>
  <c r="AT227" i="6"/>
  <c r="AS227" i="6"/>
  <c r="AR227" i="6"/>
  <c r="AQ227" i="6"/>
  <c r="AP227" i="6"/>
  <c r="AO227" i="6"/>
  <c r="AN227" i="6"/>
  <c r="AM227" i="6"/>
  <c r="AL227" i="6"/>
  <c r="D227" i="6"/>
  <c r="C227" i="6"/>
  <c r="AV226" i="6"/>
  <c r="AT226" i="6"/>
  <c r="AS226" i="6"/>
  <c r="AR226" i="6"/>
  <c r="AQ226" i="6"/>
  <c r="AP226" i="6"/>
  <c r="AO226" i="6"/>
  <c r="AN226" i="6"/>
  <c r="AM226" i="6"/>
  <c r="AL226" i="6"/>
  <c r="D226" i="6"/>
  <c r="C226" i="6"/>
  <c r="AV225" i="6"/>
  <c r="AT225" i="6"/>
  <c r="AS225" i="6"/>
  <c r="AR225" i="6"/>
  <c r="AQ225" i="6"/>
  <c r="AP225" i="6"/>
  <c r="AO225" i="6"/>
  <c r="AN225" i="6"/>
  <c r="AM225" i="6"/>
  <c r="AL225" i="6"/>
  <c r="D225" i="6"/>
  <c r="C225" i="6"/>
  <c r="AV224" i="6"/>
  <c r="AT224" i="6"/>
  <c r="AS224" i="6"/>
  <c r="AR224" i="6"/>
  <c r="AQ224" i="6"/>
  <c r="AP224" i="6"/>
  <c r="AO224" i="6"/>
  <c r="AN224" i="6"/>
  <c r="AM224" i="6"/>
  <c r="AL224" i="6"/>
  <c r="D224" i="6"/>
  <c r="C224" i="6"/>
  <c r="AV223" i="6"/>
  <c r="AT223" i="6"/>
  <c r="AS223" i="6"/>
  <c r="AR223" i="6"/>
  <c r="AQ223" i="6"/>
  <c r="AP223" i="6"/>
  <c r="AO223" i="6"/>
  <c r="AN223" i="6"/>
  <c r="AM223" i="6"/>
  <c r="AL223" i="6"/>
  <c r="D223" i="6"/>
  <c r="C223" i="6"/>
  <c r="AV222" i="6"/>
  <c r="AT222" i="6"/>
  <c r="AS222" i="6"/>
  <c r="AR222" i="6"/>
  <c r="AQ222" i="6"/>
  <c r="AP222" i="6"/>
  <c r="AO222" i="6"/>
  <c r="AN222" i="6"/>
  <c r="AM222" i="6"/>
  <c r="AL222" i="6"/>
  <c r="D222" i="6"/>
  <c r="C222" i="6"/>
  <c r="AV221" i="6"/>
  <c r="AT221" i="6"/>
  <c r="AS221" i="6"/>
  <c r="AR221" i="6"/>
  <c r="AQ221" i="6"/>
  <c r="AP221" i="6"/>
  <c r="AO221" i="6"/>
  <c r="AN221" i="6"/>
  <c r="AM221" i="6"/>
  <c r="AL221" i="6"/>
  <c r="D221" i="6"/>
  <c r="C221" i="6"/>
  <c r="AV220" i="6"/>
  <c r="AT220" i="6"/>
  <c r="AS220" i="6"/>
  <c r="AR220" i="6"/>
  <c r="AQ220" i="6"/>
  <c r="AP220" i="6"/>
  <c r="AO220" i="6"/>
  <c r="AN220" i="6"/>
  <c r="AM220" i="6"/>
  <c r="AL220" i="6"/>
  <c r="D220" i="6"/>
  <c r="C220" i="6"/>
  <c r="AV219" i="6"/>
  <c r="AT219" i="6"/>
  <c r="AS219" i="6"/>
  <c r="AR219" i="6"/>
  <c r="AQ219" i="6"/>
  <c r="AP219" i="6"/>
  <c r="AO219" i="6"/>
  <c r="AN219" i="6"/>
  <c r="AM219" i="6"/>
  <c r="AL219" i="6"/>
  <c r="D219" i="6"/>
  <c r="C219" i="6"/>
  <c r="AV218" i="6"/>
  <c r="AT218" i="6"/>
  <c r="AS218" i="6"/>
  <c r="AR218" i="6"/>
  <c r="AQ218" i="6"/>
  <c r="AP218" i="6"/>
  <c r="AO218" i="6"/>
  <c r="AN218" i="6"/>
  <c r="AM218" i="6"/>
  <c r="AL218" i="6"/>
  <c r="D218" i="6"/>
  <c r="C218" i="6"/>
  <c r="AV217" i="6"/>
  <c r="AT217" i="6"/>
  <c r="AS217" i="6"/>
  <c r="AR217" i="6"/>
  <c r="AQ217" i="6"/>
  <c r="AP217" i="6"/>
  <c r="AO217" i="6"/>
  <c r="AN217" i="6"/>
  <c r="AM217" i="6"/>
  <c r="AL217" i="6"/>
  <c r="D217" i="6"/>
  <c r="C217" i="6"/>
  <c r="AV216" i="6"/>
  <c r="AT216" i="6"/>
  <c r="AS216" i="6"/>
  <c r="AR216" i="6"/>
  <c r="AQ216" i="6"/>
  <c r="AP216" i="6"/>
  <c r="AO216" i="6"/>
  <c r="AN216" i="6"/>
  <c r="AM216" i="6"/>
  <c r="AL216" i="6"/>
  <c r="D216" i="6"/>
  <c r="C216" i="6"/>
  <c r="AV215" i="6"/>
  <c r="AT215" i="6"/>
  <c r="AS215" i="6"/>
  <c r="AR215" i="6"/>
  <c r="AQ215" i="6"/>
  <c r="AP215" i="6"/>
  <c r="AO215" i="6"/>
  <c r="AN215" i="6"/>
  <c r="AM215" i="6"/>
  <c r="AL215" i="6"/>
  <c r="D215" i="6"/>
  <c r="C215" i="6"/>
  <c r="AV214" i="6"/>
  <c r="AT214" i="6"/>
  <c r="AS214" i="6"/>
  <c r="AR214" i="6"/>
  <c r="AQ214" i="6"/>
  <c r="AP214" i="6"/>
  <c r="AO214" i="6"/>
  <c r="AN214" i="6"/>
  <c r="AM214" i="6"/>
  <c r="AL214" i="6"/>
  <c r="D214" i="6"/>
  <c r="C214" i="6"/>
  <c r="AV213" i="6"/>
  <c r="AT213" i="6"/>
  <c r="AS213" i="6"/>
  <c r="AR213" i="6"/>
  <c r="AQ213" i="6"/>
  <c r="AP213" i="6"/>
  <c r="AO213" i="6"/>
  <c r="AN213" i="6"/>
  <c r="AM213" i="6"/>
  <c r="AL213" i="6"/>
  <c r="D213" i="6"/>
  <c r="C213" i="6"/>
  <c r="AV212" i="6"/>
  <c r="AT212" i="6"/>
  <c r="AS212" i="6"/>
  <c r="AR212" i="6"/>
  <c r="AQ212" i="6"/>
  <c r="AP212" i="6"/>
  <c r="AO212" i="6"/>
  <c r="AN212" i="6"/>
  <c r="AM212" i="6"/>
  <c r="AL212" i="6"/>
  <c r="D212" i="6"/>
  <c r="C212" i="6"/>
  <c r="AV211" i="6"/>
  <c r="AT211" i="6"/>
  <c r="AS211" i="6"/>
  <c r="AR211" i="6"/>
  <c r="AQ211" i="6"/>
  <c r="AP211" i="6"/>
  <c r="AO211" i="6"/>
  <c r="AN211" i="6"/>
  <c r="AM211" i="6"/>
  <c r="AL211" i="6"/>
  <c r="D211" i="6"/>
  <c r="C211" i="6"/>
  <c r="AV210" i="6"/>
  <c r="AT210" i="6"/>
  <c r="AS210" i="6"/>
  <c r="AR210" i="6"/>
  <c r="AQ210" i="6"/>
  <c r="AP210" i="6"/>
  <c r="AO210" i="6"/>
  <c r="AN210" i="6"/>
  <c r="AM210" i="6"/>
  <c r="AL210" i="6"/>
  <c r="D210" i="6"/>
  <c r="C210" i="6"/>
  <c r="AV209" i="6"/>
  <c r="AT209" i="6"/>
  <c r="AS209" i="6"/>
  <c r="AR209" i="6"/>
  <c r="AQ209" i="6"/>
  <c r="AP209" i="6"/>
  <c r="AO209" i="6"/>
  <c r="AN209" i="6"/>
  <c r="AM209" i="6"/>
  <c r="AL209" i="6"/>
  <c r="D209" i="6"/>
  <c r="C209" i="6"/>
  <c r="AV208" i="6"/>
  <c r="AT208" i="6"/>
  <c r="AS208" i="6"/>
  <c r="AR208" i="6"/>
  <c r="AQ208" i="6"/>
  <c r="AP208" i="6"/>
  <c r="AO208" i="6"/>
  <c r="AN208" i="6"/>
  <c r="AM208" i="6"/>
  <c r="AL208" i="6"/>
  <c r="D208" i="6"/>
  <c r="C208" i="6"/>
  <c r="AV207" i="6"/>
  <c r="AT207" i="6"/>
  <c r="AS207" i="6"/>
  <c r="AR207" i="6"/>
  <c r="AQ207" i="6"/>
  <c r="AP207" i="6"/>
  <c r="AO207" i="6"/>
  <c r="AN207" i="6"/>
  <c r="AM207" i="6"/>
  <c r="AL207" i="6"/>
  <c r="D207" i="6"/>
  <c r="C207" i="6"/>
  <c r="AV206" i="6"/>
  <c r="AT206" i="6"/>
  <c r="AS206" i="6"/>
  <c r="AR206" i="6"/>
  <c r="AQ206" i="6"/>
  <c r="AP206" i="6"/>
  <c r="AO206" i="6"/>
  <c r="AN206" i="6"/>
  <c r="AM206" i="6"/>
  <c r="AL206" i="6"/>
  <c r="D206" i="6"/>
  <c r="C206" i="6"/>
  <c r="AV205" i="6"/>
  <c r="AT205" i="6"/>
  <c r="AS205" i="6"/>
  <c r="AR205" i="6"/>
  <c r="AQ205" i="6"/>
  <c r="AP205" i="6"/>
  <c r="AO205" i="6"/>
  <c r="AN205" i="6"/>
  <c r="AM205" i="6"/>
  <c r="AL205" i="6"/>
  <c r="D205" i="6"/>
  <c r="C205" i="6"/>
  <c r="AV204" i="6"/>
  <c r="AT204" i="6"/>
  <c r="AS204" i="6"/>
  <c r="AR204" i="6"/>
  <c r="AQ204" i="6"/>
  <c r="AP204" i="6"/>
  <c r="AO204" i="6"/>
  <c r="AN204" i="6"/>
  <c r="AM204" i="6"/>
  <c r="AL204" i="6"/>
  <c r="D204" i="6"/>
  <c r="C204" i="6"/>
  <c r="AV203" i="6"/>
  <c r="AT203" i="6"/>
  <c r="AS203" i="6"/>
  <c r="AR203" i="6"/>
  <c r="AQ203" i="6"/>
  <c r="AP203" i="6"/>
  <c r="AO203" i="6"/>
  <c r="AN203" i="6"/>
  <c r="AM203" i="6"/>
  <c r="AL203" i="6"/>
  <c r="D203" i="6"/>
  <c r="C203" i="6"/>
  <c r="AV202" i="6"/>
  <c r="AT202" i="6"/>
  <c r="AS202" i="6"/>
  <c r="AR202" i="6"/>
  <c r="AQ202" i="6"/>
  <c r="AP202" i="6"/>
  <c r="AO202" i="6"/>
  <c r="AN202" i="6"/>
  <c r="AM202" i="6"/>
  <c r="AL202" i="6"/>
  <c r="D202" i="6"/>
  <c r="C202" i="6"/>
  <c r="AV201" i="6"/>
  <c r="AT201" i="6"/>
  <c r="AS201" i="6"/>
  <c r="AR201" i="6"/>
  <c r="AQ201" i="6"/>
  <c r="AP201" i="6"/>
  <c r="AO201" i="6"/>
  <c r="AN201" i="6"/>
  <c r="AM201" i="6"/>
  <c r="AL201" i="6"/>
  <c r="D201" i="6"/>
  <c r="C201" i="6"/>
  <c r="AV200" i="6"/>
  <c r="AT200" i="6"/>
  <c r="AS200" i="6"/>
  <c r="AR200" i="6"/>
  <c r="AQ200" i="6"/>
  <c r="AP200" i="6"/>
  <c r="AO200" i="6"/>
  <c r="AN200" i="6"/>
  <c r="AM200" i="6"/>
  <c r="AL200" i="6"/>
  <c r="D200" i="6"/>
  <c r="C200" i="6"/>
  <c r="AV199" i="6"/>
  <c r="AT199" i="6"/>
  <c r="AS199" i="6"/>
  <c r="AR199" i="6"/>
  <c r="AQ199" i="6"/>
  <c r="AP199" i="6"/>
  <c r="AO199" i="6"/>
  <c r="AN199" i="6"/>
  <c r="AM199" i="6"/>
  <c r="AL199" i="6"/>
  <c r="D199" i="6"/>
  <c r="C199" i="6"/>
  <c r="AV198" i="6"/>
  <c r="AT198" i="6"/>
  <c r="AS198" i="6"/>
  <c r="AR198" i="6"/>
  <c r="AQ198" i="6"/>
  <c r="AP198" i="6"/>
  <c r="AO198" i="6"/>
  <c r="AN198" i="6"/>
  <c r="AM198" i="6"/>
  <c r="AL198" i="6"/>
  <c r="D198" i="6"/>
  <c r="C198" i="6"/>
  <c r="AV197" i="6"/>
  <c r="AT197" i="6"/>
  <c r="AS197" i="6"/>
  <c r="AR197" i="6"/>
  <c r="AQ197" i="6"/>
  <c r="AP197" i="6"/>
  <c r="AO197" i="6"/>
  <c r="AN197" i="6"/>
  <c r="AM197" i="6"/>
  <c r="AL197" i="6"/>
  <c r="D197" i="6"/>
  <c r="C197" i="6"/>
  <c r="AV196" i="6"/>
  <c r="AT196" i="6"/>
  <c r="AS196" i="6"/>
  <c r="AR196" i="6"/>
  <c r="AQ196" i="6"/>
  <c r="AP196" i="6"/>
  <c r="AO196" i="6"/>
  <c r="AN196" i="6"/>
  <c r="AM196" i="6"/>
  <c r="AL196" i="6"/>
  <c r="D196" i="6"/>
  <c r="C196" i="6"/>
  <c r="AV195" i="6"/>
  <c r="AT195" i="6"/>
  <c r="AS195" i="6"/>
  <c r="AR195" i="6"/>
  <c r="AQ195" i="6"/>
  <c r="AP195" i="6"/>
  <c r="AO195" i="6"/>
  <c r="AN195" i="6"/>
  <c r="AM195" i="6"/>
  <c r="AL195" i="6"/>
  <c r="D195" i="6"/>
  <c r="C195" i="6"/>
  <c r="AV194" i="6"/>
  <c r="AT194" i="6"/>
  <c r="AS194" i="6"/>
  <c r="AR194" i="6"/>
  <c r="AQ194" i="6"/>
  <c r="AP194" i="6"/>
  <c r="AO194" i="6"/>
  <c r="AN194" i="6"/>
  <c r="AM194" i="6"/>
  <c r="AL194" i="6"/>
  <c r="D194" i="6"/>
  <c r="C194" i="6"/>
  <c r="AV193" i="6"/>
  <c r="AT193" i="6"/>
  <c r="AS193" i="6"/>
  <c r="AR193" i="6"/>
  <c r="AQ193" i="6"/>
  <c r="AP193" i="6"/>
  <c r="AO193" i="6"/>
  <c r="AN193" i="6"/>
  <c r="AM193" i="6"/>
  <c r="AL193" i="6"/>
  <c r="D193" i="6"/>
  <c r="C193" i="6"/>
  <c r="AV192" i="6"/>
  <c r="AT192" i="6"/>
  <c r="AS192" i="6"/>
  <c r="AR192" i="6"/>
  <c r="AQ192" i="6"/>
  <c r="AP192" i="6"/>
  <c r="AO192" i="6"/>
  <c r="AN192" i="6"/>
  <c r="AM192" i="6"/>
  <c r="AL192" i="6"/>
  <c r="D192" i="6"/>
  <c r="C192" i="6"/>
  <c r="AV191" i="6"/>
  <c r="AT191" i="6"/>
  <c r="AS191" i="6"/>
  <c r="AR191" i="6"/>
  <c r="AQ191" i="6"/>
  <c r="AP191" i="6"/>
  <c r="AO191" i="6"/>
  <c r="AN191" i="6"/>
  <c r="AM191" i="6"/>
  <c r="AL191" i="6"/>
  <c r="D191" i="6"/>
  <c r="C191" i="6"/>
  <c r="AV190" i="6"/>
  <c r="AT190" i="6"/>
  <c r="AS190" i="6"/>
  <c r="AR190" i="6"/>
  <c r="AQ190" i="6"/>
  <c r="AP190" i="6"/>
  <c r="AO190" i="6"/>
  <c r="AN190" i="6"/>
  <c r="AM190" i="6"/>
  <c r="AL190" i="6"/>
  <c r="D190" i="6"/>
  <c r="C190" i="6"/>
  <c r="AV189" i="6"/>
  <c r="AT189" i="6"/>
  <c r="AS189" i="6"/>
  <c r="AR189" i="6"/>
  <c r="AQ189" i="6"/>
  <c r="AP189" i="6"/>
  <c r="AO189" i="6"/>
  <c r="AN189" i="6"/>
  <c r="AM189" i="6"/>
  <c r="AL189" i="6"/>
  <c r="D189" i="6"/>
  <c r="C189" i="6"/>
  <c r="AV188" i="6"/>
  <c r="AT188" i="6"/>
  <c r="AS188" i="6"/>
  <c r="AR188" i="6"/>
  <c r="AQ188" i="6"/>
  <c r="AP188" i="6"/>
  <c r="AO188" i="6"/>
  <c r="AN188" i="6"/>
  <c r="AM188" i="6"/>
  <c r="AL188" i="6"/>
  <c r="D188" i="6"/>
  <c r="C188" i="6"/>
  <c r="AV187" i="6"/>
  <c r="AT187" i="6"/>
  <c r="AS187" i="6"/>
  <c r="AR187" i="6"/>
  <c r="AQ187" i="6"/>
  <c r="AP187" i="6"/>
  <c r="AO187" i="6"/>
  <c r="AN187" i="6"/>
  <c r="AM187" i="6"/>
  <c r="AL187" i="6"/>
  <c r="D187" i="6"/>
  <c r="C187" i="6"/>
  <c r="AV186" i="6"/>
  <c r="AT186" i="6"/>
  <c r="AS186" i="6"/>
  <c r="AR186" i="6"/>
  <c r="AQ186" i="6"/>
  <c r="AP186" i="6"/>
  <c r="AO186" i="6"/>
  <c r="AN186" i="6"/>
  <c r="AM186" i="6"/>
  <c r="AL186" i="6"/>
  <c r="D186" i="6"/>
  <c r="C186" i="6"/>
  <c r="AV185" i="6"/>
  <c r="AT185" i="6"/>
  <c r="AS185" i="6"/>
  <c r="AR185" i="6"/>
  <c r="AQ185" i="6"/>
  <c r="AP185" i="6"/>
  <c r="AO185" i="6"/>
  <c r="AN185" i="6"/>
  <c r="AM185" i="6"/>
  <c r="AL185" i="6"/>
  <c r="D185" i="6"/>
  <c r="C185" i="6"/>
  <c r="AV184" i="6"/>
  <c r="AT184" i="6"/>
  <c r="AS184" i="6"/>
  <c r="AR184" i="6"/>
  <c r="AQ184" i="6"/>
  <c r="AP184" i="6"/>
  <c r="AO184" i="6"/>
  <c r="AN184" i="6"/>
  <c r="AM184" i="6"/>
  <c r="AL184" i="6"/>
  <c r="D184" i="6"/>
  <c r="C184" i="6"/>
  <c r="AV183" i="6"/>
  <c r="AT183" i="6"/>
  <c r="AS183" i="6"/>
  <c r="AR183" i="6"/>
  <c r="AQ183" i="6"/>
  <c r="AP183" i="6"/>
  <c r="AO183" i="6"/>
  <c r="AN183" i="6"/>
  <c r="AM183" i="6"/>
  <c r="AL183" i="6"/>
  <c r="D183" i="6"/>
  <c r="C183" i="6"/>
  <c r="AV182" i="6"/>
  <c r="AT182" i="6"/>
  <c r="AS182" i="6"/>
  <c r="AR182" i="6"/>
  <c r="AQ182" i="6"/>
  <c r="AP182" i="6"/>
  <c r="AO182" i="6"/>
  <c r="AN182" i="6"/>
  <c r="AM182" i="6"/>
  <c r="AL182" i="6"/>
  <c r="D182" i="6"/>
  <c r="C182" i="6"/>
  <c r="AV181" i="6"/>
  <c r="AT181" i="6"/>
  <c r="AS181" i="6"/>
  <c r="AR181" i="6"/>
  <c r="AQ181" i="6"/>
  <c r="AP181" i="6"/>
  <c r="AO181" i="6"/>
  <c r="AN181" i="6"/>
  <c r="AM181" i="6"/>
  <c r="AL181" i="6"/>
  <c r="D181" i="6"/>
  <c r="C181" i="6"/>
  <c r="AV180" i="6"/>
  <c r="AT180" i="6"/>
  <c r="AS180" i="6"/>
  <c r="AR180" i="6"/>
  <c r="AQ180" i="6"/>
  <c r="AP180" i="6"/>
  <c r="AO180" i="6"/>
  <c r="AN180" i="6"/>
  <c r="AM180" i="6"/>
  <c r="AL180" i="6"/>
  <c r="D180" i="6"/>
  <c r="C180" i="6"/>
  <c r="AV179" i="6"/>
  <c r="AT179" i="6"/>
  <c r="AS179" i="6"/>
  <c r="AR179" i="6"/>
  <c r="AQ179" i="6"/>
  <c r="AP179" i="6"/>
  <c r="AO179" i="6"/>
  <c r="AN179" i="6"/>
  <c r="AM179" i="6"/>
  <c r="AL179" i="6"/>
  <c r="D179" i="6"/>
  <c r="C179" i="6"/>
  <c r="AV178" i="6"/>
  <c r="AT178" i="6"/>
  <c r="AS178" i="6"/>
  <c r="AR178" i="6"/>
  <c r="AQ178" i="6"/>
  <c r="AP178" i="6"/>
  <c r="AO178" i="6"/>
  <c r="AN178" i="6"/>
  <c r="AM178" i="6"/>
  <c r="AL178" i="6"/>
  <c r="D178" i="6"/>
  <c r="C178" i="6"/>
  <c r="AV177" i="6"/>
  <c r="AT177" i="6"/>
  <c r="AS177" i="6"/>
  <c r="AR177" i="6"/>
  <c r="AQ177" i="6"/>
  <c r="AP177" i="6"/>
  <c r="AO177" i="6"/>
  <c r="AN177" i="6"/>
  <c r="AM177" i="6"/>
  <c r="AL177" i="6"/>
  <c r="D177" i="6"/>
  <c r="C177" i="6"/>
  <c r="AV176" i="6"/>
  <c r="AT176" i="6"/>
  <c r="AS176" i="6"/>
  <c r="AR176" i="6"/>
  <c r="AQ176" i="6"/>
  <c r="AP176" i="6"/>
  <c r="AO176" i="6"/>
  <c r="AN176" i="6"/>
  <c r="AM176" i="6"/>
  <c r="AL176" i="6"/>
  <c r="D176" i="6"/>
  <c r="C176" i="6"/>
  <c r="AV175" i="6"/>
  <c r="AT175" i="6"/>
  <c r="AS175" i="6"/>
  <c r="AR175" i="6"/>
  <c r="AQ175" i="6"/>
  <c r="AP175" i="6"/>
  <c r="AO175" i="6"/>
  <c r="AN175" i="6"/>
  <c r="AM175" i="6"/>
  <c r="AL175" i="6"/>
  <c r="D175" i="6"/>
  <c r="C175" i="6"/>
  <c r="AV174" i="6"/>
  <c r="AT174" i="6"/>
  <c r="AS174" i="6"/>
  <c r="AR174" i="6"/>
  <c r="AQ174" i="6"/>
  <c r="AP174" i="6"/>
  <c r="AO174" i="6"/>
  <c r="AN174" i="6"/>
  <c r="AM174" i="6"/>
  <c r="AL174" i="6"/>
  <c r="D174" i="6"/>
  <c r="C174" i="6"/>
  <c r="AV173" i="6"/>
  <c r="AT173" i="6"/>
  <c r="AS173" i="6"/>
  <c r="AR173" i="6"/>
  <c r="AQ173" i="6"/>
  <c r="AP173" i="6"/>
  <c r="AO173" i="6"/>
  <c r="AN173" i="6"/>
  <c r="AM173" i="6"/>
  <c r="AL173" i="6"/>
  <c r="D173" i="6"/>
  <c r="C173" i="6"/>
  <c r="AV172" i="6"/>
  <c r="AT172" i="6"/>
  <c r="AS172" i="6"/>
  <c r="AR172" i="6"/>
  <c r="AQ172" i="6"/>
  <c r="AP172" i="6"/>
  <c r="AO172" i="6"/>
  <c r="AN172" i="6"/>
  <c r="AM172" i="6"/>
  <c r="AL172" i="6"/>
  <c r="D172" i="6"/>
  <c r="C172" i="6"/>
  <c r="AV171" i="6"/>
  <c r="AT171" i="6"/>
  <c r="AS171" i="6"/>
  <c r="AR171" i="6"/>
  <c r="AQ171" i="6"/>
  <c r="AP171" i="6"/>
  <c r="AO171" i="6"/>
  <c r="AN171" i="6"/>
  <c r="AM171" i="6"/>
  <c r="AL171" i="6"/>
  <c r="D171" i="6"/>
  <c r="C171" i="6"/>
  <c r="AV170" i="6"/>
  <c r="AT170" i="6"/>
  <c r="AS170" i="6"/>
  <c r="AR170" i="6"/>
  <c r="AQ170" i="6"/>
  <c r="AP170" i="6"/>
  <c r="AO170" i="6"/>
  <c r="AN170" i="6"/>
  <c r="AM170" i="6"/>
  <c r="AL170" i="6"/>
  <c r="D170" i="6"/>
  <c r="C170" i="6"/>
  <c r="AV169" i="6"/>
  <c r="AT169" i="6"/>
  <c r="AS169" i="6"/>
  <c r="AR169" i="6"/>
  <c r="AQ169" i="6"/>
  <c r="AP169" i="6"/>
  <c r="AO169" i="6"/>
  <c r="AN169" i="6"/>
  <c r="AM169" i="6"/>
  <c r="AL169" i="6"/>
  <c r="D169" i="6"/>
  <c r="C169" i="6"/>
  <c r="AV168" i="6"/>
  <c r="AT168" i="6"/>
  <c r="AS168" i="6"/>
  <c r="AR168" i="6"/>
  <c r="AQ168" i="6"/>
  <c r="AP168" i="6"/>
  <c r="AO168" i="6"/>
  <c r="AN168" i="6"/>
  <c r="AM168" i="6"/>
  <c r="AL168" i="6"/>
  <c r="D168" i="6"/>
  <c r="C168" i="6"/>
  <c r="AV167" i="6"/>
  <c r="AT167" i="6"/>
  <c r="AS167" i="6"/>
  <c r="AR167" i="6"/>
  <c r="AQ167" i="6"/>
  <c r="AP167" i="6"/>
  <c r="AO167" i="6"/>
  <c r="AN167" i="6"/>
  <c r="AM167" i="6"/>
  <c r="AL167" i="6"/>
  <c r="D167" i="6"/>
  <c r="C167" i="6"/>
  <c r="AV166" i="6"/>
  <c r="AT166" i="6"/>
  <c r="AS166" i="6"/>
  <c r="AR166" i="6"/>
  <c r="AQ166" i="6"/>
  <c r="AP166" i="6"/>
  <c r="AO166" i="6"/>
  <c r="AN166" i="6"/>
  <c r="AM166" i="6"/>
  <c r="AL166" i="6"/>
  <c r="D166" i="6"/>
  <c r="C166" i="6"/>
  <c r="AV165" i="6"/>
  <c r="AT165" i="6"/>
  <c r="AS165" i="6"/>
  <c r="AR165" i="6"/>
  <c r="AQ165" i="6"/>
  <c r="AP165" i="6"/>
  <c r="AO165" i="6"/>
  <c r="AN165" i="6"/>
  <c r="AM165" i="6"/>
  <c r="AL165" i="6"/>
  <c r="D165" i="6"/>
  <c r="C165" i="6"/>
  <c r="AV164" i="6"/>
  <c r="AT164" i="6"/>
  <c r="AS164" i="6"/>
  <c r="AR164" i="6"/>
  <c r="AQ164" i="6"/>
  <c r="AP164" i="6"/>
  <c r="AO164" i="6"/>
  <c r="AN164" i="6"/>
  <c r="AM164" i="6"/>
  <c r="AL164" i="6"/>
  <c r="D164" i="6"/>
  <c r="C164" i="6"/>
  <c r="AV163" i="6"/>
  <c r="AT163" i="6"/>
  <c r="AS163" i="6"/>
  <c r="AR163" i="6"/>
  <c r="AQ163" i="6"/>
  <c r="AP163" i="6"/>
  <c r="AO163" i="6"/>
  <c r="AN163" i="6"/>
  <c r="AM163" i="6"/>
  <c r="AL163" i="6"/>
  <c r="D163" i="6"/>
  <c r="C163" i="6"/>
  <c r="AV162" i="6"/>
  <c r="AT162" i="6"/>
  <c r="AS162" i="6"/>
  <c r="AR162" i="6"/>
  <c r="AQ162" i="6"/>
  <c r="AP162" i="6"/>
  <c r="AO162" i="6"/>
  <c r="AN162" i="6"/>
  <c r="AM162" i="6"/>
  <c r="AL162" i="6"/>
  <c r="D162" i="6"/>
  <c r="C162" i="6"/>
  <c r="AV161" i="6"/>
  <c r="AT161" i="6"/>
  <c r="AS161" i="6"/>
  <c r="AR161" i="6"/>
  <c r="AQ161" i="6"/>
  <c r="AP161" i="6"/>
  <c r="AO161" i="6"/>
  <c r="AN161" i="6"/>
  <c r="AM161" i="6"/>
  <c r="AL161" i="6"/>
  <c r="D161" i="6"/>
  <c r="C161" i="6"/>
  <c r="AV160" i="6"/>
  <c r="AT160" i="6"/>
  <c r="AS160" i="6"/>
  <c r="AR160" i="6"/>
  <c r="AQ160" i="6"/>
  <c r="AP160" i="6"/>
  <c r="AO160" i="6"/>
  <c r="AN160" i="6"/>
  <c r="AM160" i="6"/>
  <c r="AL160" i="6"/>
  <c r="D160" i="6"/>
  <c r="C160" i="6"/>
  <c r="AV159" i="6"/>
  <c r="AT159" i="6"/>
  <c r="AS159" i="6"/>
  <c r="AR159" i="6"/>
  <c r="AQ159" i="6"/>
  <c r="AP159" i="6"/>
  <c r="AO159" i="6"/>
  <c r="AN159" i="6"/>
  <c r="AM159" i="6"/>
  <c r="AL159" i="6"/>
  <c r="D159" i="6"/>
  <c r="C159" i="6"/>
  <c r="AV158" i="6"/>
  <c r="AT158" i="6"/>
  <c r="AS158" i="6"/>
  <c r="AR158" i="6"/>
  <c r="AQ158" i="6"/>
  <c r="AP158" i="6"/>
  <c r="AO158" i="6"/>
  <c r="AN158" i="6"/>
  <c r="AM158" i="6"/>
  <c r="AL158" i="6"/>
  <c r="D158" i="6"/>
  <c r="C158" i="6"/>
  <c r="AV157" i="6"/>
  <c r="AT157" i="6"/>
  <c r="AS157" i="6"/>
  <c r="AR157" i="6"/>
  <c r="AQ157" i="6"/>
  <c r="AP157" i="6"/>
  <c r="AO157" i="6"/>
  <c r="AN157" i="6"/>
  <c r="AM157" i="6"/>
  <c r="AL157" i="6"/>
  <c r="D157" i="6"/>
  <c r="C157" i="6"/>
  <c r="AT17" i="6"/>
  <c r="AS17" i="6"/>
  <c r="AR17" i="6"/>
  <c r="AQ17" i="6"/>
  <c r="AP17" i="6"/>
  <c r="AO17" i="6"/>
  <c r="AN17" i="6"/>
  <c r="AM17" i="6"/>
  <c r="AL17" i="6"/>
  <c r="AT24" i="6"/>
  <c r="AS24" i="6"/>
  <c r="AR24" i="6"/>
  <c r="AQ24" i="6"/>
  <c r="AP24" i="6"/>
  <c r="AO24" i="6"/>
  <c r="AN24" i="6"/>
  <c r="AM24" i="6"/>
  <c r="AL24" i="6"/>
  <c r="AT62" i="6"/>
  <c r="AS62" i="6"/>
  <c r="AR62" i="6"/>
  <c r="AQ62" i="6"/>
  <c r="AP62" i="6"/>
  <c r="AO62" i="6"/>
  <c r="AN62" i="6"/>
  <c r="AM62" i="6"/>
  <c r="AL62" i="6"/>
  <c r="AT106" i="6"/>
  <c r="AS106" i="6"/>
  <c r="AR106" i="6"/>
  <c r="AQ106" i="6"/>
  <c r="AP106" i="6"/>
  <c r="AO106" i="6"/>
  <c r="AN106" i="6"/>
  <c r="AM106" i="6"/>
  <c r="AL106" i="6"/>
  <c r="D106" i="6"/>
  <c r="C106" i="6"/>
  <c r="AT86" i="6"/>
  <c r="AS86" i="6"/>
  <c r="AR86" i="6"/>
  <c r="AQ86" i="6"/>
  <c r="AP86" i="6"/>
  <c r="AO86" i="6"/>
  <c r="AN86" i="6"/>
  <c r="AM86" i="6"/>
  <c r="AL86" i="6"/>
  <c r="D86" i="6"/>
  <c r="C86" i="6"/>
  <c r="AT20" i="6"/>
  <c r="AS20" i="6"/>
  <c r="AR20" i="6"/>
  <c r="AQ20" i="6"/>
  <c r="AP20" i="6"/>
  <c r="AO20" i="6"/>
  <c r="AN20" i="6"/>
  <c r="AM20" i="6"/>
  <c r="AL20" i="6"/>
  <c r="D20" i="6"/>
  <c r="C20" i="6"/>
  <c r="AT148" i="6"/>
  <c r="AS148" i="6"/>
  <c r="AR148" i="6"/>
  <c r="AQ148" i="6"/>
  <c r="AP148" i="6"/>
  <c r="AO148" i="6"/>
  <c r="AN148" i="6"/>
  <c r="AM148" i="6"/>
  <c r="AL148" i="6"/>
  <c r="D148" i="6"/>
  <c r="C148" i="6"/>
  <c r="AT85" i="6"/>
  <c r="AS85" i="6"/>
  <c r="AR85" i="6"/>
  <c r="AQ85" i="6"/>
  <c r="AP85" i="6"/>
  <c r="AO85" i="6"/>
  <c r="AN85" i="6"/>
  <c r="AM85" i="6"/>
  <c r="AL85" i="6"/>
  <c r="D85" i="6"/>
  <c r="C85" i="6"/>
  <c r="AT52" i="6"/>
  <c r="AS52" i="6"/>
  <c r="AR52" i="6"/>
  <c r="AQ52" i="6"/>
  <c r="AP52" i="6"/>
  <c r="AO52" i="6"/>
  <c r="AN52" i="6"/>
  <c r="AM52" i="6"/>
  <c r="AL52" i="6"/>
  <c r="D52" i="6"/>
  <c r="C52" i="6"/>
  <c r="AT147" i="6"/>
  <c r="AS147" i="6"/>
  <c r="AR147" i="6"/>
  <c r="AQ147" i="6"/>
  <c r="AP147" i="6"/>
  <c r="AO147" i="6"/>
  <c r="AN147" i="6"/>
  <c r="AM147" i="6"/>
  <c r="AL147" i="6"/>
  <c r="D147" i="6"/>
  <c r="C147" i="6"/>
  <c r="AT152" i="6"/>
  <c r="AS152" i="6"/>
  <c r="AR152" i="6"/>
  <c r="AQ152" i="6"/>
  <c r="AP152" i="6"/>
  <c r="AO152" i="6"/>
  <c r="AN152" i="6"/>
  <c r="AM152" i="6"/>
  <c r="AL152" i="6"/>
  <c r="D152" i="6"/>
  <c r="C152" i="6"/>
  <c r="AT146" i="6"/>
  <c r="AS146" i="6"/>
  <c r="AR146" i="6"/>
  <c r="AQ146" i="6"/>
  <c r="AP146" i="6"/>
  <c r="AO146" i="6"/>
  <c r="AN146" i="6"/>
  <c r="AM146" i="6"/>
  <c r="AL146" i="6"/>
  <c r="D146" i="6"/>
  <c r="C146" i="6"/>
  <c r="AT94" i="6"/>
  <c r="AS94" i="6"/>
  <c r="AR94" i="6"/>
  <c r="AQ94" i="6"/>
  <c r="AP94" i="6"/>
  <c r="AO94" i="6"/>
  <c r="AN94" i="6"/>
  <c r="AM94" i="6"/>
  <c r="AL94" i="6"/>
  <c r="D94" i="6"/>
  <c r="C94" i="6"/>
  <c r="AT93" i="6"/>
  <c r="AS93" i="6"/>
  <c r="AR93" i="6"/>
  <c r="AQ93" i="6"/>
  <c r="AP93" i="6"/>
  <c r="AO93" i="6"/>
  <c r="AN93" i="6"/>
  <c r="AM93" i="6"/>
  <c r="AL93" i="6"/>
  <c r="D93" i="6"/>
  <c r="C93" i="6"/>
  <c r="AT51" i="6"/>
  <c r="AS51" i="6"/>
  <c r="AR51" i="6"/>
  <c r="AQ51" i="6"/>
  <c r="AP51" i="6"/>
  <c r="AO51" i="6"/>
  <c r="AN51" i="6"/>
  <c r="AM51" i="6"/>
  <c r="AL51" i="6"/>
  <c r="D51" i="6"/>
  <c r="C51" i="6"/>
  <c r="AT105" i="6"/>
  <c r="AS105" i="6"/>
  <c r="AR105" i="6"/>
  <c r="AQ105" i="6"/>
  <c r="AP105" i="6"/>
  <c r="AO105" i="6"/>
  <c r="AN105" i="6"/>
  <c r="AM105" i="6"/>
  <c r="AL105" i="6"/>
  <c r="D105" i="6"/>
  <c r="C105" i="6"/>
  <c r="AT84" i="6"/>
  <c r="AS84" i="6"/>
  <c r="AR84" i="6"/>
  <c r="AQ84" i="6"/>
  <c r="AP84" i="6"/>
  <c r="AO84" i="6"/>
  <c r="AN84" i="6"/>
  <c r="AM84" i="6"/>
  <c r="AL84" i="6"/>
  <c r="D84" i="6"/>
  <c r="C84" i="6"/>
  <c r="AT104" i="6"/>
  <c r="AS104" i="6"/>
  <c r="AR104" i="6"/>
  <c r="AQ104" i="6"/>
  <c r="AP104" i="6"/>
  <c r="AO104" i="6"/>
  <c r="AN104" i="6"/>
  <c r="AM104" i="6"/>
  <c r="AL104" i="6"/>
  <c r="D104" i="6"/>
  <c r="C104" i="6"/>
  <c r="AT108" i="6"/>
  <c r="AS108" i="6"/>
  <c r="AR108" i="6"/>
  <c r="AQ108" i="6"/>
  <c r="AP108" i="6"/>
  <c r="AO108" i="6"/>
  <c r="AN108" i="6"/>
  <c r="AM108" i="6"/>
  <c r="AL108" i="6"/>
  <c r="D108" i="6"/>
  <c r="C108" i="6"/>
  <c r="AT145" i="6"/>
  <c r="AS145" i="6"/>
  <c r="AR145" i="6"/>
  <c r="AQ145" i="6"/>
  <c r="AP145" i="6"/>
  <c r="AO145" i="6"/>
  <c r="AN145" i="6"/>
  <c r="AM145" i="6"/>
  <c r="AL145" i="6"/>
  <c r="D145" i="6"/>
  <c r="C145" i="6"/>
  <c r="AT144" i="6"/>
  <c r="AS144" i="6"/>
  <c r="AR144" i="6"/>
  <c r="AQ144" i="6"/>
  <c r="AP144" i="6"/>
  <c r="AO144" i="6"/>
  <c r="AN144" i="6"/>
  <c r="AM144" i="6"/>
  <c r="AL144" i="6"/>
  <c r="D144" i="6"/>
  <c r="C144" i="6"/>
  <c r="AT35" i="6"/>
  <c r="AS35" i="6"/>
  <c r="AR35" i="6"/>
  <c r="AQ35" i="6"/>
  <c r="AP35" i="6"/>
  <c r="AO35" i="6"/>
  <c r="AN35" i="6"/>
  <c r="AM35" i="6"/>
  <c r="AL35" i="6"/>
  <c r="D35" i="6"/>
  <c r="C35" i="6"/>
  <c r="AT103" i="6"/>
  <c r="AS103" i="6"/>
  <c r="AR103" i="6"/>
  <c r="AQ103" i="6"/>
  <c r="AP103" i="6"/>
  <c r="AO103" i="6"/>
  <c r="AN103" i="6"/>
  <c r="AM103" i="6"/>
  <c r="AL103" i="6"/>
  <c r="D103" i="6"/>
  <c r="C103" i="6"/>
  <c r="AT143" i="6"/>
  <c r="AS143" i="6"/>
  <c r="AR143" i="6"/>
  <c r="AQ143" i="6"/>
  <c r="AP143" i="6"/>
  <c r="AO143" i="6"/>
  <c r="AN143" i="6"/>
  <c r="AM143" i="6"/>
  <c r="AL143" i="6"/>
  <c r="D143" i="6"/>
  <c r="C143" i="6"/>
  <c r="AT83" i="6"/>
  <c r="AS83" i="6"/>
  <c r="AR83" i="6"/>
  <c r="AQ83" i="6"/>
  <c r="AP83" i="6"/>
  <c r="AO83" i="6"/>
  <c r="AN83" i="6"/>
  <c r="AM83" i="6"/>
  <c r="AL83" i="6"/>
  <c r="D83" i="6"/>
  <c r="C83" i="6"/>
  <c r="AT142" i="6"/>
  <c r="AS142" i="6"/>
  <c r="AR142" i="6"/>
  <c r="AQ142" i="6"/>
  <c r="AP142" i="6"/>
  <c r="AO142" i="6"/>
  <c r="AN142" i="6"/>
  <c r="AM142" i="6"/>
  <c r="AL142" i="6"/>
  <c r="D142" i="6"/>
  <c r="C142" i="6"/>
  <c r="AT141" i="6"/>
  <c r="AS141" i="6"/>
  <c r="AR141" i="6"/>
  <c r="AQ141" i="6"/>
  <c r="AP141" i="6"/>
  <c r="AO141" i="6"/>
  <c r="AN141" i="6"/>
  <c r="AM141" i="6"/>
  <c r="AL141" i="6"/>
  <c r="D141" i="6"/>
  <c r="C141" i="6"/>
  <c r="AT82" i="6"/>
  <c r="AS82" i="6"/>
  <c r="AR82" i="6"/>
  <c r="AQ82" i="6"/>
  <c r="AP82" i="6"/>
  <c r="AO82" i="6"/>
  <c r="AN82" i="6"/>
  <c r="AM82" i="6"/>
  <c r="AL82" i="6"/>
  <c r="D82" i="6"/>
  <c r="C82" i="6"/>
  <c r="AT81" i="6"/>
  <c r="AS81" i="6"/>
  <c r="AR81" i="6"/>
  <c r="AQ81" i="6"/>
  <c r="AP81" i="6"/>
  <c r="AO81" i="6"/>
  <c r="AN81" i="6"/>
  <c r="AM81" i="6"/>
  <c r="AL81" i="6"/>
  <c r="D81" i="6"/>
  <c r="C81" i="6"/>
  <c r="AT102" i="6"/>
  <c r="AS102" i="6"/>
  <c r="AR102" i="6"/>
  <c r="AQ102" i="6"/>
  <c r="AP102" i="6"/>
  <c r="AO102" i="6"/>
  <c r="AN102" i="6"/>
  <c r="AM102" i="6"/>
  <c r="AL102" i="6"/>
  <c r="D102" i="6"/>
  <c r="C102" i="6"/>
  <c r="AT101" i="6"/>
  <c r="AS101" i="6"/>
  <c r="AR101" i="6"/>
  <c r="AQ101" i="6"/>
  <c r="AP101" i="6"/>
  <c r="AO101" i="6"/>
  <c r="AN101" i="6"/>
  <c r="AM101" i="6"/>
  <c r="AL101" i="6"/>
  <c r="D101" i="6"/>
  <c r="C101" i="6"/>
  <c r="AT140" i="6"/>
  <c r="AS140" i="6"/>
  <c r="AR140" i="6"/>
  <c r="AQ140" i="6"/>
  <c r="AP140" i="6"/>
  <c r="AO140" i="6"/>
  <c r="AN140" i="6"/>
  <c r="AM140" i="6"/>
  <c r="AL140" i="6"/>
  <c r="D140" i="6"/>
  <c r="C140" i="6"/>
  <c r="AT139" i="6"/>
  <c r="AS139" i="6"/>
  <c r="AR139" i="6"/>
  <c r="AQ139" i="6"/>
  <c r="AP139" i="6"/>
  <c r="AO139" i="6"/>
  <c r="AN139" i="6"/>
  <c r="AM139" i="6"/>
  <c r="AL139" i="6"/>
  <c r="D139" i="6"/>
  <c r="C139" i="6"/>
  <c r="AT80" i="6"/>
  <c r="AS80" i="6"/>
  <c r="AR80" i="6"/>
  <c r="AQ80" i="6"/>
  <c r="AP80" i="6"/>
  <c r="AO80" i="6"/>
  <c r="AN80" i="6"/>
  <c r="AM80" i="6"/>
  <c r="AL80" i="6"/>
  <c r="D80" i="6"/>
  <c r="C80" i="6"/>
  <c r="AT155" i="6"/>
  <c r="AS155" i="6"/>
  <c r="AR155" i="6"/>
  <c r="AQ155" i="6"/>
  <c r="AP155" i="6"/>
  <c r="AO155" i="6"/>
  <c r="AN155" i="6"/>
  <c r="AM155" i="6"/>
  <c r="AL155" i="6"/>
  <c r="D155" i="6"/>
  <c r="C155" i="6"/>
  <c r="AT34" i="6"/>
  <c r="AS34" i="6"/>
  <c r="AR34" i="6"/>
  <c r="AQ34" i="6"/>
  <c r="AP34" i="6"/>
  <c r="AO34" i="6"/>
  <c r="AN34" i="6"/>
  <c r="AM34" i="6"/>
  <c r="AL34" i="6"/>
  <c r="D34" i="6"/>
  <c r="C34" i="6"/>
  <c r="AT92" i="6"/>
  <c r="AS92" i="6"/>
  <c r="AR92" i="6"/>
  <c r="AQ92" i="6"/>
  <c r="AP92" i="6"/>
  <c r="AO92" i="6"/>
  <c r="AN92" i="6"/>
  <c r="AM92" i="6"/>
  <c r="AL92" i="6"/>
  <c r="D92" i="6"/>
  <c r="C92" i="6"/>
  <c r="AT138" i="6"/>
  <c r="AS138" i="6"/>
  <c r="AR138" i="6"/>
  <c r="AQ138" i="6"/>
  <c r="AP138" i="6"/>
  <c r="AO138" i="6"/>
  <c r="AN138" i="6"/>
  <c r="AM138" i="6"/>
  <c r="AL138" i="6"/>
  <c r="D138" i="6"/>
  <c r="C138" i="6"/>
  <c r="AT137" i="6"/>
  <c r="AS137" i="6"/>
  <c r="AR137" i="6"/>
  <c r="AQ137" i="6"/>
  <c r="AP137" i="6"/>
  <c r="AO137" i="6"/>
  <c r="AN137" i="6"/>
  <c r="AM137" i="6"/>
  <c r="AL137" i="6"/>
  <c r="D137" i="6"/>
  <c r="C137" i="6"/>
  <c r="AT136" i="6"/>
  <c r="AS136" i="6"/>
  <c r="AR136" i="6"/>
  <c r="AQ136" i="6"/>
  <c r="AP136" i="6"/>
  <c r="AO136" i="6"/>
  <c r="AN136" i="6"/>
  <c r="AM136" i="6"/>
  <c r="AL136" i="6"/>
  <c r="D136" i="6"/>
  <c r="C136" i="6"/>
  <c r="AT135" i="6"/>
  <c r="AS135" i="6"/>
  <c r="AR135" i="6"/>
  <c r="AQ135" i="6"/>
  <c r="AP135" i="6"/>
  <c r="AO135" i="6"/>
  <c r="AN135" i="6"/>
  <c r="AM135" i="6"/>
  <c r="AL135" i="6"/>
  <c r="D135" i="6"/>
  <c r="C135" i="6"/>
  <c r="AT134" i="6"/>
  <c r="AS134" i="6"/>
  <c r="AR134" i="6"/>
  <c r="AQ134" i="6"/>
  <c r="AP134" i="6"/>
  <c r="AO134" i="6"/>
  <c r="AN134" i="6"/>
  <c r="AM134" i="6"/>
  <c r="AL134" i="6"/>
  <c r="D134" i="6"/>
  <c r="C134" i="6"/>
  <c r="AT79" i="6"/>
  <c r="AS79" i="6"/>
  <c r="AR79" i="6"/>
  <c r="AQ79" i="6"/>
  <c r="AP79" i="6"/>
  <c r="AO79" i="6"/>
  <c r="AN79" i="6"/>
  <c r="AM79" i="6"/>
  <c r="AL79" i="6"/>
  <c r="D79" i="6"/>
  <c r="C79" i="6"/>
  <c r="AT133" i="6"/>
  <c r="AS133" i="6"/>
  <c r="AR133" i="6"/>
  <c r="AQ133" i="6"/>
  <c r="AP133" i="6"/>
  <c r="AO133" i="6"/>
  <c r="AN133" i="6"/>
  <c r="AM133" i="6"/>
  <c r="AL133" i="6"/>
  <c r="D133" i="6"/>
  <c r="C133" i="6"/>
  <c r="AT132" i="6"/>
  <c r="AS132" i="6"/>
  <c r="AR132" i="6"/>
  <c r="AQ132" i="6"/>
  <c r="AP132" i="6"/>
  <c r="AO132" i="6"/>
  <c r="AN132" i="6"/>
  <c r="AM132" i="6"/>
  <c r="AL132" i="6"/>
  <c r="D132" i="6"/>
  <c r="C132" i="6"/>
  <c r="AT33" i="6"/>
  <c r="AS33" i="6"/>
  <c r="AR33" i="6"/>
  <c r="AQ33" i="6"/>
  <c r="AP33" i="6"/>
  <c r="AO33" i="6"/>
  <c r="AN33" i="6"/>
  <c r="AM33" i="6"/>
  <c r="AL33" i="6"/>
  <c r="D33" i="6"/>
  <c r="C33" i="6"/>
  <c r="AT22" i="6"/>
  <c r="AS22" i="6"/>
  <c r="AR22" i="6"/>
  <c r="AQ22" i="6"/>
  <c r="AP22" i="6"/>
  <c r="AO22" i="6"/>
  <c r="AN22" i="6"/>
  <c r="AM22" i="6"/>
  <c r="AL22" i="6"/>
  <c r="D22" i="6"/>
  <c r="C22" i="6"/>
  <c r="AT13" i="6"/>
  <c r="AS13" i="6"/>
  <c r="AR13" i="6"/>
  <c r="AQ13" i="6"/>
  <c r="AP13" i="6"/>
  <c r="AO13" i="6"/>
  <c r="AN13" i="6"/>
  <c r="AM13" i="6"/>
  <c r="AL13" i="6"/>
  <c r="D13" i="6"/>
  <c r="C13" i="6"/>
  <c r="AT131" i="6"/>
  <c r="AS131" i="6"/>
  <c r="AR131" i="6"/>
  <c r="AQ131" i="6"/>
  <c r="AP131" i="6"/>
  <c r="AO131" i="6"/>
  <c r="AN131" i="6"/>
  <c r="AM131" i="6"/>
  <c r="AL131" i="6"/>
  <c r="D131" i="6"/>
  <c r="C131" i="6"/>
  <c r="AT32" i="6"/>
  <c r="AS32" i="6"/>
  <c r="AR32" i="6"/>
  <c r="AQ32" i="6"/>
  <c r="AP32" i="6"/>
  <c r="AO32" i="6"/>
  <c r="AN32" i="6"/>
  <c r="AM32" i="6"/>
  <c r="AL32" i="6"/>
  <c r="D32" i="6"/>
  <c r="C32" i="6"/>
  <c r="AT130" i="6"/>
  <c r="AS130" i="6"/>
  <c r="AR130" i="6"/>
  <c r="AQ130" i="6"/>
  <c r="AP130" i="6"/>
  <c r="AO130" i="6"/>
  <c r="AN130" i="6"/>
  <c r="AM130" i="6"/>
  <c r="AL130" i="6"/>
  <c r="D130" i="6"/>
  <c r="C130" i="6"/>
  <c r="AT57" i="6"/>
  <c r="AS57" i="6"/>
  <c r="AR57" i="6"/>
  <c r="AQ57" i="6"/>
  <c r="AP57" i="6"/>
  <c r="AO57" i="6"/>
  <c r="AN57" i="6"/>
  <c r="AM57" i="6"/>
  <c r="AL57" i="6"/>
  <c r="D57" i="6"/>
  <c r="C57" i="6"/>
  <c r="AT56" i="6"/>
  <c r="AS56" i="6"/>
  <c r="AR56" i="6"/>
  <c r="AQ56" i="6"/>
  <c r="AP56" i="6"/>
  <c r="AO56" i="6"/>
  <c r="AN56" i="6"/>
  <c r="AM56" i="6"/>
  <c r="AL56" i="6"/>
  <c r="D56" i="6"/>
  <c r="C56" i="6"/>
  <c r="AT151" i="6"/>
  <c r="AS151" i="6"/>
  <c r="AR151" i="6"/>
  <c r="AQ151" i="6"/>
  <c r="AP151" i="6"/>
  <c r="AO151" i="6"/>
  <c r="AN151" i="6"/>
  <c r="AM151" i="6"/>
  <c r="AL151" i="6"/>
  <c r="D151" i="6"/>
  <c r="C151" i="6"/>
  <c r="AT97" i="6"/>
  <c r="AS97" i="6"/>
  <c r="AR97" i="6"/>
  <c r="AQ97" i="6"/>
  <c r="AP97" i="6"/>
  <c r="AO97" i="6"/>
  <c r="AN97" i="6"/>
  <c r="AM97" i="6"/>
  <c r="AL97" i="6"/>
  <c r="D97" i="6"/>
  <c r="C97" i="6"/>
  <c r="AT36" i="6"/>
  <c r="AS36" i="6"/>
  <c r="AR36" i="6"/>
  <c r="AQ36" i="6"/>
  <c r="AP36" i="6"/>
  <c r="AO36" i="6"/>
  <c r="AN36" i="6"/>
  <c r="AM36" i="6"/>
  <c r="AL36" i="6"/>
  <c r="D36" i="6"/>
  <c r="C36" i="6"/>
  <c r="AT129" i="6"/>
  <c r="AS129" i="6"/>
  <c r="AR129" i="6"/>
  <c r="AQ129" i="6"/>
  <c r="AP129" i="6"/>
  <c r="AO129" i="6"/>
  <c r="AN129" i="6"/>
  <c r="AM129" i="6"/>
  <c r="AL129" i="6"/>
  <c r="D129" i="6"/>
  <c r="C129" i="6"/>
  <c r="AT78" i="6"/>
  <c r="AS78" i="6"/>
  <c r="AR78" i="6"/>
  <c r="AQ78" i="6"/>
  <c r="AP78" i="6"/>
  <c r="AO78" i="6"/>
  <c r="AN78" i="6"/>
  <c r="AM78" i="6"/>
  <c r="AL78" i="6"/>
  <c r="D78" i="6"/>
  <c r="C78" i="6"/>
  <c r="AT50" i="6"/>
  <c r="AS50" i="6"/>
  <c r="AR50" i="6"/>
  <c r="AQ50" i="6"/>
  <c r="AP50" i="6"/>
  <c r="AO50" i="6"/>
  <c r="AN50" i="6"/>
  <c r="AM50" i="6"/>
  <c r="AL50" i="6"/>
  <c r="D50" i="6"/>
  <c r="C50" i="6"/>
  <c r="AT49" i="6"/>
  <c r="AS49" i="6"/>
  <c r="AR49" i="6"/>
  <c r="AQ49" i="6"/>
  <c r="AP49" i="6"/>
  <c r="AO49" i="6"/>
  <c r="AN49" i="6"/>
  <c r="AM49" i="6"/>
  <c r="AL49" i="6"/>
  <c r="D49" i="6"/>
  <c r="C49" i="6"/>
  <c r="AT128" i="6"/>
  <c r="AS128" i="6"/>
  <c r="AR128" i="6"/>
  <c r="AQ128" i="6"/>
  <c r="AP128" i="6"/>
  <c r="AO128" i="6"/>
  <c r="AN128" i="6"/>
  <c r="AM128" i="6"/>
  <c r="AL128" i="6"/>
  <c r="D128" i="6"/>
  <c r="C128" i="6"/>
  <c r="AT77" i="6"/>
  <c r="AS77" i="6"/>
  <c r="AR77" i="6"/>
  <c r="AQ77" i="6"/>
  <c r="AP77" i="6"/>
  <c r="AO77" i="6"/>
  <c r="AN77" i="6"/>
  <c r="AM77" i="6"/>
  <c r="AL77" i="6"/>
  <c r="D77" i="6"/>
  <c r="C77" i="6"/>
  <c r="AT127" i="6"/>
  <c r="AS127" i="6"/>
  <c r="AR127" i="6"/>
  <c r="AQ127" i="6"/>
  <c r="AP127" i="6"/>
  <c r="AO127" i="6"/>
  <c r="AN127" i="6"/>
  <c r="AM127" i="6"/>
  <c r="AL127" i="6"/>
  <c r="D127" i="6"/>
  <c r="C127" i="6"/>
  <c r="AT48" i="6"/>
  <c r="AS48" i="6"/>
  <c r="AR48" i="6"/>
  <c r="AQ48" i="6"/>
  <c r="AP48" i="6"/>
  <c r="AO48" i="6"/>
  <c r="AN48" i="6"/>
  <c r="AM48" i="6"/>
  <c r="AL48" i="6"/>
  <c r="D48" i="6"/>
  <c r="C48" i="6"/>
  <c r="AT47" i="6"/>
  <c r="AS47" i="6"/>
  <c r="AR47" i="6"/>
  <c r="AQ47" i="6"/>
  <c r="AP47" i="6"/>
  <c r="AO47" i="6"/>
  <c r="AN47" i="6"/>
  <c r="AM47" i="6"/>
  <c r="AL47" i="6"/>
  <c r="D47" i="6"/>
  <c r="C47" i="6"/>
  <c r="AT126" i="6"/>
  <c r="AS126" i="6"/>
  <c r="AR126" i="6"/>
  <c r="AQ126" i="6"/>
  <c r="AP126" i="6"/>
  <c r="AO126" i="6"/>
  <c r="AN126" i="6"/>
  <c r="AM126" i="6"/>
  <c r="AL126" i="6"/>
  <c r="D126" i="6"/>
  <c r="C126" i="6"/>
  <c r="AT19" i="6"/>
  <c r="AS19" i="6"/>
  <c r="AR19" i="6"/>
  <c r="AQ19" i="6"/>
  <c r="AP19" i="6"/>
  <c r="AO19" i="6"/>
  <c r="AN19" i="6"/>
  <c r="AM19" i="6"/>
  <c r="AL19" i="6"/>
  <c r="D19" i="6"/>
  <c r="C19" i="6"/>
  <c r="AT12" i="6"/>
  <c r="AS12" i="6"/>
  <c r="AR12" i="6"/>
  <c r="AQ12" i="6"/>
  <c r="AP12" i="6"/>
  <c r="AO12" i="6"/>
  <c r="AN12" i="6"/>
  <c r="AM12" i="6"/>
  <c r="AL12" i="6"/>
  <c r="D12" i="6"/>
  <c r="C12" i="6"/>
  <c r="AT16" i="6"/>
  <c r="AS16" i="6"/>
  <c r="AR16" i="6"/>
  <c r="AQ16" i="6"/>
  <c r="AP16" i="6"/>
  <c r="AO16" i="6"/>
  <c r="AN16" i="6"/>
  <c r="AM16" i="6"/>
  <c r="AL16" i="6"/>
  <c r="D16" i="6"/>
  <c r="C16" i="6"/>
  <c r="AT125" i="6"/>
  <c r="AS125" i="6"/>
  <c r="AR125" i="6"/>
  <c r="AQ125" i="6"/>
  <c r="AP125" i="6"/>
  <c r="AO125" i="6"/>
  <c r="AN125" i="6"/>
  <c r="AM125" i="6"/>
  <c r="AL125" i="6"/>
  <c r="D125" i="6"/>
  <c r="C125" i="6"/>
  <c r="AT124" i="6"/>
  <c r="AS124" i="6"/>
  <c r="AR124" i="6"/>
  <c r="AQ124" i="6"/>
  <c r="AP124" i="6"/>
  <c r="AO124" i="6"/>
  <c r="AN124" i="6"/>
  <c r="AM124" i="6"/>
  <c r="AL124" i="6"/>
  <c r="D124" i="6"/>
  <c r="C124" i="6"/>
  <c r="AT123" i="6"/>
  <c r="AS123" i="6"/>
  <c r="AR123" i="6"/>
  <c r="AQ123" i="6"/>
  <c r="AP123" i="6"/>
  <c r="AO123" i="6"/>
  <c r="AN123" i="6"/>
  <c r="AM123" i="6"/>
  <c r="AL123" i="6"/>
  <c r="D123" i="6"/>
  <c r="C123" i="6"/>
  <c r="AT154" i="6"/>
  <c r="AS154" i="6"/>
  <c r="AR154" i="6"/>
  <c r="AQ154" i="6"/>
  <c r="AP154" i="6"/>
  <c r="AO154" i="6"/>
  <c r="AN154" i="6"/>
  <c r="AM154" i="6"/>
  <c r="AL154" i="6"/>
  <c r="D154" i="6"/>
  <c r="C154" i="6"/>
  <c r="AT91" i="6"/>
  <c r="AS91" i="6"/>
  <c r="AR91" i="6"/>
  <c r="AQ91" i="6"/>
  <c r="AP91" i="6"/>
  <c r="AO91" i="6"/>
  <c r="AN91" i="6"/>
  <c r="AM91" i="6"/>
  <c r="AL91" i="6"/>
  <c r="D91" i="6"/>
  <c r="C91" i="6"/>
  <c r="AT76" i="6"/>
  <c r="AS76" i="6"/>
  <c r="AR76" i="6"/>
  <c r="AQ76" i="6"/>
  <c r="AP76" i="6"/>
  <c r="AO76" i="6"/>
  <c r="AN76" i="6"/>
  <c r="AM76" i="6"/>
  <c r="AL76" i="6"/>
  <c r="D76" i="6"/>
  <c r="C76" i="6"/>
  <c r="AT43" i="6"/>
  <c r="AS43" i="6"/>
  <c r="AR43" i="6"/>
  <c r="AQ43" i="6"/>
  <c r="AP43" i="6"/>
  <c r="AO43" i="6"/>
  <c r="AN43" i="6"/>
  <c r="AM43" i="6"/>
  <c r="AL43" i="6"/>
  <c r="D43" i="6"/>
  <c r="C43" i="6"/>
  <c r="AT99" i="6"/>
  <c r="AS99" i="6"/>
  <c r="AR99" i="6"/>
  <c r="AQ99" i="6"/>
  <c r="AP99" i="6"/>
  <c r="AO99" i="6"/>
  <c r="AN99" i="6"/>
  <c r="AM99" i="6"/>
  <c r="AL99" i="6"/>
  <c r="D99" i="6"/>
  <c r="C99" i="6"/>
  <c r="AT122" i="6"/>
  <c r="AS122" i="6"/>
  <c r="AR122" i="6"/>
  <c r="AQ122" i="6"/>
  <c r="AP122" i="6"/>
  <c r="AO122" i="6"/>
  <c r="AN122" i="6"/>
  <c r="AM122" i="6"/>
  <c r="AL122" i="6"/>
  <c r="D122" i="6"/>
  <c r="C122" i="6"/>
  <c r="AT121" i="6"/>
  <c r="AS121" i="6"/>
  <c r="AR121" i="6"/>
  <c r="AQ121" i="6"/>
  <c r="AP121" i="6"/>
  <c r="AO121" i="6"/>
  <c r="AN121" i="6"/>
  <c r="AM121" i="6"/>
  <c r="AL121" i="6"/>
  <c r="D121" i="6"/>
  <c r="C121" i="6"/>
  <c r="AT120" i="6"/>
  <c r="AS120" i="6"/>
  <c r="AR120" i="6"/>
  <c r="AQ120" i="6"/>
  <c r="AP120" i="6"/>
  <c r="AO120" i="6"/>
  <c r="AN120" i="6"/>
  <c r="AM120" i="6"/>
  <c r="AL120" i="6"/>
  <c r="D120" i="6"/>
  <c r="C120" i="6"/>
  <c r="AT18" i="6"/>
  <c r="AS18" i="6"/>
  <c r="AR18" i="6"/>
  <c r="AQ18" i="6"/>
  <c r="AP18" i="6"/>
  <c r="AO18" i="6"/>
  <c r="AN18" i="6"/>
  <c r="AM18" i="6"/>
  <c r="AL18" i="6"/>
  <c r="D18" i="6"/>
  <c r="C18" i="6"/>
  <c r="AT75" i="6"/>
  <c r="AS75" i="6"/>
  <c r="AR75" i="6"/>
  <c r="AQ75" i="6"/>
  <c r="AP75" i="6"/>
  <c r="AO75" i="6"/>
  <c r="AN75" i="6"/>
  <c r="AM75" i="6"/>
  <c r="AL75" i="6"/>
  <c r="D75" i="6"/>
  <c r="C75" i="6"/>
  <c r="AT119" i="6"/>
  <c r="AS119" i="6"/>
  <c r="AR119" i="6"/>
  <c r="AQ119" i="6"/>
  <c r="AP119" i="6"/>
  <c r="AO119" i="6"/>
  <c r="AN119" i="6"/>
  <c r="AM119" i="6"/>
  <c r="AL119" i="6"/>
  <c r="D119" i="6"/>
  <c r="C119" i="6"/>
  <c r="AT31" i="6"/>
  <c r="AS31" i="6"/>
  <c r="AR31" i="6"/>
  <c r="AQ31" i="6"/>
  <c r="AP31" i="6"/>
  <c r="AO31" i="6"/>
  <c r="AN31" i="6"/>
  <c r="AM31" i="6"/>
  <c r="AL31" i="6"/>
  <c r="D31" i="6"/>
  <c r="C31" i="6"/>
  <c r="AT42" i="6"/>
  <c r="AS42" i="6"/>
  <c r="AR42" i="6"/>
  <c r="AQ42" i="6"/>
  <c r="AP42" i="6"/>
  <c r="AO42" i="6"/>
  <c r="AN42" i="6"/>
  <c r="AM42" i="6"/>
  <c r="AL42" i="6"/>
  <c r="D42" i="6"/>
  <c r="C42" i="6"/>
  <c r="AT61" i="6"/>
  <c r="AS61" i="6"/>
  <c r="AR61" i="6"/>
  <c r="AQ61" i="6"/>
  <c r="AP61" i="6"/>
  <c r="AO61" i="6"/>
  <c r="AN61" i="6"/>
  <c r="AM61" i="6"/>
  <c r="AL61" i="6"/>
  <c r="D61" i="6"/>
  <c r="C61" i="6"/>
  <c r="AT23" i="6"/>
  <c r="AS23" i="6"/>
  <c r="AR23" i="6"/>
  <c r="AQ23" i="6"/>
  <c r="AP23" i="6"/>
  <c r="AO23" i="6"/>
  <c r="AN23" i="6"/>
  <c r="AM23" i="6"/>
  <c r="AL23" i="6"/>
  <c r="D23" i="6"/>
  <c r="C23" i="6"/>
  <c r="AT90" i="6"/>
  <c r="AS90" i="6"/>
  <c r="AR90" i="6"/>
  <c r="AQ90" i="6"/>
  <c r="AP90" i="6"/>
  <c r="AO90" i="6"/>
  <c r="AN90" i="6"/>
  <c r="AM90" i="6"/>
  <c r="AL90" i="6"/>
  <c r="D90" i="6"/>
  <c r="C90" i="6"/>
  <c r="AT46" i="6"/>
  <c r="AS46" i="6"/>
  <c r="AR46" i="6"/>
  <c r="AQ46" i="6"/>
  <c r="AP46" i="6"/>
  <c r="AO46" i="6"/>
  <c r="AN46" i="6"/>
  <c r="AM46" i="6"/>
  <c r="AL46" i="6"/>
  <c r="D46" i="6"/>
  <c r="C46" i="6"/>
  <c r="AT41" i="6"/>
  <c r="AS41" i="6"/>
  <c r="AR41" i="6"/>
  <c r="AQ41" i="6"/>
  <c r="AP41" i="6"/>
  <c r="AO41" i="6"/>
  <c r="AN41" i="6"/>
  <c r="AM41" i="6"/>
  <c r="AL41" i="6"/>
  <c r="D41" i="6"/>
  <c r="C41" i="6"/>
  <c r="AT21" i="6"/>
  <c r="AS21" i="6"/>
  <c r="AR21" i="6"/>
  <c r="AQ21" i="6"/>
  <c r="AP21" i="6"/>
  <c r="AO21" i="6"/>
  <c r="AN21" i="6"/>
  <c r="AM21" i="6"/>
  <c r="AL21" i="6"/>
  <c r="D21" i="6"/>
  <c r="C21" i="6"/>
  <c r="AT153" i="6"/>
  <c r="AS153" i="6"/>
  <c r="AR153" i="6"/>
  <c r="AQ153" i="6"/>
  <c r="AP153" i="6"/>
  <c r="AO153" i="6"/>
  <c r="AN153" i="6"/>
  <c r="AM153" i="6"/>
  <c r="AL153" i="6"/>
  <c r="D153" i="6"/>
  <c r="C153" i="6"/>
  <c r="AT14" i="6"/>
  <c r="AS14" i="6"/>
  <c r="AR14" i="6"/>
  <c r="AQ14" i="6"/>
  <c r="AP14" i="6"/>
  <c r="AO14" i="6"/>
  <c r="AN14" i="6"/>
  <c r="AM14" i="6"/>
  <c r="AL14" i="6"/>
  <c r="D14" i="6"/>
  <c r="C14" i="6"/>
  <c r="AT59" i="6"/>
  <c r="AS59" i="6"/>
  <c r="AR59" i="6"/>
  <c r="AQ59" i="6"/>
  <c r="AP59" i="6"/>
  <c r="AO59" i="6"/>
  <c r="AN59" i="6"/>
  <c r="AM59" i="6"/>
  <c r="AL59" i="6"/>
  <c r="D59" i="6"/>
  <c r="C59" i="6"/>
  <c r="AT40" i="6"/>
  <c r="AS40" i="6"/>
  <c r="AR40" i="6"/>
  <c r="AQ40" i="6"/>
  <c r="AP40" i="6"/>
  <c r="AO40" i="6"/>
  <c r="AN40" i="6"/>
  <c r="AM40" i="6"/>
  <c r="AL40" i="6"/>
  <c r="D40" i="6"/>
  <c r="C40" i="6"/>
  <c r="AT30" i="6"/>
  <c r="AS30" i="6"/>
  <c r="AR30" i="6"/>
  <c r="AQ30" i="6"/>
  <c r="AP30" i="6"/>
  <c r="AO30" i="6"/>
  <c r="AN30" i="6"/>
  <c r="AM30" i="6"/>
  <c r="AL30" i="6"/>
  <c r="D30" i="6"/>
  <c r="C30" i="6"/>
  <c r="AT118" i="6"/>
  <c r="AS118" i="6"/>
  <c r="AR118" i="6"/>
  <c r="AQ118" i="6"/>
  <c r="AP118" i="6"/>
  <c r="AO118" i="6"/>
  <c r="AN118" i="6"/>
  <c r="AM118" i="6"/>
  <c r="AL118" i="6"/>
  <c r="D118" i="6"/>
  <c r="C118" i="6"/>
  <c r="AT117" i="6"/>
  <c r="AS117" i="6"/>
  <c r="AR117" i="6"/>
  <c r="AQ117" i="6"/>
  <c r="AP117" i="6"/>
  <c r="AO117" i="6"/>
  <c r="AN117" i="6"/>
  <c r="AM117" i="6"/>
  <c r="AL117" i="6"/>
  <c r="D117" i="6"/>
  <c r="C117" i="6"/>
  <c r="AT38" i="6"/>
  <c r="AS38" i="6"/>
  <c r="AR38" i="6"/>
  <c r="AQ38" i="6"/>
  <c r="AP38" i="6"/>
  <c r="AO38" i="6"/>
  <c r="AN38" i="6"/>
  <c r="AM38" i="6"/>
  <c r="AL38" i="6"/>
  <c r="D38" i="6"/>
  <c r="C38" i="6"/>
  <c r="AT74" i="6"/>
  <c r="AS74" i="6"/>
  <c r="AR74" i="6"/>
  <c r="AQ74" i="6"/>
  <c r="AP74" i="6"/>
  <c r="AO74" i="6"/>
  <c r="AN74" i="6"/>
  <c r="AM74" i="6"/>
  <c r="AL74" i="6"/>
  <c r="D74" i="6"/>
  <c r="C74" i="6"/>
  <c r="AT73" i="6"/>
  <c r="AS73" i="6"/>
  <c r="AR73" i="6"/>
  <c r="AQ73" i="6"/>
  <c r="AP73" i="6"/>
  <c r="AO73" i="6"/>
  <c r="AN73" i="6"/>
  <c r="AM73" i="6"/>
  <c r="AL73" i="6"/>
  <c r="D73" i="6"/>
  <c r="C73" i="6"/>
  <c r="AT37" i="6"/>
  <c r="AS37" i="6"/>
  <c r="AR37" i="6"/>
  <c r="AQ37" i="6"/>
  <c r="AP37" i="6"/>
  <c r="AO37" i="6"/>
  <c r="AN37" i="6"/>
  <c r="AM37" i="6"/>
  <c r="AL37" i="6"/>
  <c r="D37" i="6"/>
  <c r="C37" i="6"/>
  <c r="AT55" i="6"/>
  <c r="AS55" i="6"/>
  <c r="AR55" i="6"/>
  <c r="AQ55" i="6"/>
  <c r="AP55" i="6"/>
  <c r="AO55" i="6"/>
  <c r="AN55" i="6"/>
  <c r="AM55" i="6"/>
  <c r="AL55" i="6"/>
  <c r="D55" i="6"/>
  <c r="C55" i="6"/>
  <c r="AT54" i="6"/>
  <c r="AS54" i="6"/>
  <c r="AR54" i="6"/>
  <c r="AQ54" i="6"/>
  <c r="AP54" i="6"/>
  <c r="AO54" i="6"/>
  <c r="AN54" i="6"/>
  <c r="AM54" i="6"/>
  <c r="AL54" i="6"/>
  <c r="D54" i="6"/>
  <c r="C54" i="6"/>
  <c r="AT72" i="6"/>
  <c r="AS72" i="6"/>
  <c r="AR72" i="6"/>
  <c r="AQ72" i="6"/>
  <c r="AP72" i="6"/>
  <c r="AO72" i="6"/>
  <c r="AN72" i="6"/>
  <c r="AM72" i="6"/>
  <c r="AL72" i="6"/>
  <c r="D72" i="6"/>
  <c r="C72" i="6"/>
  <c r="AT100" i="6"/>
  <c r="AS100" i="6"/>
  <c r="AR100" i="6"/>
  <c r="AQ100" i="6"/>
  <c r="AP100" i="6"/>
  <c r="AO100" i="6"/>
  <c r="AN100" i="6"/>
  <c r="AM100" i="6"/>
  <c r="AL100" i="6"/>
  <c r="D100" i="6"/>
  <c r="C100" i="6"/>
  <c r="AT9" i="6"/>
  <c r="AS9" i="6"/>
  <c r="AR9" i="6"/>
  <c r="AQ9" i="6"/>
  <c r="AP9" i="6"/>
  <c r="AO9" i="6"/>
  <c r="AN9" i="6"/>
  <c r="AM9" i="6"/>
  <c r="AL9" i="6"/>
  <c r="D9" i="6"/>
  <c r="C9" i="6"/>
  <c r="AT11" i="6"/>
  <c r="AS11" i="6"/>
  <c r="AR11" i="6"/>
  <c r="AQ11" i="6"/>
  <c r="AP11" i="6"/>
  <c r="AO11" i="6"/>
  <c r="AN11" i="6"/>
  <c r="AM11" i="6"/>
  <c r="AL11" i="6"/>
  <c r="D11" i="6"/>
  <c r="C11" i="6"/>
  <c r="AT71" i="6"/>
  <c r="AS71" i="6"/>
  <c r="AR71" i="6"/>
  <c r="AQ71" i="6"/>
  <c r="AP71" i="6"/>
  <c r="AO71" i="6"/>
  <c r="AN71" i="6"/>
  <c r="AM71" i="6"/>
  <c r="AL71" i="6"/>
  <c r="D71" i="6"/>
  <c r="C71" i="6"/>
  <c r="AT60" i="6"/>
  <c r="AS60" i="6"/>
  <c r="AR60" i="6"/>
  <c r="AQ60" i="6"/>
  <c r="AP60" i="6"/>
  <c r="AO60" i="6"/>
  <c r="AN60" i="6"/>
  <c r="AM60" i="6"/>
  <c r="AL60" i="6"/>
  <c r="D60" i="6"/>
  <c r="C60" i="6"/>
  <c r="AT156" i="6"/>
  <c r="AS156" i="6"/>
  <c r="AR156" i="6"/>
  <c r="AQ156" i="6"/>
  <c r="AP156" i="6"/>
  <c r="AO156" i="6"/>
  <c r="AN156" i="6"/>
  <c r="AM156" i="6"/>
  <c r="AL156" i="6"/>
  <c r="D156" i="6"/>
  <c r="C156" i="6"/>
  <c r="AT70" i="6"/>
  <c r="AS70" i="6"/>
  <c r="AR70" i="6"/>
  <c r="AQ70" i="6"/>
  <c r="AP70" i="6"/>
  <c r="AO70" i="6"/>
  <c r="AN70" i="6"/>
  <c r="AM70" i="6"/>
  <c r="AL70" i="6"/>
  <c r="D70" i="6"/>
  <c r="C70" i="6"/>
  <c r="AT69" i="6"/>
  <c r="AS69" i="6"/>
  <c r="AR69" i="6"/>
  <c r="AQ69" i="6"/>
  <c r="AP69" i="6"/>
  <c r="AO69" i="6"/>
  <c r="AN69" i="6"/>
  <c r="AM69" i="6"/>
  <c r="AL69" i="6"/>
  <c r="D69" i="6"/>
  <c r="C69" i="6"/>
  <c r="AT53" i="6"/>
  <c r="AS53" i="6"/>
  <c r="AR53" i="6"/>
  <c r="AQ53" i="6"/>
  <c r="AP53" i="6"/>
  <c r="AO53" i="6"/>
  <c r="AN53" i="6"/>
  <c r="AM53" i="6"/>
  <c r="AL53" i="6"/>
  <c r="D53" i="6"/>
  <c r="C53" i="6"/>
  <c r="AT29" i="6"/>
  <c r="AS29" i="6"/>
  <c r="AR29" i="6"/>
  <c r="AQ29" i="6"/>
  <c r="AP29" i="6"/>
  <c r="AO29" i="6"/>
  <c r="AN29" i="6"/>
  <c r="AM29" i="6"/>
  <c r="AL29" i="6"/>
  <c r="D29" i="6"/>
  <c r="C29" i="6"/>
  <c r="AT8" i="6"/>
  <c r="AS8" i="6"/>
  <c r="AR8" i="6"/>
  <c r="AQ8" i="6"/>
  <c r="AP8" i="6"/>
  <c r="AO8" i="6"/>
  <c r="AN8" i="6"/>
  <c r="AM8" i="6"/>
  <c r="AL8" i="6"/>
  <c r="D8" i="6"/>
  <c r="C8" i="6"/>
  <c r="AT150" i="6"/>
  <c r="AS150" i="6"/>
  <c r="AR150" i="6"/>
  <c r="AQ150" i="6"/>
  <c r="AP150" i="6"/>
  <c r="AO150" i="6"/>
  <c r="AN150" i="6"/>
  <c r="AM150" i="6"/>
  <c r="AL150" i="6"/>
  <c r="D150" i="6"/>
  <c r="C150" i="6"/>
  <c r="AT28" i="6"/>
  <c r="AS28" i="6"/>
  <c r="AR28" i="6"/>
  <c r="AQ28" i="6"/>
  <c r="AP28" i="6"/>
  <c r="AO28" i="6"/>
  <c r="AN28" i="6"/>
  <c r="AM28" i="6"/>
  <c r="AL28" i="6"/>
  <c r="D28" i="6"/>
  <c r="C28" i="6"/>
  <c r="AT116" i="6"/>
  <c r="AS116" i="6"/>
  <c r="AR116" i="6"/>
  <c r="AQ116" i="6"/>
  <c r="AP116" i="6"/>
  <c r="AO116" i="6"/>
  <c r="AN116" i="6"/>
  <c r="AM116" i="6"/>
  <c r="AL116" i="6"/>
  <c r="D116" i="6"/>
  <c r="C116" i="6"/>
  <c r="AT27" i="6"/>
  <c r="AS27" i="6"/>
  <c r="AR27" i="6"/>
  <c r="AQ27" i="6"/>
  <c r="AP27" i="6"/>
  <c r="AO27" i="6"/>
  <c r="AN27" i="6"/>
  <c r="AM27" i="6"/>
  <c r="AL27" i="6"/>
  <c r="D27" i="6"/>
  <c r="C27" i="6"/>
  <c r="AT115" i="6"/>
  <c r="AS115" i="6"/>
  <c r="AR115" i="6"/>
  <c r="AQ115" i="6"/>
  <c r="AP115" i="6"/>
  <c r="AO115" i="6"/>
  <c r="AN115" i="6"/>
  <c r="AM115" i="6"/>
  <c r="AL115" i="6"/>
  <c r="D115" i="6"/>
  <c r="C115" i="6"/>
  <c r="AT96" i="6"/>
  <c r="AS96" i="6"/>
  <c r="AR96" i="6"/>
  <c r="AQ96" i="6"/>
  <c r="AP96" i="6"/>
  <c r="AO96" i="6"/>
  <c r="AN96" i="6"/>
  <c r="AM96" i="6"/>
  <c r="AL96" i="6"/>
  <c r="D96" i="6"/>
  <c r="C96" i="6"/>
  <c r="AT114" i="6"/>
  <c r="AS114" i="6"/>
  <c r="AR114" i="6"/>
  <c r="AQ114" i="6"/>
  <c r="AP114" i="6"/>
  <c r="AO114" i="6"/>
  <c r="AN114" i="6"/>
  <c r="AM114" i="6"/>
  <c r="AL114" i="6"/>
  <c r="D114" i="6"/>
  <c r="C114" i="6"/>
  <c r="AT45" i="6"/>
  <c r="AS45" i="6"/>
  <c r="AR45" i="6"/>
  <c r="AQ45" i="6"/>
  <c r="AP45" i="6"/>
  <c r="AO45" i="6"/>
  <c r="AN45" i="6"/>
  <c r="AM45" i="6"/>
  <c r="AL45" i="6"/>
  <c r="D45" i="6"/>
  <c r="C45" i="6"/>
  <c r="AT98" i="6"/>
  <c r="AS98" i="6"/>
  <c r="AR98" i="6"/>
  <c r="AQ98" i="6"/>
  <c r="AP98" i="6"/>
  <c r="AO98" i="6"/>
  <c r="AN98" i="6"/>
  <c r="AM98" i="6"/>
  <c r="AL98" i="6"/>
  <c r="D98" i="6"/>
  <c r="C98" i="6"/>
  <c r="AT15" i="6"/>
  <c r="AS15" i="6"/>
  <c r="AR15" i="6"/>
  <c r="AQ15" i="6"/>
  <c r="AP15" i="6"/>
  <c r="AO15" i="6"/>
  <c r="AN15" i="6"/>
  <c r="AM15" i="6"/>
  <c r="AL15" i="6"/>
  <c r="D15" i="6"/>
  <c r="C15" i="6"/>
  <c r="AT89" i="6"/>
  <c r="AS89" i="6"/>
  <c r="AR89" i="6"/>
  <c r="AQ89" i="6"/>
  <c r="AP89" i="6"/>
  <c r="AO89" i="6"/>
  <c r="AN89" i="6"/>
  <c r="AM89" i="6"/>
  <c r="AL89" i="6"/>
  <c r="D89" i="6"/>
  <c r="C89" i="6"/>
  <c r="AT68" i="6"/>
  <c r="AS68" i="6"/>
  <c r="AR68" i="6"/>
  <c r="AQ68" i="6"/>
  <c r="AP68" i="6"/>
  <c r="AO68" i="6"/>
  <c r="AN68" i="6"/>
  <c r="AM68" i="6"/>
  <c r="AL68" i="6"/>
  <c r="D68" i="6"/>
  <c r="C68" i="6"/>
  <c r="AT44" i="6"/>
  <c r="AS44" i="6"/>
  <c r="AR44" i="6"/>
  <c r="AQ44" i="6"/>
  <c r="AP44" i="6"/>
  <c r="AO44" i="6"/>
  <c r="AN44" i="6"/>
  <c r="AM44" i="6"/>
  <c r="AL44" i="6"/>
  <c r="D44" i="6"/>
  <c r="C44" i="6"/>
  <c r="AT88" i="6"/>
  <c r="AS88" i="6"/>
  <c r="AR88" i="6"/>
  <c r="AQ88" i="6"/>
  <c r="AP88" i="6"/>
  <c r="AO88" i="6"/>
  <c r="AN88" i="6"/>
  <c r="AM88" i="6"/>
  <c r="AL88" i="6"/>
  <c r="D88" i="6"/>
  <c r="C88" i="6"/>
  <c r="AT10" i="6"/>
  <c r="AS10" i="6"/>
  <c r="AR10" i="6"/>
  <c r="AQ10" i="6"/>
  <c r="AP10" i="6"/>
  <c r="AO10" i="6"/>
  <c r="AN10" i="6"/>
  <c r="AM10" i="6"/>
  <c r="AL10" i="6"/>
  <c r="D10" i="6"/>
  <c r="C10" i="6"/>
  <c r="AT149" i="6"/>
  <c r="AS149" i="6"/>
  <c r="AR149" i="6"/>
  <c r="AQ149" i="6"/>
  <c r="AP149" i="6"/>
  <c r="AO149" i="6"/>
  <c r="AN149" i="6"/>
  <c r="AM149" i="6"/>
  <c r="AL149" i="6"/>
  <c r="D149" i="6"/>
  <c r="C149" i="6"/>
  <c r="AT58" i="6"/>
  <c r="AS58" i="6"/>
  <c r="AR58" i="6"/>
  <c r="AQ58" i="6"/>
  <c r="AP58" i="6"/>
  <c r="AO58" i="6"/>
  <c r="AN58" i="6"/>
  <c r="AM58" i="6"/>
  <c r="AL58" i="6"/>
  <c r="D58" i="6"/>
  <c r="C58" i="6"/>
  <c r="AT107" i="6"/>
  <c r="AS107" i="6"/>
  <c r="AR107" i="6"/>
  <c r="AQ107" i="6"/>
  <c r="AP107" i="6"/>
  <c r="AO107" i="6"/>
  <c r="AN107" i="6"/>
  <c r="AM107" i="6"/>
  <c r="AL107" i="6"/>
  <c r="D107" i="6"/>
  <c r="C107" i="6"/>
  <c r="AT87" i="6"/>
  <c r="AS87" i="6"/>
  <c r="AR87" i="6"/>
  <c r="AQ87" i="6"/>
  <c r="AP87" i="6"/>
  <c r="AO87" i="6"/>
  <c r="AN87" i="6"/>
  <c r="AM87" i="6"/>
  <c r="AL87" i="6"/>
  <c r="D87" i="6"/>
  <c r="C87" i="6"/>
  <c r="AT113" i="6"/>
  <c r="AS113" i="6"/>
  <c r="AR113" i="6"/>
  <c r="AQ113" i="6"/>
  <c r="AP113" i="6"/>
  <c r="AO113" i="6"/>
  <c r="AN113" i="6"/>
  <c r="AM113" i="6"/>
  <c r="AL113" i="6"/>
  <c r="D113" i="6"/>
  <c r="C113" i="6"/>
  <c r="AT67" i="6"/>
  <c r="AS67" i="6"/>
  <c r="AR67" i="6"/>
  <c r="AQ67" i="6"/>
  <c r="AP67" i="6"/>
  <c r="AO67" i="6"/>
  <c r="AN67" i="6"/>
  <c r="AM67" i="6"/>
  <c r="AL67" i="6"/>
  <c r="D67" i="6"/>
  <c r="C67" i="6"/>
  <c r="AT112" i="6"/>
  <c r="AS112" i="6"/>
  <c r="AR112" i="6"/>
  <c r="AQ112" i="6"/>
  <c r="AP112" i="6"/>
  <c r="AO112" i="6"/>
  <c r="AN112" i="6"/>
  <c r="AM112" i="6"/>
  <c r="AL112" i="6"/>
  <c r="D112" i="6"/>
  <c r="C112" i="6"/>
  <c r="AT66" i="6"/>
  <c r="AS66" i="6"/>
  <c r="AR66" i="6"/>
  <c r="AQ66" i="6"/>
  <c r="AP66" i="6"/>
  <c r="AO66" i="6"/>
  <c r="AN66" i="6"/>
  <c r="AM66" i="6"/>
  <c r="AL66" i="6"/>
  <c r="D66" i="6"/>
  <c r="C66" i="6"/>
  <c r="AT26" i="6"/>
  <c r="AS26" i="6"/>
  <c r="AR26" i="6"/>
  <c r="AQ26" i="6"/>
  <c r="AP26" i="6"/>
  <c r="AO26" i="6"/>
  <c r="AN26" i="6"/>
  <c r="AM26" i="6"/>
  <c r="AL26" i="6"/>
  <c r="D26" i="6"/>
  <c r="C26" i="6"/>
  <c r="AT65" i="6"/>
  <c r="AS65" i="6"/>
  <c r="AR65" i="6"/>
  <c r="AQ65" i="6"/>
  <c r="AP65" i="6"/>
  <c r="AO65" i="6"/>
  <c r="AN65" i="6"/>
  <c r="AM65" i="6"/>
  <c r="AL65" i="6"/>
  <c r="D65" i="6"/>
  <c r="C65" i="6"/>
  <c r="AT111" i="6"/>
  <c r="AS111" i="6"/>
  <c r="AR111" i="6"/>
  <c r="AQ111" i="6"/>
  <c r="AP111" i="6"/>
  <c r="AO111" i="6"/>
  <c r="AN111" i="6"/>
  <c r="AM111" i="6"/>
  <c r="AL111" i="6"/>
  <c r="D111" i="6"/>
  <c r="C111" i="6"/>
  <c r="AT39" i="6"/>
  <c r="AS39" i="6"/>
  <c r="AR39" i="6"/>
  <c r="AQ39" i="6"/>
  <c r="AP39" i="6"/>
  <c r="AO39" i="6"/>
  <c r="AN39" i="6"/>
  <c r="AM39" i="6"/>
  <c r="AL39" i="6"/>
  <c r="D39" i="6"/>
  <c r="C39" i="6"/>
  <c r="AT64" i="6"/>
  <c r="AS64" i="6"/>
  <c r="AR64" i="6"/>
  <c r="AQ64" i="6"/>
  <c r="AP64" i="6"/>
  <c r="AO64" i="6"/>
  <c r="AN64" i="6"/>
  <c r="AM64" i="6"/>
  <c r="AL64" i="6"/>
  <c r="D64" i="6"/>
  <c r="C64" i="6"/>
  <c r="AT95" i="6"/>
  <c r="AS95" i="6"/>
  <c r="AR95" i="6"/>
  <c r="AQ95" i="6"/>
  <c r="AP95" i="6"/>
  <c r="AO95" i="6"/>
  <c r="AN95" i="6"/>
  <c r="AM95" i="6"/>
  <c r="AL95" i="6"/>
  <c r="D95" i="6"/>
  <c r="C95" i="6"/>
  <c r="AT25" i="6"/>
  <c r="AS25" i="6"/>
  <c r="AR25" i="6"/>
  <c r="AQ25" i="6"/>
  <c r="AP25" i="6"/>
  <c r="AO25" i="6"/>
  <c r="AN25" i="6"/>
  <c r="AM25" i="6"/>
  <c r="AL25" i="6"/>
  <c r="D25" i="6"/>
  <c r="C25" i="6"/>
  <c r="AT110" i="6"/>
  <c r="AS110" i="6"/>
  <c r="AR110" i="6"/>
  <c r="AQ110" i="6"/>
  <c r="AP110" i="6"/>
  <c r="AO110" i="6"/>
  <c r="AN110" i="6"/>
  <c r="AM110" i="6"/>
  <c r="AL110" i="6"/>
  <c r="D110" i="6"/>
  <c r="C110" i="6"/>
  <c r="AT109" i="6"/>
  <c r="AS109" i="6"/>
  <c r="AR109" i="6"/>
  <c r="AQ109" i="6"/>
  <c r="AP109" i="6"/>
  <c r="AO109" i="6"/>
  <c r="AN109" i="6"/>
  <c r="AM109" i="6"/>
  <c r="AL109" i="6"/>
  <c r="D109" i="6"/>
  <c r="C109" i="6"/>
  <c r="AT63" i="6"/>
  <c r="AS63" i="6"/>
  <c r="AR63" i="6"/>
  <c r="AQ63" i="6"/>
  <c r="AP63" i="6"/>
  <c r="AO63" i="6"/>
  <c r="AN63" i="6"/>
  <c r="AM63" i="6"/>
  <c r="AL63" i="6"/>
  <c r="D63" i="6"/>
  <c r="C63" i="6"/>
  <c r="D346" i="5"/>
  <c r="C346" i="5"/>
  <c r="D345" i="5"/>
  <c r="C345" i="5"/>
  <c r="D344" i="5"/>
  <c r="C344" i="5"/>
  <c r="D343" i="5"/>
  <c r="C343" i="5"/>
  <c r="D342" i="5"/>
  <c r="C342" i="5"/>
  <c r="D341" i="5"/>
  <c r="C341" i="5"/>
  <c r="D340" i="5"/>
  <c r="C340" i="5"/>
  <c r="D339" i="5"/>
  <c r="C339" i="5"/>
  <c r="D338" i="5"/>
  <c r="C338" i="5"/>
  <c r="D337" i="5"/>
  <c r="C337" i="5"/>
  <c r="D336" i="5"/>
  <c r="C336" i="5"/>
  <c r="D335" i="5"/>
  <c r="C335" i="5"/>
  <c r="D334" i="5"/>
  <c r="C334" i="5"/>
  <c r="D333" i="5"/>
  <c r="C333" i="5"/>
  <c r="D332" i="5"/>
  <c r="C332" i="5"/>
  <c r="D331" i="5"/>
  <c r="C331" i="5"/>
  <c r="D330" i="5"/>
  <c r="C330" i="5"/>
  <c r="D329" i="5"/>
  <c r="C329" i="5"/>
  <c r="D328" i="5"/>
  <c r="C328" i="5"/>
  <c r="D327" i="5"/>
  <c r="C327" i="5"/>
  <c r="D326" i="5"/>
  <c r="C326" i="5"/>
  <c r="D325" i="5"/>
  <c r="C325" i="5"/>
  <c r="D324" i="5"/>
  <c r="C324" i="5"/>
  <c r="D323" i="5"/>
  <c r="C323" i="5"/>
  <c r="D322" i="5"/>
  <c r="C322" i="5"/>
  <c r="D321" i="5"/>
  <c r="C321" i="5"/>
  <c r="D320" i="5"/>
  <c r="C320" i="5"/>
  <c r="D319" i="5"/>
  <c r="C319" i="5"/>
  <c r="D318" i="5"/>
  <c r="C318" i="5"/>
  <c r="D317" i="5"/>
  <c r="C317" i="5"/>
  <c r="D316" i="5"/>
  <c r="C316" i="5"/>
  <c r="D315" i="5"/>
  <c r="C315" i="5"/>
  <c r="D314" i="5"/>
  <c r="C314" i="5"/>
  <c r="D313" i="5"/>
  <c r="C313" i="5"/>
  <c r="D312" i="5"/>
  <c r="C312" i="5"/>
  <c r="D311" i="5"/>
  <c r="C311" i="5"/>
  <c r="D310" i="5"/>
  <c r="C310" i="5"/>
  <c r="D309" i="5"/>
  <c r="C309" i="5"/>
  <c r="D308" i="5"/>
  <c r="C308" i="5"/>
  <c r="D307" i="5"/>
  <c r="C307" i="5"/>
  <c r="D306" i="5"/>
  <c r="C306" i="5"/>
  <c r="D305" i="5"/>
  <c r="C305" i="5"/>
  <c r="D304" i="5"/>
  <c r="C304" i="5"/>
  <c r="D303" i="5"/>
  <c r="C303" i="5"/>
  <c r="D302" i="5"/>
  <c r="C302" i="5"/>
  <c r="D301" i="5"/>
  <c r="C301" i="5"/>
  <c r="D300" i="5"/>
  <c r="C300" i="5"/>
  <c r="D299" i="5"/>
  <c r="C299" i="5"/>
  <c r="D298" i="5"/>
  <c r="C298" i="5"/>
  <c r="D297" i="5"/>
  <c r="C297" i="5"/>
  <c r="D296" i="5"/>
  <c r="C296" i="5"/>
  <c r="D295" i="5"/>
  <c r="C295" i="5"/>
  <c r="D294" i="5"/>
  <c r="C294" i="5"/>
  <c r="D293" i="5"/>
  <c r="C293" i="5"/>
  <c r="D292" i="5"/>
  <c r="C292" i="5"/>
  <c r="D291" i="5"/>
  <c r="C291" i="5"/>
  <c r="D290" i="5"/>
  <c r="C290" i="5"/>
  <c r="D289" i="5"/>
  <c r="C289" i="5"/>
  <c r="D288" i="5"/>
  <c r="C288" i="5"/>
  <c r="D287" i="5"/>
  <c r="C287" i="5"/>
  <c r="D286" i="5"/>
  <c r="C286" i="5"/>
  <c r="D285" i="5"/>
  <c r="C285" i="5"/>
  <c r="D284" i="5"/>
  <c r="C284" i="5"/>
  <c r="D283" i="5"/>
  <c r="C283" i="5"/>
  <c r="D282" i="5"/>
  <c r="C282" i="5"/>
  <c r="D281" i="5"/>
  <c r="C281" i="5"/>
  <c r="D280" i="5"/>
  <c r="C280" i="5"/>
  <c r="D279" i="5"/>
  <c r="C279" i="5"/>
  <c r="D278" i="5"/>
  <c r="C278" i="5"/>
  <c r="D277" i="5"/>
  <c r="C277" i="5"/>
  <c r="D276" i="5"/>
  <c r="C276" i="5"/>
  <c r="D275" i="5"/>
  <c r="C275" i="5"/>
  <c r="D274" i="5"/>
  <c r="C274" i="5"/>
  <c r="D273" i="5"/>
  <c r="C273" i="5"/>
  <c r="D272" i="5"/>
  <c r="C272" i="5"/>
  <c r="D271" i="5"/>
  <c r="C271" i="5"/>
  <c r="D270" i="5"/>
  <c r="C270" i="5"/>
  <c r="D269" i="5"/>
  <c r="C269" i="5"/>
  <c r="D268" i="5"/>
  <c r="C268" i="5"/>
  <c r="D267" i="5"/>
  <c r="C267" i="5"/>
  <c r="D266" i="5"/>
  <c r="C266" i="5"/>
  <c r="D265" i="5"/>
  <c r="C265" i="5"/>
  <c r="D264" i="5"/>
  <c r="C264" i="5"/>
  <c r="D263" i="5"/>
  <c r="C263" i="5"/>
  <c r="D262" i="5"/>
  <c r="C262" i="5"/>
  <c r="D261" i="5"/>
  <c r="C261" i="5"/>
  <c r="D260" i="5"/>
  <c r="C260" i="5"/>
  <c r="D259" i="5"/>
  <c r="C259" i="5"/>
  <c r="D258" i="5"/>
  <c r="C258" i="5"/>
  <c r="D257" i="5"/>
  <c r="C257" i="5"/>
  <c r="D256" i="5"/>
  <c r="C256" i="5"/>
  <c r="D255" i="5"/>
  <c r="C255" i="5"/>
  <c r="D254" i="5"/>
  <c r="C254" i="5"/>
  <c r="D253" i="5"/>
  <c r="C253" i="5"/>
  <c r="D252" i="5"/>
  <c r="C252" i="5"/>
  <c r="D251" i="5"/>
  <c r="C251" i="5"/>
  <c r="D250" i="5"/>
  <c r="C250" i="5"/>
  <c r="D249" i="5"/>
  <c r="C249" i="5"/>
  <c r="D248" i="5"/>
  <c r="C248" i="5"/>
  <c r="D247" i="5"/>
  <c r="C247" i="5"/>
  <c r="D246" i="5"/>
  <c r="C246" i="5"/>
  <c r="D245" i="5"/>
  <c r="C245" i="5"/>
  <c r="D244" i="5"/>
  <c r="C244" i="5"/>
  <c r="D243" i="5"/>
  <c r="C243" i="5"/>
  <c r="D242" i="5"/>
  <c r="C242" i="5"/>
  <c r="D241" i="5"/>
  <c r="C241" i="5"/>
  <c r="D240" i="5"/>
  <c r="C240" i="5"/>
  <c r="D239" i="5"/>
  <c r="C239" i="5"/>
  <c r="D238" i="5"/>
  <c r="C238" i="5"/>
  <c r="D237" i="5"/>
  <c r="C237" i="5"/>
  <c r="D236" i="5"/>
  <c r="C236" i="5"/>
  <c r="D235" i="5"/>
  <c r="C235" i="5"/>
  <c r="D234" i="5"/>
  <c r="C234" i="5"/>
  <c r="D233" i="5"/>
  <c r="C233" i="5"/>
  <c r="D232" i="5"/>
  <c r="C232" i="5"/>
  <c r="D231" i="5"/>
  <c r="C231" i="5"/>
  <c r="D230" i="5"/>
  <c r="C230" i="5"/>
  <c r="D229" i="5"/>
  <c r="C229" i="5"/>
  <c r="D228" i="5"/>
  <c r="C228" i="5"/>
  <c r="D227" i="5"/>
  <c r="C227" i="5"/>
  <c r="D226" i="5"/>
  <c r="C226" i="5"/>
  <c r="D225" i="5"/>
  <c r="C225" i="5"/>
  <c r="D224" i="5"/>
  <c r="C224" i="5"/>
  <c r="D223" i="5"/>
  <c r="C223" i="5"/>
  <c r="D222" i="5"/>
  <c r="C222" i="5"/>
  <c r="D221" i="5"/>
  <c r="C221" i="5"/>
  <c r="D220" i="5"/>
  <c r="C220" i="5"/>
  <c r="D219" i="5"/>
  <c r="C219" i="5"/>
  <c r="D218" i="5"/>
  <c r="C218" i="5"/>
  <c r="D217" i="5"/>
  <c r="C217" i="5"/>
  <c r="D216" i="5"/>
  <c r="C216" i="5"/>
  <c r="D215" i="5"/>
  <c r="C215" i="5"/>
  <c r="D214" i="5"/>
  <c r="C214" i="5"/>
  <c r="D213" i="5"/>
  <c r="C213" i="5"/>
  <c r="D212" i="5"/>
  <c r="C212" i="5"/>
  <c r="D211" i="5"/>
  <c r="C211" i="5"/>
  <c r="D210" i="5"/>
  <c r="C210" i="5"/>
  <c r="D209" i="5"/>
  <c r="C209" i="5"/>
  <c r="D208" i="5"/>
  <c r="C208" i="5"/>
  <c r="D207" i="5"/>
  <c r="C207" i="5"/>
  <c r="D206" i="5"/>
  <c r="C206" i="5"/>
  <c r="D205" i="5"/>
  <c r="C205" i="5"/>
  <c r="D204" i="5"/>
  <c r="C204" i="5"/>
  <c r="D203" i="5"/>
  <c r="C203" i="5"/>
  <c r="D202" i="5"/>
  <c r="C202" i="5"/>
  <c r="D201" i="5"/>
  <c r="C201" i="5"/>
  <c r="D200" i="5"/>
  <c r="C200" i="5"/>
  <c r="D199" i="5"/>
  <c r="C199" i="5"/>
  <c r="D198" i="5"/>
  <c r="C198" i="5"/>
  <c r="D197" i="5"/>
  <c r="C197" i="5"/>
  <c r="D196" i="5"/>
  <c r="C196" i="5"/>
  <c r="D195" i="5"/>
  <c r="C195" i="5"/>
  <c r="D194" i="5"/>
  <c r="C194" i="5"/>
  <c r="D193" i="5"/>
  <c r="C193" i="5"/>
  <c r="D192" i="5"/>
  <c r="C192" i="5"/>
  <c r="D191" i="5"/>
  <c r="C191" i="5"/>
  <c r="D190" i="5"/>
  <c r="C190" i="5"/>
  <c r="D189" i="5"/>
  <c r="C189" i="5"/>
  <c r="D188" i="5"/>
  <c r="C188" i="5"/>
  <c r="D187" i="5"/>
  <c r="C187" i="5"/>
  <c r="D186" i="5"/>
  <c r="C186" i="5"/>
  <c r="D185" i="5"/>
  <c r="C185" i="5"/>
  <c r="D184" i="5"/>
  <c r="C184" i="5"/>
  <c r="D183" i="5"/>
  <c r="C183" i="5"/>
  <c r="D182" i="5"/>
  <c r="C182" i="5"/>
  <c r="D181" i="5"/>
  <c r="C181" i="5"/>
  <c r="D180" i="5"/>
  <c r="C180" i="5"/>
  <c r="D179" i="5"/>
  <c r="C179" i="5"/>
  <c r="D178" i="5"/>
  <c r="C178" i="5"/>
  <c r="D177" i="5"/>
  <c r="C177" i="5"/>
  <c r="D176" i="5"/>
  <c r="C176" i="5"/>
  <c r="D175" i="5"/>
  <c r="C175" i="5"/>
  <c r="D174" i="5"/>
  <c r="C174" i="5"/>
  <c r="D173" i="5"/>
  <c r="C173" i="5"/>
  <c r="D172" i="5"/>
  <c r="C172" i="5"/>
  <c r="D171" i="5"/>
  <c r="C171" i="5"/>
  <c r="D170" i="5"/>
  <c r="C170" i="5"/>
  <c r="D169" i="5"/>
  <c r="C169" i="5"/>
  <c r="D168" i="5"/>
  <c r="C168" i="5"/>
  <c r="D167" i="5"/>
  <c r="C167" i="5"/>
  <c r="D166" i="5"/>
  <c r="C166" i="5"/>
  <c r="D165" i="5"/>
  <c r="C165" i="5"/>
  <c r="D37" i="5"/>
  <c r="C37" i="5"/>
  <c r="D55" i="5"/>
  <c r="C55" i="5"/>
  <c r="D118" i="5"/>
  <c r="C118" i="5"/>
  <c r="D98" i="5"/>
  <c r="C98" i="5"/>
  <c r="D97" i="5"/>
  <c r="C97" i="5"/>
  <c r="D96" i="5"/>
  <c r="C96" i="5"/>
  <c r="D95" i="5"/>
  <c r="C95" i="5"/>
  <c r="D112" i="5"/>
  <c r="C112" i="5"/>
  <c r="D111" i="5"/>
  <c r="C111" i="5"/>
  <c r="D36" i="5"/>
  <c r="C36" i="5"/>
  <c r="D35" i="5"/>
  <c r="C35" i="5"/>
  <c r="D34" i="5"/>
  <c r="C34" i="5"/>
  <c r="D33" i="5"/>
  <c r="C33" i="5"/>
  <c r="D32" i="5"/>
  <c r="C32" i="5"/>
  <c r="D31" i="5"/>
  <c r="C31" i="5"/>
  <c r="D30" i="5"/>
  <c r="C30" i="5"/>
  <c r="D29" i="5"/>
  <c r="C29" i="5"/>
  <c r="D83" i="5"/>
  <c r="C83" i="5"/>
  <c r="D82" i="5"/>
  <c r="C82" i="5"/>
  <c r="D81" i="5"/>
  <c r="C81" i="5"/>
  <c r="D80" i="5"/>
  <c r="C80" i="5"/>
  <c r="D79" i="5"/>
  <c r="C79" i="5"/>
  <c r="D78" i="5"/>
  <c r="C78" i="5"/>
  <c r="D77" i="5"/>
  <c r="C77" i="5"/>
  <c r="D76" i="5"/>
  <c r="C76" i="5"/>
  <c r="D75" i="5"/>
  <c r="C75" i="5"/>
  <c r="D74" i="5"/>
  <c r="C74" i="5"/>
  <c r="D73" i="5"/>
  <c r="C73" i="5"/>
  <c r="D72" i="5"/>
  <c r="C72" i="5"/>
  <c r="D347" i="5"/>
  <c r="C347" i="5"/>
  <c r="D71" i="5"/>
  <c r="C71" i="5"/>
  <c r="D70" i="5"/>
  <c r="C70" i="5"/>
  <c r="D69" i="5"/>
  <c r="C69" i="5"/>
  <c r="D68" i="5"/>
  <c r="C68" i="5"/>
  <c r="D164" i="5"/>
  <c r="C164" i="5"/>
  <c r="D163" i="5"/>
  <c r="C163" i="5"/>
  <c r="D128" i="5"/>
  <c r="C128" i="5"/>
  <c r="D127" i="5"/>
  <c r="C127" i="5"/>
  <c r="D126" i="5"/>
  <c r="C126" i="5"/>
  <c r="D67" i="5"/>
  <c r="C67" i="5"/>
  <c r="D94" i="5"/>
  <c r="C94" i="5"/>
  <c r="D93" i="5"/>
  <c r="C93" i="5"/>
  <c r="D117" i="5"/>
  <c r="C117" i="5"/>
  <c r="D92" i="5"/>
  <c r="C92" i="5"/>
  <c r="D54" i="5"/>
  <c r="C54" i="5"/>
  <c r="D53" i="5"/>
  <c r="C53" i="5"/>
  <c r="D52" i="5"/>
  <c r="C52" i="5"/>
  <c r="D91" i="5"/>
  <c r="C91" i="5"/>
  <c r="D90" i="5"/>
  <c r="C90" i="5"/>
  <c r="D162" i="5"/>
  <c r="C162" i="5"/>
  <c r="D161" i="5"/>
  <c r="C161" i="5"/>
  <c r="D110" i="5"/>
  <c r="C110" i="5"/>
  <c r="D109" i="5"/>
  <c r="C109" i="5"/>
  <c r="D28" i="5"/>
  <c r="C28" i="5"/>
  <c r="D66" i="5"/>
  <c r="C66" i="5"/>
  <c r="D160" i="5"/>
  <c r="C160" i="5"/>
  <c r="D159" i="5"/>
  <c r="C159" i="5"/>
  <c r="D158" i="5"/>
  <c r="C158" i="5"/>
  <c r="D125" i="5"/>
  <c r="C125" i="5"/>
  <c r="D157" i="5"/>
  <c r="C157" i="5"/>
  <c r="D27" i="5"/>
  <c r="C27" i="5"/>
  <c r="D156" i="5"/>
  <c r="C156" i="5"/>
  <c r="D108" i="5"/>
  <c r="C108" i="5"/>
  <c r="D107" i="5"/>
  <c r="C107" i="5"/>
  <c r="D65" i="5"/>
  <c r="C65" i="5"/>
  <c r="D64" i="5"/>
  <c r="C64" i="5"/>
  <c r="D106" i="5"/>
  <c r="C106" i="5"/>
  <c r="D155" i="5"/>
  <c r="C155" i="5"/>
  <c r="D154" i="5"/>
  <c r="C154" i="5"/>
  <c r="D116" i="5"/>
  <c r="C116" i="5"/>
  <c r="D115" i="5"/>
  <c r="C115" i="5"/>
  <c r="D51" i="5"/>
  <c r="C51" i="5"/>
  <c r="D26" i="5"/>
  <c r="C26" i="5"/>
  <c r="D25" i="5"/>
  <c r="C25" i="5"/>
  <c r="D24" i="5"/>
  <c r="C24" i="5"/>
  <c r="D50" i="5"/>
  <c r="C50" i="5"/>
  <c r="D153" i="5"/>
  <c r="C153" i="5"/>
  <c r="D49" i="5"/>
  <c r="C49" i="5"/>
  <c r="D48" i="5"/>
  <c r="C48" i="5"/>
  <c r="D124" i="5"/>
  <c r="C124" i="5"/>
  <c r="D152" i="5"/>
  <c r="C152" i="5"/>
  <c r="D151" i="5"/>
  <c r="C151" i="5"/>
  <c r="D114" i="5"/>
  <c r="C114" i="5"/>
  <c r="D122" i="5"/>
  <c r="C122" i="5"/>
  <c r="D121" i="5"/>
  <c r="C121" i="5"/>
  <c r="D23" i="5"/>
  <c r="C23" i="5"/>
  <c r="D63" i="5"/>
  <c r="C63" i="5"/>
  <c r="D62" i="5"/>
  <c r="C62" i="5"/>
  <c r="D22" i="5"/>
  <c r="C22" i="5"/>
  <c r="D21" i="5"/>
  <c r="C21" i="5"/>
  <c r="D113" i="5"/>
  <c r="C113" i="5"/>
  <c r="D47" i="5"/>
  <c r="C47" i="5"/>
  <c r="D61" i="5"/>
  <c r="C61" i="5"/>
  <c r="D46" i="5"/>
  <c r="C46" i="5"/>
  <c r="D150" i="5"/>
  <c r="C150" i="5"/>
  <c r="D89" i="5"/>
  <c r="C89" i="5"/>
  <c r="D20" i="5"/>
  <c r="C20" i="5"/>
  <c r="D45" i="5"/>
  <c r="C45" i="5"/>
  <c r="D44" i="5"/>
  <c r="C44" i="5"/>
  <c r="D19" i="5"/>
  <c r="C19" i="5"/>
  <c r="D18" i="5"/>
  <c r="C18" i="5"/>
  <c r="D17" i="5"/>
  <c r="C17" i="5"/>
  <c r="D88" i="5"/>
  <c r="C88" i="5"/>
  <c r="D105" i="5"/>
  <c r="C105" i="5"/>
  <c r="D60" i="5"/>
  <c r="C60" i="5"/>
  <c r="D120" i="5"/>
  <c r="C120" i="5"/>
  <c r="D104" i="5"/>
  <c r="C104" i="5"/>
  <c r="D149" i="5"/>
  <c r="C149" i="5"/>
  <c r="D148" i="5"/>
  <c r="C148" i="5"/>
  <c r="D123" i="5"/>
  <c r="C123" i="5"/>
  <c r="D147" i="5"/>
  <c r="C147" i="5"/>
  <c r="D43" i="5"/>
  <c r="C43" i="5"/>
  <c r="D42" i="5"/>
  <c r="C42" i="5"/>
  <c r="D146" i="5"/>
  <c r="C146" i="5"/>
  <c r="D119" i="5"/>
  <c r="C119" i="5"/>
  <c r="D59" i="5"/>
  <c r="C59" i="5"/>
  <c r="D16" i="5"/>
  <c r="C16" i="5"/>
  <c r="D15" i="5"/>
  <c r="C15" i="5"/>
  <c r="D58" i="5"/>
  <c r="C58" i="5"/>
  <c r="D57" i="5"/>
  <c r="C57" i="5"/>
  <c r="D41" i="5"/>
  <c r="C41" i="5"/>
  <c r="D40" i="5"/>
  <c r="C40" i="5"/>
  <c r="D87" i="5"/>
  <c r="C87" i="5"/>
  <c r="D86" i="5"/>
  <c r="C86" i="5"/>
  <c r="D56" i="5"/>
  <c r="C56" i="5"/>
  <c r="D85" i="5"/>
  <c r="C85" i="5"/>
  <c r="D14" i="5"/>
  <c r="C14" i="5"/>
  <c r="D84" i="5"/>
  <c r="C84" i="5"/>
  <c r="D103" i="5"/>
  <c r="C103" i="5"/>
  <c r="D102" i="5"/>
  <c r="C102" i="5"/>
  <c r="D13" i="5"/>
  <c r="C13" i="5"/>
  <c r="D12" i="5"/>
  <c r="C12" i="5"/>
  <c r="D11" i="5"/>
  <c r="C11" i="5"/>
  <c r="D145" i="5"/>
  <c r="C145" i="5"/>
  <c r="D144" i="5"/>
  <c r="C144" i="5"/>
  <c r="D143" i="5"/>
  <c r="C143" i="5"/>
  <c r="D142" i="5"/>
  <c r="C142" i="5"/>
  <c r="D141" i="5"/>
  <c r="C141" i="5"/>
  <c r="D140" i="5"/>
  <c r="C140" i="5"/>
  <c r="D139" i="5"/>
  <c r="C139" i="5"/>
  <c r="D138" i="5"/>
  <c r="C138" i="5"/>
  <c r="D10" i="5"/>
  <c r="C10" i="5"/>
  <c r="D101" i="5"/>
  <c r="C101" i="5"/>
  <c r="D39" i="5"/>
  <c r="C39" i="5"/>
  <c r="D9" i="5"/>
  <c r="C9" i="5"/>
  <c r="D137" i="5"/>
  <c r="C137" i="5"/>
  <c r="D100" i="5"/>
  <c r="C100" i="5"/>
  <c r="D38" i="5"/>
  <c r="C38" i="5"/>
  <c r="D136" i="5"/>
  <c r="C136" i="5"/>
  <c r="D135" i="5"/>
  <c r="C135" i="5"/>
  <c r="D134" i="5"/>
  <c r="C134" i="5"/>
  <c r="D8" i="5"/>
  <c r="C8" i="5"/>
  <c r="D133" i="5"/>
  <c r="C133" i="5"/>
  <c r="D132" i="5"/>
  <c r="C132" i="5"/>
  <c r="D7" i="5"/>
  <c r="C7" i="5"/>
  <c r="D6" i="5"/>
  <c r="C6" i="5"/>
  <c r="D131" i="5"/>
  <c r="C131" i="5"/>
  <c r="D130" i="5"/>
  <c r="C130" i="5"/>
  <c r="D129" i="5"/>
  <c r="C129" i="5"/>
  <c r="D99" i="5"/>
  <c r="C99" i="5"/>
  <c r="O221" i="4"/>
  <c r="G221" i="4"/>
  <c r="F221" i="4"/>
  <c r="D221" i="4"/>
  <c r="C221" i="4"/>
  <c r="O264" i="4"/>
  <c r="G264" i="4"/>
  <c r="F264" i="4"/>
  <c r="D264" i="4"/>
  <c r="C264" i="4"/>
  <c r="O263" i="4"/>
  <c r="G263" i="4"/>
  <c r="F263" i="4"/>
  <c r="D263" i="4"/>
  <c r="C263" i="4"/>
  <c r="O60" i="4"/>
  <c r="G60" i="4"/>
  <c r="F60" i="4"/>
  <c r="D60" i="4"/>
  <c r="C60" i="4"/>
  <c r="O59" i="4"/>
  <c r="G59" i="4"/>
  <c r="F59" i="4"/>
  <c r="D59" i="4"/>
  <c r="C59" i="4"/>
  <c r="O58" i="4"/>
  <c r="G58" i="4"/>
  <c r="F58" i="4"/>
  <c r="D58" i="4"/>
  <c r="C58" i="4"/>
  <c r="O57" i="4"/>
  <c r="G57" i="4"/>
  <c r="F57" i="4"/>
  <c r="D57" i="4"/>
  <c r="C57" i="4"/>
  <c r="O56" i="4"/>
  <c r="G56" i="4"/>
  <c r="F56" i="4"/>
  <c r="D56" i="4"/>
  <c r="C56" i="4"/>
  <c r="O55" i="4"/>
  <c r="G55" i="4"/>
  <c r="F55" i="4"/>
  <c r="D55" i="4"/>
  <c r="C55" i="4"/>
  <c r="O54" i="4"/>
  <c r="G54" i="4"/>
  <c r="F54" i="4"/>
  <c r="D54" i="4"/>
  <c r="C54" i="4"/>
  <c r="O53" i="4"/>
  <c r="G53" i="4"/>
  <c r="F53" i="4"/>
  <c r="D53" i="4"/>
  <c r="C53" i="4"/>
  <c r="O52" i="4"/>
  <c r="G52" i="4"/>
  <c r="F52" i="4"/>
  <c r="D52" i="4"/>
  <c r="C52" i="4"/>
  <c r="O51" i="4"/>
  <c r="G51" i="4"/>
  <c r="F51" i="4"/>
  <c r="D51" i="4"/>
  <c r="C51" i="4"/>
  <c r="O50" i="4"/>
  <c r="G50" i="4"/>
  <c r="F50" i="4"/>
  <c r="D50" i="4"/>
  <c r="C50" i="4"/>
  <c r="O49" i="4"/>
  <c r="G49" i="4"/>
  <c r="F49" i="4"/>
  <c r="D49" i="4"/>
  <c r="C49" i="4"/>
  <c r="O48" i="4"/>
  <c r="G48" i="4"/>
  <c r="F48" i="4"/>
  <c r="D48" i="4"/>
  <c r="C48" i="4"/>
  <c r="O47" i="4"/>
  <c r="G47" i="4"/>
  <c r="F47" i="4"/>
  <c r="D47" i="4"/>
  <c r="C47" i="4"/>
  <c r="O46" i="4"/>
  <c r="G46" i="4"/>
  <c r="F46" i="4"/>
  <c r="D46" i="4"/>
  <c r="C46" i="4"/>
  <c r="O45" i="4"/>
  <c r="G45" i="4"/>
  <c r="F45" i="4"/>
  <c r="D45" i="4"/>
  <c r="C45" i="4"/>
  <c r="O145" i="4"/>
  <c r="G145" i="4"/>
  <c r="F145" i="4"/>
  <c r="D145" i="4"/>
  <c r="C145" i="4"/>
  <c r="O44" i="4"/>
  <c r="G44" i="4"/>
  <c r="F44" i="4"/>
  <c r="D44" i="4"/>
  <c r="C44" i="4"/>
  <c r="O90" i="4"/>
  <c r="G90" i="4"/>
  <c r="F90" i="4"/>
  <c r="D90" i="4"/>
  <c r="C90" i="4"/>
  <c r="O89" i="4"/>
  <c r="G89" i="4"/>
  <c r="F89" i="4"/>
  <c r="D89" i="4"/>
  <c r="C89" i="4"/>
  <c r="O144" i="4"/>
  <c r="G144" i="4"/>
  <c r="F144" i="4"/>
  <c r="D144" i="4"/>
  <c r="C144" i="4"/>
  <c r="O143" i="4"/>
  <c r="G143" i="4"/>
  <c r="F143" i="4"/>
  <c r="D143" i="4"/>
  <c r="C143" i="4"/>
  <c r="O88" i="4"/>
  <c r="G88" i="4"/>
  <c r="F88" i="4"/>
  <c r="D88" i="4"/>
  <c r="C88" i="4"/>
  <c r="O87" i="4"/>
  <c r="G87" i="4"/>
  <c r="F87" i="4"/>
  <c r="D87" i="4"/>
  <c r="C87" i="4"/>
  <c r="O43" i="4"/>
  <c r="G43" i="4"/>
  <c r="F43" i="4"/>
  <c r="D43" i="4"/>
  <c r="C43" i="4"/>
  <c r="O163" i="4"/>
  <c r="G163" i="4"/>
  <c r="F163" i="4"/>
  <c r="D163" i="4"/>
  <c r="C163" i="4"/>
  <c r="O142" i="4"/>
  <c r="G142" i="4"/>
  <c r="F142" i="4"/>
  <c r="D142" i="4"/>
  <c r="C142" i="4"/>
  <c r="O141" i="4"/>
  <c r="G141" i="4"/>
  <c r="F141" i="4"/>
  <c r="D141" i="4"/>
  <c r="C141" i="4"/>
  <c r="O140" i="4"/>
  <c r="G140" i="4"/>
  <c r="F140" i="4"/>
  <c r="D140" i="4"/>
  <c r="C140" i="4"/>
  <c r="O139" i="4"/>
  <c r="G139" i="4"/>
  <c r="F139" i="4"/>
  <c r="D139" i="4"/>
  <c r="C139" i="4"/>
  <c r="O188" i="4"/>
  <c r="G188" i="4"/>
  <c r="F188" i="4"/>
  <c r="D188" i="4"/>
  <c r="C188" i="4"/>
  <c r="O138" i="4"/>
  <c r="G138" i="4"/>
  <c r="F138" i="4"/>
  <c r="D138" i="4"/>
  <c r="C138" i="4"/>
  <c r="O137" i="4"/>
  <c r="G137" i="4"/>
  <c r="F137" i="4"/>
  <c r="D137" i="4"/>
  <c r="C137" i="4"/>
  <c r="O136" i="4"/>
  <c r="G136" i="4"/>
  <c r="F136" i="4"/>
  <c r="D136" i="4"/>
  <c r="C136" i="4"/>
  <c r="O86" i="4"/>
  <c r="G86" i="4"/>
  <c r="F86" i="4"/>
  <c r="D86" i="4"/>
  <c r="C86" i="4"/>
  <c r="O85" i="4"/>
  <c r="G85" i="4"/>
  <c r="F85" i="4"/>
  <c r="D85" i="4"/>
  <c r="C85" i="4"/>
  <c r="O84" i="4"/>
  <c r="G84" i="4"/>
  <c r="F84" i="4"/>
  <c r="D84" i="4"/>
  <c r="C84" i="4"/>
  <c r="O83" i="4"/>
  <c r="G83" i="4"/>
  <c r="F83" i="4"/>
  <c r="D83" i="4"/>
  <c r="C83" i="4"/>
  <c r="O82" i="4"/>
  <c r="G82" i="4"/>
  <c r="F82" i="4"/>
  <c r="D82" i="4"/>
  <c r="C82" i="4"/>
  <c r="O81" i="4"/>
  <c r="G81" i="4"/>
  <c r="F81" i="4"/>
  <c r="D81" i="4"/>
  <c r="C81" i="4"/>
  <c r="O80" i="4"/>
  <c r="G80" i="4"/>
  <c r="F80" i="4"/>
  <c r="D80" i="4"/>
  <c r="C80" i="4"/>
  <c r="O135" i="4"/>
  <c r="G135" i="4"/>
  <c r="F135" i="4"/>
  <c r="D135" i="4"/>
  <c r="C135" i="4"/>
  <c r="O162" i="4"/>
  <c r="G162" i="4"/>
  <c r="F162" i="4"/>
  <c r="D162" i="4"/>
  <c r="C162" i="4"/>
  <c r="O161" i="4"/>
  <c r="G161" i="4"/>
  <c r="F161" i="4"/>
  <c r="D161" i="4"/>
  <c r="C161" i="4"/>
  <c r="O160" i="4"/>
  <c r="G160" i="4"/>
  <c r="F160" i="4"/>
  <c r="D160" i="4"/>
  <c r="C160" i="4"/>
  <c r="O159" i="4"/>
  <c r="G159" i="4"/>
  <c r="F159" i="4"/>
  <c r="D159" i="4"/>
  <c r="C159" i="4"/>
  <c r="O158" i="4"/>
  <c r="G158" i="4"/>
  <c r="F158" i="4"/>
  <c r="D158" i="4"/>
  <c r="C158" i="4"/>
  <c r="O134" i="4"/>
  <c r="G134" i="4"/>
  <c r="F134" i="4"/>
  <c r="D134" i="4"/>
  <c r="C134" i="4"/>
  <c r="O79" i="4"/>
  <c r="G79" i="4"/>
  <c r="F79" i="4"/>
  <c r="D79" i="4"/>
  <c r="C79" i="4"/>
  <c r="O133" i="4"/>
  <c r="G133" i="4"/>
  <c r="F133" i="4"/>
  <c r="D133" i="4"/>
  <c r="C133" i="4"/>
  <c r="O262" i="4"/>
  <c r="G262" i="4"/>
  <c r="F262" i="4"/>
  <c r="D262" i="4"/>
  <c r="C262" i="4"/>
  <c r="O42" i="4"/>
  <c r="G42" i="4"/>
  <c r="F42" i="4"/>
  <c r="D42" i="4"/>
  <c r="C42" i="4"/>
  <c r="O220" i="4"/>
  <c r="G220" i="4"/>
  <c r="F220" i="4"/>
  <c r="D220" i="4"/>
  <c r="C220" i="4"/>
  <c r="O219" i="4"/>
  <c r="G219" i="4"/>
  <c r="F219" i="4"/>
  <c r="D219" i="4"/>
  <c r="C219" i="4"/>
  <c r="O132" i="4"/>
  <c r="G132" i="4"/>
  <c r="F132" i="4"/>
  <c r="D132" i="4"/>
  <c r="C132" i="4"/>
  <c r="O131" i="4"/>
  <c r="G131" i="4"/>
  <c r="F131" i="4"/>
  <c r="D131" i="4"/>
  <c r="C131" i="4"/>
  <c r="O218" i="4"/>
  <c r="G218" i="4"/>
  <c r="F218" i="4"/>
  <c r="D218" i="4"/>
  <c r="C218" i="4"/>
  <c r="O217" i="4"/>
  <c r="G217" i="4"/>
  <c r="F217" i="4"/>
  <c r="D217" i="4"/>
  <c r="C217" i="4"/>
  <c r="O216" i="4"/>
  <c r="G216" i="4"/>
  <c r="F216" i="4"/>
  <c r="D216" i="4"/>
  <c r="C216" i="4"/>
  <c r="O215" i="4"/>
  <c r="G215" i="4"/>
  <c r="F215" i="4"/>
  <c r="D215" i="4"/>
  <c r="C215" i="4"/>
  <c r="O214" i="4"/>
  <c r="G214" i="4"/>
  <c r="F214" i="4"/>
  <c r="D214" i="4"/>
  <c r="C214" i="4"/>
  <c r="O157" i="4"/>
  <c r="G157" i="4"/>
  <c r="F157" i="4"/>
  <c r="D157" i="4"/>
  <c r="C157" i="4"/>
  <c r="O156" i="4"/>
  <c r="G156" i="4"/>
  <c r="F156" i="4"/>
  <c r="D156" i="4"/>
  <c r="C156" i="4"/>
  <c r="O41" i="4"/>
  <c r="G41" i="4"/>
  <c r="F41" i="4"/>
  <c r="D41" i="4"/>
  <c r="C41" i="4"/>
  <c r="O40" i="4"/>
  <c r="G40" i="4"/>
  <c r="F40" i="4"/>
  <c r="D40" i="4"/>
  <c r="C40" i="4"/>
  <c r="O130" i="4"/>
  <c r="G130" i="4"/>
  <c r="F130" i="4"/>
  <c r="D130" i="4"/>
  <c r="C130" i="4"/>
  <c r="O129" i="4"/>
  <c r="G129" i="4"/>
  <c r="F129" i="4"/>
  <c r="D129" i="4"/>
  <c r="C129" i="4"/>
  <c r="O213" i="4"/>
  <c r="G213" i="4"/>
  <c r="F213" i="4"/>
  <c r="D213" i="4"/>
  <c r="C213" i="4"/>
  <c r="O155" i="4"/>
  <c r="G155" i="4"/>
  <c r="F155" i="4"/>
  <c r="D155" i="4"/>
  <c r="C155" i="4"/>
  <c r="O154" i="4"/>
  <c r="G154" i="4"/>
  <c r="F154" i="4"/>
  <c r="D154" i="4"/>
  <c r="C154" i="4"/>
  <c r="O153" i="4"/>
  <c r="G153" i="4"/>
  <c r="F153" i="4"/>
  <c r="D153" i="4"/>
  <c r="C153" i="4"/>
  <c r="O152" i="4"/>
  <c r="G152" i="4"/>
  <c r="F152" i="4"/>
  <c r="D152" i="4"/>
  <c r="C152" i="4"/>
  <c r="O151" i="4"/>
  <c r="G151" i="4"/>
  <c r="F151" i="4"/>
  <c r="D151" i="4"/>
  <c r="C151" i="4"/>
  <c r="O261" i="4"/>
  <c r="G261" i="4"/>
  <c r="F261" i="4"/>
  <c r="D261" i="4"/>
  <c r="C261" i="4"/>
  <c r="O78" i="4"/>
  <c r="G78" i="4"/>
  <c r="F78" i="4"/>
  <c r="D78" i="4"/>
  <c r="C78" i="4"/>
  <c r="O212" i="4"/>
  <c r="G212" i="4"/>
  <c r="F212" i="4"/>
  <c r="D212" i="4"/>
  <c r="C212" i="4"/>
  <c r="O211" i="4"/>
  <c r="G211" i="4"/>
  <c r="F211" i="4"/>
  <c r="D211" i="4"/>
  <c r="C211" i="4"/>
  <c r="O260" i="4"/>
  <c r="G260" i="4"/>
  <c r="F260" i="4"/>
  <c r="D260" i="4"/>
  <c r="C260" i="4"/>
  <c r="O150" i="4"/>
  <c r="G150" i="4"/>
  <c r="F150" i="4"/>
  <c r="D150" i="4"/>
  <c r="C150" i="4"/>
  <c r="O149" i="4"/>
  <c r="G149" i="4"/>
  <c r="F149" i="4"/>
  <c r="D149" i="4"/>
  <c r="C149" i="4"/>
  <c r="O128" i="4"/>
  <c r="G128" i="4"/>
  <c r="F128" i="4"/>
  <c r="D128" i="4"/>
  <c r="C128" i="4"/>
  <c r="O39" i="4"/>
  <c r="G39" i="4"/>
  <c r="F39" i="4"/>
  <c r="D39" i="4"/>
  <c r="C39" i="4"/>
  <c r="O127" i="4"/>
  <c r="G127" i="4"/>
  <c r="F127" i="4"/>
  <c r="D127" i="4"/>
  <c r="C127" i="4"/>
  <c r="O77" i="4"/>
  <c r="G77" i="4"/>
  <c r="F77" i="4"/>
  <c r="D77" i="4"/>
  <c r="C77" i="4"/>
  <c r="O76" i="4"/>
  <c r="G76" i="4"/>
  <c r="F76" i="4"/>
  <c r="D76" i="4"/>
  <c r="C76" i="4"/>
  <c r="O148" i="4"/>
  <c r="G148" i="4"/>
  <c r="F148" i="4"/>
  <c r="D148" i="4"/>
  <c r="C148" i="4"/>
  <c r="O147" i="4"/>
  <c r="G147" i="4"/>
  <c r="F147" i="4"/>
  <c r="D147" i="4"/>
  <c r="C147" i="4"/>
  <c r="O176" i="4"/>
  <c r="G176" i="4"/>
  <c r="F176" i="4"/>
  <c r="D176" i="4"/>
  <c r="C176" i="4"/>
  <c r="O175" i="4"/>
  <c r="G175" i="4"/>
  <c r="F175" i="4"/>
  <c r="D175" i="4"/>
  <c r="C175" i="4"/>
  <c r="O126" i="4"/>
  <c r="G126" i="4"/>
  <c r="F126" i="4"/>
  <c r="D126" i="4"/>
  <c r="C126" i="4"/>
  <c r="O210" i="4"/>
  <c r="G210" i="4"/>
  <c r="F210" i="4"/>
  <c r="D210" i="4"/>
  <c r="C210" i="4"/>
  <c r="O75" i="4"/>
  <c r="G75" i="4"/>
  <c r="F75" i="4"/>
  <c r="D75" i="4"/>
  <c r="C75" i="4"/>
  <c r="O125" i="4"/>
  <c r="G125" i="4"/>
  <c r="F125" i="4"/>
  <c r="D125" i="4"/>
  <c r="C125" i="4"/>
  <c r="O124" i="4"/>
  <c r="G124" i="4"/>
  <c r="F124" i="4"/>
  <c r="D124" i="4"/>
  <c r="C124" i="4"/>
  <c r="O38" i="4"/>
  <c r="G38" i="4"/>
  <c r="F38" i="4"/>
  <c r="D38" i="4"/>
  <c r="C38" i="4"/>
  <c r="O37" i="4"/>
  <c r="G37" i="4"/>
  <c r="F37" i="4"/>
  <c r="D37" i="4"/>
  <c r="C37" i="4"/>
  <c r="O36" i="4"/>
  <c r="G36" i="4"/>
  <c r="F36" i="4"/>
  <c r="D36" i="4"/>
  <c r="C36" i="4"/>
  <c r="O35" i="4"/>
  <c r="G35" i="4"/>
  <c r="F35" i="4"/>
  <c r="D35" i="4"/>
  <c r="C35" i="4"/>
  <c r="O34" i="4"/>
  <c r="G34" i="4"/>
  <c r="F34" i="4"/>
  <c r="D34" i="4"/>
  <c r="C34" i="4"/>
  <c r="O33" i="4"/>
  <c r="G33" i="4"/>
  <c r="F33" i="4"/>
  <c r="D33" i="4"/>
  <c r="C33" i="4"/>
  <c r="O32" i="4"/>
  <c r="G32" i="4"/>
  <c r="F32" i="4"/>
  <c r="D32" i="4"/>
  <c r="C32" i="4"/>
  <c r="O31" i="4"/>
  <c r="G31" i="4"/>
  <c r="F31" i="4"/>
  <c r="D31" i="4"/>
  <c r="C31" i="4"/>
  <c r="O30" i="4"/>
  <c r="G30" i="4"/>
  <c r="F30" i="4"/>
  <c r="D30" i="4"/>
  <c r="C30" i="4"/>
  <c r="O29" i="4"/>
  <c r="G29" i="4"/>
  <c r="F29" i="4"/>
  <c r="D29" i="4"/>
  <c r="C29" i="4"/>
  <c r="O28" i="4"/>
  <c r="G28" i="4"/>
  <c r="F28" i="4"/>
  <c r="D28" i="4"/>
  <c r="C28" i="4"/>
  <c r="O27" i="4"/>
  <c r="G27" i="4"/>
  <c r="F27" i="4"/>
  <c r="D27" i="4"/>
  <c r="C27" i="4"/>
  <c r="O26" i="4"/>
  <c r="G26" i="4"/>
  <c r="F26" i="4"/>
  <c r="D26" i="4"/>
  <c r="C26" i="4"/>
  <c r="O25" i="4"/>
  <c r="G25" i="4"/>
  <c r="F25" i="4"/>
  <c r="D25" i="4"/>
  <c r="C25" i="4"/>
  <c r="O24" i="4"/>
  <c r="G24" i="4"/>
  <c r="F24" i="4"/>
  <c r="D24" i="4"/>
  <c r="C24" i="4"/>
  <c r="O123" i="4"/>
  <c r="G123" i="4"/>
  <c r="F123" i="4"/>
  <c r="D123" i="4"/>
  <c r="C123" i="4"/>
  <c r="O209" i="4"/>
  <c r="G209" i="4"/>
  <c r="F209" i="4"/>
  <c r="D209" i="4"/>
  <c r="C209" i="4"/>
  <c r="O208" i="4"/>
  <c r="G208" i="4"/>
  <c r="F208" i="4"/>
  <c r="D208" i="4"/>
  <c r="C208" i="4"/>
  <c r="O207" i="4"/>
  <c r="G207" i="4"/>
  <c r="F207" i="4"/>
  <c r="D207" i="4"/>
  <c r="C207" i="4"/>
  <c r="O206" i="4"/>
  <c r="G206" i="4"/>
  <c r="F206" i="4"/>
  <c r="D206" i="4"/>
  <c r="C206" i="4"/>
  <c r="O205" i="4"/>
  <c r="G205" i="4"/>
  <c r="F205" i="4"/>
  <c r="D205" i="4"/>
  <c r="C205" i="4"/>
  <c r="O204" i="4"/>
  <c r="G204" i="4"/>
  <c r="F204" i="4"/>
  <c r="D204" i="4"/>
  <c r="C204" i="4"/>
  <c r="O146" i="4"/>
  <c r="G146" i="4"/>
  <c r="F146" i="4"/>
  <c r="D146" i="4"/>
  <c r="C146" i="4"/>
  <c r="O23" i="4"/>
  <c r="G23" i="4"/>
  <c r="F23" i="4"/>
  <c r="D23" i="4"/>
  <c r="C23" i="4"/>
  <c r="O22" i="4"/>
  <c r="G22" i="4"/>
  <c r="F22" i="4"/>
  <c r="D22" i="4"/>
  <c r="C22" i="4"/>
  <c r="O203" i="4"/>
  <c r="G203" i="4"/>
  <c r="F203" i="4"/>
  <c r="D203" i="4"/>
  <c r="C203" i="4"/>
  <c r="O202" i="4"/>
  <c r="G202" i="4"/>
  <c r="F202" i="4"/>
  <c r="D202" i="4"/>
  <c r="C202" i="4"/>
  <c r="O201" i="4"/>
  <c r="G201" i="4"/>
  <c r="F201" i="4"/>
  <c r="D201" i="4"/>
  <c r="C201" i="4"/>
  <c r="O200" i="4"/>
  <c r="G200" i="4"/>
  <c r="F200" i="4"/>
  <c r="D200" i="4"/>
  <c r="C200" i="4"/>
  <c r="O199" i="4"/>
  <c r="G199" i="4"/>
  <c r="F199" i="4"/>
  <c r="D199" i="4"/>
  <c r="C199" i="4"/>
  <c r="O122" i="4"/>
  <c r="G122" i="4"/>
  <c r="F122" i="4"/>
  <c r="D122" i="4"/>
  <c r="C122" i="4"/>
  <c r="O121" i="4"/>
  <c r="G121" i="4"/>
  <c r="F121" i="4"/>
  <c r="D121" i="4"/>
  <c r="C121" i="4"/>
  <c r="O120" i="4"/>
  <c r="G120" i="4"/>
  <c r="F120" i="4"/>
  <c r="D120" i="4"/>
  <c r="C120" i="4"/>
  <c r="O198" i="4"/>
  <c r="G198" i="4"/>
  <c r="F198" i="4"/>
  <c r="D198" i="4"/>
  <c r="C198" i="4"/>
  <c r="O197" i="4"/>
  <c r="G197" i="4"/>
  <c r="F197" i="4"/>
  <c r="D197" i="4"/>
  <c r="C197" i="4"/>
  <c r="O196" i="4"/>
  <c r="G196" i="4"/>
  <c r="F196" i="4"/>
  <c r="D196" i="4"/>
  <c r="C196" i="4"/>
  <c r="O259" i="4"/>
  <c r="G259" i="4"/>
  <c r="F259" i="4"/>
  <c r="D259" i="4"/>
  <c r="C259" i="4"/>
  <c r="O174" i="4"/>
  <c r="G174" i="4"/>
  <c r="F174" i="4"/>
  <c r="D174" i="4"/>
  <c r="C174" i="4"/>
  <c r="O173" i="4"/>
  <c r="G173" i="4"/>
  <c r="F173" i="4"/>
  <c r="D173" i="4"/>
  <c r="C173" i="4"/>
  <c r="O172" i="4"/>
  <c r="G172" i="4"/>
  <c r="F172" i="4"/>
  <c r="D172" i="4"/>
  <c r="C172" i="4"/>
  <c r="O258" i="4"/>
  <c r="G258" i="4"/>
  <c r="F258" i="4"/>
  <c r="D258" i="4"/>
  <c r="C258" i="4"/>
  <c r="O257" i="4"/>
  <c r="G257" i="4"/>
  <c r="F257" i="4"/>
  <c r="D257" i="4"/>
  <c r="C257" i="4"/>
  <c r="O256" i="4"/>
  <c r="G256" i="4"/>
  <c r="F256" i="4"/>
  <c r="D256" i="4"/>
  <c r="C256" i="4"/>
  <c r="O255" i="4"/>
  <c r="G255" i="4"/>
  <c r="F255" i="4"/>
  <c r="D255" i="4"/>
  <c r="C255" i="4"/>
  <c r="O254" i="4"/>
  <c r="G254" i="4"/>
  <c r="F254" i="4"/>
  <c r="D254" i="4"/>
  <c r="C254" i="4"/>
  <c r="O253" i="4"/>
  <c r="G253" i="4"/>
  <c r="F253" i="4"/>
  <c r="D253" i="4"/>
  <c r="C253" i="4"/>
  <c r="O252" i="4"/>
  <c r="G252" i="4"/>
  <c r="F252" i="4"/>
  <c r="D252" i="4"/>
  <c r="C252" i="4"/>
  <c r="O251" i="4"/>
  <c r="G251" i="4"/>
  <c r="F251" i="4"/>
  <c r="D251" i="4"/>
  <c r="C251" i="4"/>
  <c r="O250" i="4"/>
  <c r="G250" i="4"/>
  <c r="F250" i="4"/>
  <c r="D250" i="4"/>
  <c r="C250" i="4"/>
  <c r="O249" i="4"/>
  <c r="G249" i="4"/>
  <c r="F249" i="4"/>
  <c r="D249" i="4"/>
  <c r="C249" i="4"/>
  <c r="O248" i="4"/>
  <c r="G248" i="4"/>
  <c r="F248" i="4"/>
  <c r="D248" i="4"/>
  <c r="C248" i="4"/>
  <c r="O247" i="4"/>
  <c r="G247" i="4"/>
  <c r="F247" i="4"/>
  <c r="D247" i="4"/>
  <c r="C247" i="4"/>
  <c r="O246" i="4"/>
  <c r="G246" i="4"/>
  <c r="F246" i="4"/>
  <c r="D246" i="4"/>
  <c r="C246" i="4"/>
  <c r="O245" i="4"/>
  <c r="G245" i="4"/>
  <c r="F245" i="4"/>
  <c r="D245" i="4"/>
  <c r="C245" i="4"/>
  <c r="O244" i="4"/>
  <c r="G244" i="4"/>
  <c r="F244" i="4"/>
  <c r="D244" i="4"/>
  <c r="C244" i="4"/>
  <c r="O243" i="4"/>
  <c r="G243" i="4"/>
  <c r="F243" i="4"/>
  <c r="D243" i="4"/>
  <c r="C243" i="4"/>
  <c r="O242" i="4"/>
  <c r="G242" i="4"/>
  <c r="F242" i="4"/>
  <c r="D242" i="4"/>
  <c r="C242" i="4"/>
  <c r="O119" i="4"/>
  <c r="G119" i="4"/>
  <c r="F119" i="4"/>
  <c r="D119" i="4"/>
  <c r="C119" i="4"/>
  <c r="O118" i="4"/>
  <c r="G118" i="4"/>
  <c r="F118" i="4"/>
  <c r="D118" i="4"/>
  <c r="C118" i="4"/>
  <c r="O117" i="4"/>
  <c r="G117" i="4"/>
  <c r="F117" i="4"/>
  <c r="D117" i="4"/>
  <c r="C117" i="4"/>
  <c r="O21" i="4"/>
  <c r="G21" i="4"/>
  <c r="F21" i="4"/>
  <c r="D21" i="4"/>
  <c r="C21" i="4"/>
  <c r="O195" i="4"/>
  <c r="G195" i="4"/>
  <c r="F195" i="4"/>
  <c r="D195" i="4"/>
  <c r="C195" i="4"/>
  <c r="O194" i="4"/>
  <c r="G194" i="4"/>
  <c r="F194" i="4"/>
  <c r="D194" i="4"/>
  <c r="C194" i="4"/>
  <c r="O193" i="4"/>
  <c r="G193" i="4"/>
  <c r="F193" i="4"/>
  <c r="D193" i="4"/>
  <c r="C193" i="4"/>
  <c r="O20" i="4"/>
  <c r="G20" i="4"/>
  <c r="F20" i="4"/>
  <c r="D20" i="4"/>
  <c r="C20" i="4"/>
  <c r="O192" i="4"/>
  <c r="G192" i="4"/>
  <c r="F192" i="4"/>
  <c r="D192" i="4"/>
  <c r="C192" i="4"/>
  <c r="O241" i="4"/>
  <c r="G241" i="4"/>
  <c r="F241" i="4"/>
  <c r="D241" i="4"/>
  <c r="C241" i="4"/>
  <c r="O240" i="4"/>
  <c r="G240" i="4"/>
  <c r="F240" i="4"/>
  <c r="D240" i="4"/>
  <c r="C240" i="4"/>
  <c r="O74" i="4"/>
  <c r="G74" i="4"/>
  <c r="F74" i="4"/>
  <c r="D74" i="4"/>
  <c r="C74" i="4"/>
  <c r="O73" i="4"/>
  <c r="G73" i="4"/>
  <c r="F73" i="4"/>
  <c r="D73" i="4"/>
  <c r="C73" i="4"/>
  <c r="O72" i="4"/>
  <c r="G72" i="4"/>
  <c r="F72" i="4"/>
  <c r="D72" i="4"/>
  <c r="C72" i="4"/>
  <c r="O71" i="4"/>
  <c r="G71" i="4"/>
  <c r="F71" i="4"/>
  <c r="D71" i="4"/>
  <c r="C71" i="4"/>
  <c r="O70" i="4"/>
  <c r="G70" i="4"/>
  <c r="F70" i="4"/>
  <c r="D70" i="4"/>
  <c r="C70" i="4"/>
  <c r="O69" i="4"/>
  <c r="G69" i="4"/>
  <c r="F69" i="4"/>
  <c r="D69" i="4"/>
  <c r="C69" i="4"/>
  <c r="O187" i="4"/>
  <c r="G187" i="4"/>
  <c r="F187" i="4"/>
  <c r="D187" i="4"/>
  <c r="C187" i="4"/>
  <c r="O189" i="4"/>
  <c r="G189" i="4"/>
  <c r="F189" i="4"/>
  <c r="D189" i="4"/>
  <c r="C189" i="4"/>
  <c r="O239" i="4"/>
  <c r="G239" i="4"/>
  <c r="F239" i="4"/>
  <c r="D239" i="4"/>
  <c r="C239" i="4"/>
  <c r="O186" i="4"/>
  <c r="G186" i="4"/>
  <c r="F186" i="4"/>
  <c r="D186" i="4"/>
  <c r="C186" i="4"/>
  <c r="O185" i="4"/>
  <c r="G185" i="4"/>
  <c r="F185" i="4"/>
  <c r="D185" i="4"/>
  <c r="C185" i="4"/>
  <c r="O184" i="4"/>
  <c r="G184" i="4"/>
  <c r="F184" i="4"/>
  <c r="D184" i="4"/>
  <c r="C184" i="4"/>
  <c r="O19" i="4"/>
  <c r="G19" i="4"/>
  <c r="F19" i="4"/>
  <c r="D19" i="4"/>
  <c r="C19" i="4"/>
  <c r="O18" i="4"/>
  <c r="G18" i="4"/>
  <c r="F18" i="4"/>
  <c r="D18" i="4"/>
  <c r="C18" i="4"/>
  <c r="O17" i="4"/>
  <c r="G17" i="4"/>
  <c r="F17" i="4"/>
  <c r="D17" i="4"/>
  <c r="C17" i="4"/>
  <c r="O183" i="4"/>
  <c r="G183" i="4"/>
  <c r="F183" i="4"/>
  <c r="D183" i="4"/>
  <c r="C183" i="4"/>
  <c r="O182" i="4"/>
  <c r="G182" i="4"/>
  <c r="F182" i="4"/>
  <c r="D182" i="4"/>
  <c r="C182" i="4"/>
  <c r="O238" i="4"/>
  <c r="G238" i="4"/>
  <c r="F238" i="4"/>
  <c r="D238" i="4"/>
  <c r="C238" i="4"/>
  <c r="O237" i="4"/>
  <c r="G237" i="4"/>
  <c r="F237" i="4"/>
  <c r="D237" i="4"/>
  <c r="C237" i="4"/>
  <c r="O236" i="4"/>
  <c r="G236" i="4"/>
  <c r="F236" i="4"/>
  <c r="D236" i="4"/>
  <c r="C236" i="4"/>
  <c r="O235" i="4"/>
  <c r="G235" i="4"/>
  <c r="F235" i="4"/>
  <c r="D235" i="4"/>
  <c r="C235" i="4"/>
  <c r="O234" i="4"/>
  <c r="G234" i="4"/>
  <c r="F234" i="4"/>
  <c r="D234" i="4"/>
  <c r="C234" i="4"/>
  <c r="O233" i="4"/>
  <c r="G233" i="4"/>
  <c r="F233" i="4"/>
  <c r="D233" i="4"/>
  <c r="C233" i="4"/>
  <c r="O232" i="4"/>
  <c r="G232" i="4"/>
  <c r="F232" i="4"/>
  <c r="D232" i="4"/>
  <c r="C232" i="4"/>
  <c r="O171" i="4"/>
  <c r="G171" i="4"/>
  <c r="F171" i="4"/>
  <c r="D171" i="4"/>
  <c r="C171" i="4"/>
  <c r="O68" i="4"/>
  <c r="G68" i="4"/>
  <c r="F68" i="4"/>
  <c r="D68" i="4"/>
  <c r="C68" i="4"/>
  <c r="O67" i="4"/>
  <c r="G67" i="4"/>
  <c r="F67" i="4"/>
  <c r="D67" i="4"/>
  <c r="C67" i="4"/>
  <c r="O66" i="4"/>
  <c r="G66" i="4"/>
  <c r="F66" i="4"/>
  <c r="D66" i="4"/>
  <c r="C66" i="4"/>
  <c r="O231" i="4"/>
  <c r="G231" i="4"/>
  <c r="F231" i="4"/>
  <c r="D231" i="4"/>
  <c r="C231" i="4"/>
  <c r="O230" i="4"/>
  <c r="G230" i="4"/>
  <c r="F230" i="4"/>
  <c r="D230" i="4"/>
  <c r="C230" i="4"/>
  <c r="O229" i="4"/>
  <c r="G229" i="4"/>
  <c r="F229" i="4"/>
  <c r="D229" i="4"/>
  <c r="C229" i="4"/>
  <c r="O228" i="4"/>
  <c r="G228" i="4"/>
  <c r="F228" i="4"/>
  <c r="D228" i="4"/>
  <c r="C228" i="4"/>
  <c r="O227" i="4"/>
  <c r="G227" i="4"/>
  <c r="F227" i="4"/>
  <c r="D227" i="4"/>
  <c r="C227" i="4"/>
  <c r="O226" i="4"/>
  <c r="G226" i="4"/>
  <c r="F226" i="4"/>
  <c r="D226" i="4"/>
  <c r="C226" i="4"/>
  <c r="O170" i="4"/>
  <c r="G170" i="4"/>
  <c r="F170" i="4"/>
  <c r="D170" i="4"/>
  <c r="C170" i="4"/>
  <c r="O116" i="4"/>
  <c r="G116" i="4"/>
  <c r="F116" i="4"/>
  <c r="D116" i="4"/>
  <c r="C116" i="4"/>
  <c r="O115" i="4"/>
  <c r="G115" i="4"/>
  <c r="F115" i="4"/>
  <c r="D115" i="4"/>
  <c r="C115" i="4"/>
  <c r="O114" i="4"/>
  <c r="G114" i="4"/>
  <c r="F114" i="4"/>
  <c r="D114" i="4"/>
  <c r="C114" i="4"/>
  <c r="O113" i="4"/>
  <c r="G113" i="4"/>
  <c r="F113" i="4"/>
  <c r="D113" i="4"/>
  <c r="C113" i="4"/>
  <c r="O112" i="4"/>
  <c r="G112" i="4"/>
  <c r="F112" i="4"/>
  <c r="D112" i="4"/>
  <c r="C112" i="4"/>
  <c r="O191" i="4"/>
  <c r="G191" i="4"/>
  <c r="F191" i="4"/>
  <c r="D191" i="4"/>
  <c r="C191" i="4"/>
  <c r="O65" i="4"/>
  <c r="G65" i="4"/>
  <c r="F65" i="4"/>
  <c r="D65" i="4"/>
  <c r="C65" i="4"/>
  <c r="O225" i="4"/>
  <c r="G225" i="4"/>
  <c r="F225" i="4"/>
  <c r="D225" i="4"/>
  <c r="C225" i="4"/>
  <c r="O111" i="4"/>
  <c r="G111" i="4"/>
  <c r="F111" i="4"/>
  <c r="D111" i="4"/>
  <c r="C111" i="4"/>
  <c r="O16" i="4"/>
  <c r="G16" i="4"/>
  <c r="F16" i="4"/>
  <c r="D16" i="4"/>
  <c r="C16" i="4"/>
  <c r="O110" i="4"/>
  <c r="G110" i="4"/>
  <c r="F110" i="4"/>
  <c r="D110" i="4"/>
  <c r="C110" i="4"/>
  <c r="O15" i="4"/>
  <c r="G15" i="4"/>
  <c r="F15" i="4"/>
  <c r="D15" i="4"/>
  <c r="C15" i="4"/>
  <c r="O14" i="4"/>
  <c r="G14" i="4"/>
  <c r="F14" i="4"/>
  <c r="D14" i="4"/>
  <c r="C14" i="4"/>
  <c r="O13" i="4"/>
  <c r="G13" i="4"/>
  <c r="F13" i="4"/>
  <c r="D13" i="4"/>
  <c r="C13" i="4"/>
  <c r="O12" i="4"/>
  <c r="G12" i="4"/>
  <c r="F12" i="4"/>
  <c r="D12" i="4"/>
  <c r="C12" i="4"/>
  <c r="O11" i="4"/>
  <c r="G11" i="4"/>
  <c r="F11" i="4"/>
  <c r="D11" i="4"/>
  <c r="C11" i="4"/>
  <c r="O10" i="4"/>
  <c r="G10" i="4"/>
  <c r="F10" i="4"/>
  <c r="D10" i="4"/>
  <c r="C10" i="4"/>
  <c r="O9" i="4"/>
  <c r="G9" i="4"/>
  <c r="F9" i="4"/>
  <c r="D9" i="4"/>
  <c r="C9" i="4"/>
  <c r="O8" i="4"/>
  <c r="G8" i="4"/>
  <c r="F8" i="4"/>
  <c r="D8" i="4"/>
  <c r="C8" i="4"/>
  <c r="O109" i="4"/>
  <c r="G109" i="4"/>
  <c r="F109" i="4"/>
  <c r="D109" i="4"/>
  <c r="C109" i="4"/>
  <c r="O108" i="4"/>
  <c r="G108" i="4"/>
  <c r="F108" i="4"/>
  <c r="D108" i="4"/>
  <c r="C108" i="4"/>
  <c r="O107" i="4"/>
  <c r="G107" i="4"/>
  <c r="F107" i="4"/>
  <c r="D107" i="4"/>
  <c r="C107" i="4"/>
  <c r="O106" i="4"/>
  <c r="G106" i="4"/>
  <c r="F106" i="4"/>
  <c r="D106" i="4"/>
  <c r="C106" i="4"/>
  <c r="O7" i="4"/>
  <c r="G7" i="4"/>
  <c r="F7" i="4"/>
  <c r="D7" i="4"/>
  <c r="C7" i="4"/>
  <c r="O169" i="4"/>
  <c r="G169" i="4"/>
  <c r="F169" i="4"/>
  <c r="D169" i="4"/>
  <c r="C169" i="4"/>
  <c r="O168" i="4"/>
  <c r="G168" i="4"/>
  <c r="F168" i="4"/>
  <c r="D168" i="4"/>
  <c r="C168" i="4"/>
  <c r="O167" i="4"/>
  <c r="G167" i="4"/>
  <c r="F167" i="4"/>
  <c r="D167" i="4"/>
  <c r="C167" i="4"/>
  <c r="O166" i="4"/>
  <c r="G166" i="4"/>
  <c r="F166" i="4"/>
  <c r="D166" i="4"/>
  <c r="C166" i="4"/>
  <c r="O165" i="4"/>
  <c r="G165" i="4"/>
  <c r="F165" i="4"/>
  <c r="D165" i="4"/>
  <c r="C165" i="4"/>
  <c r="O6" i="4"/>
  <c r="G6" i="4"/>
  <c r="F6" i="4"/>
  <c r="D6" i="4"/>
  <c r="C6" i="4"/>
  <c r="O64" i="4"/>
  <c r="G64" i="4"/>
  <c r="F64" i="4"/>
  <c r="D64" i="4"/>
  <c r="C64" i="4"/>
  <c r="O181" i="4"/>
  <c r="G181" i="4"/>
  <c r="F181" i="4"/>
  <c r="D181" i="4"/>
  <c r="C181" i="4"/>
  <c r="O180" i="4"/>
  <c r="G180" i="4"/>
  <c r="F180" i="4"/>
  <c r="D180" i="4"/>
  <c r="C180" i="4"/>
  <c r="O179" i="4"/>
  <c r="G179" i="4"/>
  <c r="F179" i="4"/>
  <c r="D179" i="4"/>
  <c r="C179" i="4"/>
  <c r="O178" i="4"/>
  <c r="G178" i="4"/>
  <c r="F178" i="4"/>
  <c r="D178" i="4"/>
  <c r="C178" i="4"/>
  <c r="O177" i="4"/>
  <c r="G177" i="4"/>
  <c r="F177" i="4"/>
  <c r="D177" i="4"/>
  <c r="C177" i="4"/>
  <c r="O105" i="4"/>
  <c r="G105" i="4"/>
  <c r="F105" i="4"/>
  <c r="D105" i="4"/>
  <c r="C105" i="4"/>
  <c r="O104" i="4"/>
  <c r="G104" i="4"/>
  <c r="F104" i="4"/>
  <c r="D104" i="4"/>
  <c r="C104" i="4"/>
  <c r="O103" i="4"/>
  <c r="G103" i="4"/>
  <c r="F103" i="4"/>
  <c r="D103" i="4"/>
  <c r="C103" i="4"/>
  <c r="O102" i="4"/>
  <c r="G102" i="4"/>
  <c r="F102" i="4"/>
  <c r="D102" i="4"/>
  <c r="C102" i="4"/>
  <c r="O101" i="4"/>
  <c r="G101" i="4"/>
  <c r="F101" i="4"/>
  <c r="D101" i="4"/>
  <c r="C101" i="4"/>
  <c r="O100" i="4"/>
  <c r="G100" i="4"/>
  <c r="F100" i="4"/>
  <c r="D100" i="4"/>
  <c r="C100" i="4"/>
  <c r="O99" i="4"/>
  <c r="G99" i="4"/>
  <c r="F99" i="4"/>
  <c r="D99" i="4"/>
  <c r="C99" i="4"/>
  <c r="O98" i="4"/>
  <c r="G98" i="4"/>
  <c r="F98" i="4"/>
  <c r="D98" i="4"/>
  <c r="C98" i="4"/>
  <c r="O97" i="4"/>
  <c r="G97" i="4"/>
  <c r="F97" i="4"/>
  <c r="D97" i="4"/>
  <c r="C97" i="4"/>
  <c r="O164" i="4"/>
  <c r="G164" i="4"/>
  <c r="F164" i="4"/>
  <c r="D164" i="4"/>
  <c r="C164" i="4"/>
  <c r="O63" i="4"/>
  <c r="G63" i="4"/>
  <c r="F63" i="4"/>
  <c r="D63" i="4"/>
  <c r="C63" i="4"/>
  <c r="O62" i="4"/>
  <c r="G62" i="4"/>
  <c r="F62" i="4"/>
  <c r="D62" i="4"/>
  <c r="C62" i="4"/>
  <c r="O224" i="4"/>
  <c r="G224" i="4"/>
  <c r="F224" i="4"/>
  <c r="D224" i="4"/>
  <c r="C224" i="4"/>
  <c r="O223" i="4"/>
  <c r="G223" i="4"/>
  <c r="F223" i="4"/>
  <c r="D223" i="4"/>
  <c r="C223" i="4"/>
  <c r="O222" i="4"/>
  <c r="G222" i="4"/>
  <c r="F222" i="4"/>
  <c r="D222" i="4"/>
  <c r="C222" i="4"/>
  <c r="O61" i="4"/>
  <c r="G61" i="4"/>
  <c r="F61" i="4"/>
  <c r="D61" i="4"/>
  <c r="C61" i="4"/>
  <c r="O96" i="4"/>
  <c r="G96" i="4"/>
  <c r="F96" i="4"/>
  <c r="D96" i="4"/>
  <c r="C96" i="4"/>
  <c r="O95" i="4"/>
  <c r="G95" i="4"/>
  <c r="F95" i="4"/>
  <c r="D95" i="4"/>
  <c r="C95" i="4"/>
  <c r="O190" i="4"/>
  <c r="G190" i="4"/>
  <c r="F190" i="4"/>
  <c r="D190" i="4"/>
  <c r="C190" i="4"/>
  <c r="O94" i="4"/>
  <c r="G94" i="4"/>
  <c r="F94" i="4"/>
  <c r="D94" i="4"/>
  <c r="C94" i="4"/>
  <c r="O93" i="4"/>
  <c r="G93" i="4"/>
  <c r="F93" i="4"/>
  <c r="D93" i="4"/>
  <c r="C93" i="4"/>
  <c r="O92" i="4"/>
  <c r="G92" i="4"/>
  <c r="F92" i="4"/>
  <c r="D92" i="4"/>
  <c r="C92" i="4"/>
  <c r="O91" i="4"/>
  <c r="G91" i="4"/>
  <c r="F91" i="4"/>
  <c r="D91" i="4"/>
  <c r="C91" i="4"/>
  <c r="T490" i="3"/>
  <c r="T489" i="3"/>
  <c r="T488" i="3"/>
  <c r="T487" i="3"/>
  <c r="T486" i="3"/>
  <c r="T485" i="3"/>
  <c r="T484" i="3"/>
  <c r="T483" i="3"/>
  <c r="T482" i="3"/>
  <c r="T481" i="3"/>
  <c r="T480" i="3"/>
  <c r="T479" i="3"/>
  <c r="T478" i="3"/>
  <c r="T477" i="3"/>
  <c r="T476" i="3"/>
  <c r="T475" i="3"/>
  <c r="T474" i="3"/>
  <c r="T473" i="3"/>
  <c r="T472" i="3"/>
  <c r="T471" i="3"/>
  <c r="T470" i="3"/>
  <c r="T469" i="3"/>
  <c r="T468" i="3"/>
  <c r="T467" i="3"/>
  <c r="T466" i="3"/>
  <c r="T465" i="3"/>
  <c r="T464" i="3"/>
  <c r="T463" i="3"/>
  <c r="T462" i="3"/>
  <c r="T461" i="3"/>
  <c r="T460" i="3"/>
  <c r="T459" i="3"/>
  <c r="T458" i="3"/>
  <c r="T457" i="3"/>
  <c r="T456" i="3"/>
  <c r="T455" i="3"/>
  <c r="T454" i="3"/>
  <c r="T453" i="3"/>
  <c r="T452" i="3"/>
  <c r="T451" i="3"/>
  <c r="T450" i="3"/>
  <c r="T449" i="3"/>
  <c r="T448" i="3"/>
  <c r="T447" i="3"/>
  <c r="T446" i="3"/>
  <c r="T445" i="3"/>
  <c r="T444" i="3"/>
  <c r="T443" i="3"/>
  <c r="T442" i="3"/>
  <c r="T441" i="3"/>
  <c r="T440" i="3"/>
  <c r="T439" i="3"/>
  <c r="T438" i="3"/>
  <c r="T437" i="3"/>
  <c r="T436" i="3"/>
  <c r="T435" i="3"/>
  <c r="T434" i="3"/>
  <c r="T433" i="3"/>
  <c r="T432" i="3"/>
  <c r="T431" i="3"/>
  <c r="T430" i="3"/>
  <c r="T429" i="3"/>
  <c r="T428" i="3"/>
  <c r="T427" i="3"/>
  <c r="T426" i="3"/>
  <c r="T425" i="3"/>
  <c r="T424" i="3"/>
  <c r="T423" i="3"/>
  <c r="T422" i="3"/>
  <c r="T421" i="3"/>
  <c r="T420" i="3"/>
  <c r="T419" i="3"/>
  <c r="T418" i="3"/>
  <c r="T417" i="3"/>
  <c r="T416" i="3"/>
  <c r="T415" i="3"/>
  <c r="T414" i="3"/>
  <c r="T413" i="3"/>
  <c r="T412" i="3"/>
  <c r="T411" i="3"/>
  <c r="T410" i="3"/>
  <c r="T409" i="3"/>
  <c r="T408" i="3"/>
  <c r="T407" i="3"/>
  <c r="T406" i="3"/>
  <c r="T405" i="3"/>
  <c r="T404" i="3"/>
  <c r="T403" i="3"/>
  <c r="T402" i="3"/>
  <c r="T401" i="3"/>
  <c r="T400" i="3"/>
  <c r="T399" i="3"/>
  <c r="T398" i="3"/>
  <c r="T397" i="3"/>
  <c r="T396" i="3"/>
  <c r="T395" i="3"/>
  <c r="T394" i="3"/>
  <c r="T393" i="3"/>
  <c r="T392" i="3"/>
  <c r="T391" i="3"/>
  <c r="T390" i="3"/>
  <c r="T389" i="3"/>
  <c r="T388" i="3"/>
  <c r="T387" i="3"/>
  <c r="T386" i="3"/>
  <c r="T385" i="3"/>
  <c r="T384" i="3"/>
  <c r="T383" i="3"/>
  <c r="T382" i="3"/>
  <c r="T381" i="3"/>
  <c r="T380" i="3"/>
  <c r="T379" i="3"/>
  <c r="T378" i="3"/>
  <c r="T377" i="3"/>
  <c r="T376" i="3"/>
  <c r="T375" i="3"/>
  <c r="T374" i="3"/>
  <c r="T373" i="3"/>
  <c r="T372" i="3"/>
  <c r="T371" i="3"/>
  <c r="T370" i="3"/>
  <c r="T369"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5"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54" i="3"/>
  <c r="T36" i="3"/>
  <c r="T94" i="3"/>
  <c r="T82" i="3"/>
  <c r="T81" i="3"/>
  <c r="T35" i="3"/>
  <c r="T111" i="3"/>
  <c r="T34" i="3"/>
  <c r="T80" i="3"/>
  <c r="T33" i="3"/>
  <c r="T32" i="3"/>
  <c r="T53" i="3"/>
  <c r="T110" i="3"/>
  <c r="T91" i="3"/>
  <c r="T90" i="3"/>
  <c r="T89" i="3"/>
  <c r="T78" i="3"/>
  <c r="T52" i="3"/>
  <c r="T77" i="3"/>
  <c r="T153" i="3"/>
  <c r="T30" i="3"/>
  <c r="T29" i="3"/>
  <c r="T131" i="3"/>
  <c r="T129" i="3"/>
  <c r="T51" i="3"/>
  <c r="T105" i="3"/>
  <c r="T28" i="3"/>
  <c r="T75" i="3"/>
  <c r="T87" i="3"/>
  <c r="T86" i="3"/>
  <c r="T152" i="3"/>
  <c r="T50" i="3"/>
  <c r="T127" i="3"/>
  <c r="T109" i="3"/>
  <c r="T151" i="3"/>
  <c r="T27" i="3"/>
  <c r="T72" i="3"/>
  <c r="T49" i="3"/>
  <c r="T26" i="3"/>
  <c r="T150" i="3"/>
  <c r="T71" i="3"/>
  <c r="T48" i="3"/>
  <c r="T126" i="3"/>
  <c r="T47" i="3"/>
  <c r="T70" i="3"/>
  <c r="T69" i="3"/>
  <c r="T21" i="3"/>
  <c r="T19" i="3"/>
  <c r="T68" i="3"/>
  <c r="T125" i="3"/>
  <c r="T124" i="3"/>
  <c r="T103" i="3"/>
  <c r="T123" i="3"/>
  <c r="T149" i="3"/>
  <c r="T18" i="3"/>
  <c r="T122" i="3"/>
  <c r="T121" i="3"/>
  <c r="T67" i="3"/>
  <c r="T102" i="3"/>
  <c r="T66" i="3"/>
  <c r="T120" i="3"/>
  <c r="T101" i="3"/>
  <c r="T148" i="3"/>
  <c r="T147" i="3"/>
  <c r="T146" i="3"/>
  <c r="T145" i="3"/>
  <c r="T144" i="3"/>
  <c r="T143" i="3"/>
  <c r="T100" i="3"/>
  <c r="T142" i="3"/>
  <c r="T141" i="3"/>
  <c r="T154" i="3"/>
  <c r="T140" i="3"/>
  <c r="T119" i="3"/>
  <c r="T65" i="3"/>
  <c r="T16" i="3"/>
  <c r="T118" i="3"/>
  <c r="T139" i="3"/>
  <c r="T99" i="3"/>
  <c r="T46" i="3"/>
  <c r="T45" i="3"/>
  <c r="T108" i="3"/>
  <c r="T137" i="3"/>
  <c r="T15" i="3"/>
  <c r="T107" i="3"/>
  <c r="T136" i="3"/>
  <c r="T98" i="3"/>
  <c r="T114" i="3"/>
  <c r="T113" i="3"/>
  <c r="T112" i="3"/>
  <c r="T44" i="3"/>
  <c r="T135" i="3"/>
  <c r="T97" i="3"/>
  <c r="T117" i="3"/>
  <c r="T43" i="3"/>
  <c r="T134" i="3"/>
  <c r="T63" i="3"/>
  <c r="T13" i="3"/>
  <c r="T12" i="3"/>
  <c r="T11" i="3"/>
  <c r="T62" i="3"/>
  <c r="T61" i="3"/>
  <c r="T10" i="3"/>
  <c r="T96" i="3"/>
  <c r="T8" i="3"/>
  <c r="T133" i="3"/>
  <c r="T7" i="3"/>
  <c r="T6" i="3"/>
  <c r="T42" i="3"/>
  <c r="T106" i="3"/>
  <c r="T60" i="3"/>
  <c r="T41" i="3"/>
  <c r="T59" i="3"/>
  <c r="T58" i="3"/>
  <c r="T57" i="3"/>
  <c r="T95" i="3"/>
  <c r="T40" i="3"/>
  <c r="T132" i="3"/>
  <c r="T39" i="3"/>
  <c r="T56" i="3"/>
  <c r="T116" i="3"/>
  <c r="T55" i="3"/>
  <c r="AU245" i="6" l="1"/>
  <c r="AX73" i="6"/>
  <c r="AU143" i="6"/>
  <c r="AU233" i="6"/>
  <c r="AU195" i="6"/>
  <c r="AU97" i="6"/>
  <c r="AU82" i="6"/>
  <c r="AV82" i="6" s="1"/>
  <c r="AX83" i="6"/>
  <c r="AU162" i="6"/>
  <c r="AX19" i="6"/>
  <c r="AU86" i="6"/>
  <c r="AV86" i="6" s="1"/>
  <c r="AX14" i="6"/>
  <c r="AU31" i="6"/>
  <c r="AV31" i="6" s="1"/>
  <c r="AU91" i="6"/>
  <c r="AU156" i="6"/>
  <c r="AU71" i="6"/>
  <c r="AU73" i="6"/>
  <c r="AX153" i="6"/>
  <c r="AX26" i="6"/>
  <c r="AX60" i="6"/>
  <c r="AU115" i="6"/>
  <c r="AV115" i="6" s="1"/>
  <c r="AU183" i="6"/>
  <c r="AX71" i="6"/>
  <c r="AU209" i="6"/>
  <c r="AX57" i="6"/>
  <c r="AU230" i="6"/>
  <c r="AX150" i="6"/>
  <c r="AX130" i="6"/>
  <c r="AU131" i="6"/>
  <c r="AV131" i="6" s="1"/>
  <c r="AU16" i="6"/>
  <c r="AV16" i="6" s="1"/>
  <c r="AU152" i="6"/>
  <c r="AV152" i="6" s="1"/>
  <c r="AU116" i="6"/>
  <c r="AV116" i="6" s="1"/>
  <c r="AU34" i="6"/>
  <c r="AV34" i="6" s="1"/>
  <c r="AU204" i="6"/>
  <c r="AU208" i="6"/>
  <c r="AU44" i="6"/>
  <c r="AX32" i="6"/>
  <c r="AU87" i="6"/>
  <c r="AX98" i="6"/>
  <c r="AX50" i="6"/>
  <c r="AU72" i="6"/>
  <c r="AV72" i="6" s="1"/>
  <c r="AX78" i="6"/>
  <c r="AU81" i="6"/>
  <c r="AV81" i="6" s="1"/>
  <c r="AX109" i="6"/>
  <c r="AU178" i="6"/>
  <c r="AU124" i="6"/>
  <c r="AU112" i="6"/>
  <c r="AV112" i="6" s="1"/>
  <c r="AX22" i="6"/>
  <c r="AU220" i="6"/>
  <c r="AU92" i="6"/>
  <c r="AV92" i="6" s="1"/>
  <c r="AX139" i="6"/>
  <c r="AU212" i="6"/>
  <c r="AU64" i="6"/>
  <c r="AV64" i="6" s="1"/>
  <c r="AU58" i="6"/>
  <c r="AX111" i="6"/>
  <c r="AU29" i="6"/>
  <c r="AX99" i="6"/>
  <c r="AX91" i="6"/>
  <c r="AX17" i="6"/>
  <c r="AU166" i="6"/>
  <c r="AU170" i="6"/>
  <c r="AU169" i="6"/>
  <c r="AU236" i="6"/>
  <c r="AU237" i="6"/>
  <c r="AU33" i="6"/>
  <c r="AU134" i="6"/>
  <c r="AV134" i="6" s="1"/>
  <c r="AU139" i="6"/>
  <c r="AV139" i="6" s="1"/>
  <c r="AX143" i="6"/>
  <c r="AU168" i="6"/>
  <c r="AU198" i="6"/>
  <c r="AX135" i="6"/>
  <c r="AU140" i="6"/>
  <c r="AV140" i="6" s="1"/>
  <c r="AU94" i="6"/>
  <c r="AX86" i="6"/>
  <c r="AU40" i="6"/>
  <c r="AV40" i="6" s="1"/>
  <c r="AU125" i="6"/>
  <c r="AX66" i="6"/>
  <c r="AU153" i="6"/>
  <c r="AV153" i="6" s="1"/>
  <c r="AU50" i="6"/>
  <c r="AV50" i="6" s="1"/>
  <c r="AX25" i="6"/>
  <c r="AU26" i="6"/>
  <c r="AV26" i="6" s="1"/>
  <c r="AX112" i="6"/>
  <c r="AX10" i="6"/>
  <c r="AU114" i="6"/>
  <c r="AV114" i="6" s="1"/>
  <c r="AU150" i="6"/>
  <c r="AX29" i="6"/>
  <c r="AU117" i="6"/>
  <c r="AV117" i="6" s="1"/>
  <c r="AU90" i="6"/>
  <c r="AV90" i="6" s="1"/>
  <c r="AX154" i="6"/>
  <c r="AX126" i="6"/>
  <c r="AX136" i="6"/>
  <c r="AU147" i="6"/>
  <c r="AX24" i="6"/>
  <c r="AU160" i="6"/>
  <c r="AU165" i="6"/>
  <c r="AU171" i="6"/>
  <c r="AU189" i="6"/>
  <c r="AU190" i="6"/>
  <c r="AU223" i="6"/>
  <c r="AU228" i="6"/>
  <c r="AU232" i="6"/>
  <c r="AU75" i="6"/>
  <c r="AV75" i="6" s="1"/>
  <c r="AU76" i="6"/>
  <c r="AV76" i="6" s="1"/>
  <c r="AX88" i="6"/>
  <c r="AX9" i="6"/>
  <c r="AX38" i="6"/>
  <c r="AU43" i="6"/>
  <c r="AV43" i="6" s="1"/>
  <c r="AX123" i="6"/>
  <c r="AX47" i="6"/>
  <c r="AU36" i="6"/>
  <c r="AV36" i="6" s="1"/>
  <c r="AX97" i="6"/>
  <c r="AX79" i="6"/>
  <c r="AX137" i="6"/>
  <c r="AU80" i="6"/>
  <c r="AX51" i="6"/>
  <c r="AU20" i="6"/>
  <c r="AV20" i="6" s="1"/>
  <c r="AX62" i="6"/>
  <c r="AU159" i="6"/>
  <c r="AU202" i="6"/>
  <c r="AU205" i="6"/>
  <c r="AU222" i="6"/>
  <c r="AU227" i="6"/>
  <c r="AX64" i="6"/>
  <c r="AU10" i="6"/>
  <c r="AX44" i="6"/>
  <c r="AX115" i="6"/>
  <c r="AX117" i="6"/>
  <c r="AU30" i="6"/>
  <c r="AV30" i="6" s="1"/>
  <c r="AX90" i="6"/>
  <c r="AX121" i="6"/>
  <c r="AX124" i="6"/>
  <c r="AX48" i="6"/>
  <c r="AU49" i="6"/>
  <c r="AV49" i="6" s="1"/>
  <c r="AU129" i="6"/>
  <c r="AX138" i="6"/>
  <c r="AX81" i="6"/>
  <c r="AU142" i="6"/>
  <c r="AV142" i="6" s="1"/>
  <c r="AX144" i="6"/>
  <c r="AX152" i="6"/>
  <c r="AU148" i="6"/>
  <c r="AV148" i="6" s="1"/>
  <c r="AU186" i="6"/>
  <c r="AU187" i="6"/>
  <c r="AU224" i="6"/>
  <c r="AU225" i="6"/>
  <c r="AU62" i="6"/>
  <c r="AV62" i="6" s="1"/>
  <c r="AU157" i="6"/>
  <c r="AU185" i="6"/>
  <c r="AU200" i="6"/>
  <c r="AU201" i="6"/>
  <c r="AU219" i="6"/>
  <c r="AX23" i="6"/>
  <c r="AX122" i="6"/>
  <c r="AU47" i="6"/>
  <c r="AV47" i="6" s="1"/>
  <c r="AU13" i="6"/>
  <c r="AU133" i="6"/>
  <c r="AU84" i="6"/>
  <c r="AV84" i="6" s="1"/>
  <c r="AX27" i="6"/>
  <c r="AX30" i="6"/>
  <c r="AX61" i="6"/>
  <c r="AU99" i="6"/>
  <c r="AV99" i="6" s="1"/>
  <c r="AX125" i="6"/>
  <c r="AU77" i="6"/>
  <c r="AV77" i="6" s="1"/>
  <c r="AU56" i="6"/>
  <c r="AV56" i="6" s="1"/>
  <c r="AX132" i="6"/>
  <c r="AU173" i="6"/>
  <c r="AU177" i="6"/>
  <c r="AU218" i="6"/>
  <c r="AU241" i="6"/>
  <c r="AX113" i="6"/>
  <c r="AU9" i="6"/>
  <c r="AV9" i="6" s="1"/>
  <c r="AX151" i="6"/>
  <c r="AU130" i="6"/>
  <c r="AV130" i="6" s="1"/>
  <c r="AU111" i="6"/>
  <c r="AX87" i="6"/>
  <c r="AX89" i="6"/>
  <c r="AX116" i="6"/>
  <c r="AX156" i="6"/>
  <c r="AX40" i="6"/>
  <c r="AX16" i="6"/>
  <c r="AU126" i="6"/>
  <c r="AV126" i="6" s="1"/>
  <c r="AX133" i="6"/>
  <c r="AX155" i="6"/>
  <c r="AX141" i="6"/>
  <c r="AU17" i="6"/>
  <c r="AU172" i="6"/>
  <c r="AU175" i="6"/>
  <c r="AU182" i="6"/>
  <c r="AU216" i="6"/>
  <c r="AU239" i="6"/>
  <c r="AU240" i="6"/>
  <c r="AU69" i="6"/>
  <c r="AV69" i="6" s="1"/>
  <c r="AX72" i="6"/>
  <c r="AU121" i="6"/>
  <c r="AV121" i="6" s="1"/>
  <c r="AX63" i="6"/>
  <c r="AU109" i="6"/>
  <c r="AV109" i="6" s="1"/>
  <c r="AU98" i="6"/>
  <c r="AV98" i="6" s="1"/>
  <c r="AU55" i="6"/>
  <c r="AV55" i="6" s="1"/>
  <c r="AU74" i="6"/>
  <c r="AV74" i="6" s="1"/>
  <c r="AU41" i="6"/>
  <c r="AV41" i="6" s="1"/>
  <c r="AU23" i="6"/>
  <c r="AV23" i="6" s="1"/>
  <c r="AX31" i="6"/>
  <c r="AU18" i="6"/>
  <c r="AV18" i="6" s="1"/>
  <c r="AX49" i="6"/>
  <c r="AX80" i="6"/>
  <c r="AX103" i="6"/>
  <c r="AU35" i="6"/>
  <c r="AX108" i="6"/>
  <c r="AU104" i="6"/>
  <c r="AV104" i="6" s="1"/>
  <c r="AU146" i="6"/>
  <c r="AV146" i="6" s="1"/>
  <c r="AX52" i="6"/>
  <c r="AU174" i="6"/>
  <c r="AU215" i="6"/>
  <c r="AU221" i="6"/>
  <c r="AU238" i="6"/>
  <c r="N210" i="4"/>
  <c r="N147" i="4"/>
  <c r="N76" i="4"/>
  <c r="N127" i="4"/>
  <c r="N128" i="4"/>
  <c r="N151" i="4"/>
  <c r="N129" i="4"/>
  <c r="N40" i="4"/>
  <c r="N156" i="4"/>
  <c r="N214" i="4"/>
  <c r="N91" i="4"/>
  <c r="N224" i="4"/>
  <c r="N178" i="4"/>
  <c r="N10" i="4"/>
  <c r="N12" i="4"/>
  <c r="N110" i="4"/>
  <c r="N111" i="4"/>
  <c r="N226" i="4"/>
  <c r="N66" i="4"/>
  <c r="N232" i="4"/>
  <c r="N234" i="4"/>
  <c r="N236" i="4"/>
  <c r="N186" i="4"/>
  <c r="N240" i="4"/>
  <c r="N212" i="4"/>
  <c r="N83" i="4"/>
  <c r="N72" i="4"/>
  <c r="N9" i="4"/>
  <c r="N16" i="4"/>
  <c r="N235" i="4"/>
  <c r="N30" i="4"/>
  <c r="N200" i="4"/>
  <c r="N209" i="4"/>
  <c r="N125" i="4"/>
  <c r="N20" i="4"/>
  <c r="N194" i="4"/>
  <c r="N118" i="4"/>
  <c r="N242" i="4"/>
  <c r="N252" i="4"/>
  <c r="N258" i="4"/>
  <c r="N259" i="4"/>
  <c r="N198" i="4"/>
  <c r="N29" i="4"/>
  <c r="N31" i="4"/>
  <c r="N33" i="4"/>
  <c r="N35" i="4"/>
  <c r="N217" i="4"/>
  <c r="N238" i="4"/>
  <c r="N220" i="4"/>
  <c r="N79" i="4"/>
  <c r="N158" i="4"/>
  <c r="N160" i="4"/>
  <c r="N162" i="4"/>
  <c r="N80" i="4"/>
  <c r="N145" i="4"/>
  <c r="N46" i="4"/>
  <c r="N48" i="4"/>
  <c r="N50" i="4"/>
  <c r="N52" i="4"/>
  <c r="N54" i="4"/>
  <c r="N58" i="4"/>
  <c r="N182" i="4"/>
  <c r="N17" i="4"/>
  <c r="N19" i="4"/>
  <c r="N126" i="4"/>
  <c r="N176" i="4"/>
  <c r="N39" i="4"/>
  <c r="N260" i="4"/>
  <c r="N225" i="4"/>
  <c r="N191" i="4"/>
  <c r="N113" i="4"/>
  <c r="N115" i="4"/>
  <c r="N170" i="4"/>
  <c r="N67" i="4"/>
  <c r="N171" i="4"/>
  <c r="N253" i="4"/>
  <c r="N255" i="4"/>
  <c r="N172" i="4"/>
  <c r="N174" i="4"/>
  <c r="N180" i="4"/>
  <c r="N64" i="4"/>
  <c r="N165" i="4"/>
  <c r="N108" i="4"/>
  <c r="N63" i="4"/>
  <c r="N246" i="4"/>
  <c r="N248" i="4"/>
  <c r="N188" i="4"/>
  <c r="N23" i="4"/>
  <c r="N92" i="4"/>
  <c r="N94" i="4"/>
  <c r="N95" i="4"/>
  <c r="N62" i="4"/>
  <c r="N100" i="4"/>
  <c r="N102" i="4"/>
  <c r="N177" i="4"/>
  <c r="N69" i="4"/>
  <c r="N71" i="4"/>
  <c r="N42" i="4"/>
  <c r="N134" i="4"/>
  <c r="N6" i="4"/>
  <c r="N166" i="4"/>
  <c r="N7" i="4"/>
  <c r="N107" i="4"/>
  <c r="N109" i="4"/>
  <c r="N195" i="4"/>
  <c r="N117" i="4"/>
  <c r="N119" i="4"/>
  <c r="N243" i="4"/>
  <c r="N247" i="4"/>
  <c r="N249" i="4"/>
  <c r="N251" i="4"/>
  <c r="N141" i="4"/>
  <c r="N87" i="4"/>
  <c r="N89" i="4"/>
  <c r="N44" i="4"/>
  <c r="N45" i="4"/>
  <c r="N59" i="4"/>
  <c r="N221" i="4"/>
  <c r="N192" i="4"/>
  <c r="N131" i="4"/>
  <c r="N99" i="4"/>
  <c r="N168" i="4"/>
  <c r="N13" i="4"/>
  <c r="N15" i="4"/>
  <c r="N230" i="4"/>
  <c r="N146" i="4"/>
  <c r="N205" i="4"/>
  <c r="N207" i="4"/>
  <c r="N82" i="4"/>
  <c r="N137" i="4"/>
  <c r="N53" i="4"/>
  <c r="N55" i="4"/>
  <c r="N18" i="4"/>
  <c r="N241" i="4"/>
  <c r="N250" i="4"/>
  <c r="N24" i="4"/>
  <c r="N34" i="4"/>
  <c r="N36" i="4"/>
  <c r="N38" i="4"/>
  <c r="N148" i="4"/>
  <c r="N213" i="4"/>
  <c r="N130" i="4"/>
  <c r="N189" i="4"/>
  <c r="N88" i="4"/>
  <c r="N264" i="4"/>
  <c r="N144" i="4"/>
  <c r="N61" i="4"/>
  <c r="N169" i="4"/>
  <c r="N227" i="4"/>
  <c r="N256" i="4"/>
  <c r="N199" i="4"/>
  <c r="N204" i="4"/>
  <c r="N211" i="4"/>
  <c r="N78" i="4"/>
  <c r="N85" i="4"/>
  <c r="N138" i="4"/>
  <c r="N98" i="4"/>
  <c r="N104" i="4"/>
  <c r="N181" i="4"/>
  <c r="N65" i="4"/>
  <c r="N112" i="4"/>
  <c r="N116" i="4"/>
  <c r="N93" i="4"/>
  <c r="N190" i="4"/>
  <c r="N25" i="4"/>
  <c r="N153" i="4"/>
  <c r="N70" i="4"/>
  <c r="N223" i="4"/>
  <c r="N68" i="4"/>
  <c r="N185" i="4"/>
  <c r="N73" i="4"/>
  <c r="N21" i="4"/>
  <c r="N196" i="4"/>
  <c r="N75" i="4"/>
  <c r="N150" i="4"/>
  <c r="N157" i="4"/>
  <c r="N262" i="4"/>
  <c r="N139" i="4"/>
  <c r="N167" i="4"/>
  <c r="N14" i="4"/>
  <c r="N229" i="4"/>
  <c r="N239" i="4"/>
  <c r="N244" i="4"/>
  <c r="N37" i="4"/>
  <c r="N215" i="4"/>
  <c r="N164" i="4"/>
  <c r="N179" i="4"/>
  <c r="N11" i="4"/>
  <c r="N231" i="4"/>
  <c r="N183" i="4"/>
  <c r="N187" i="4"/>
  <c r="N257" i="4"/>
  <c r="N201" i="4"/>
  <c r="N203" i="4"/>
  <c r="N26" i="4"/>
  <c r="N28" i="4"/>
  <c r="N219" i="4"/>
  <c r="N84" i="4"/>
  <c r="N143" i="4"/>
  <c r="N56" i="4"/>
  <c r="N121" i="4"/>
  <c r="N133" i="4"/>
  <c r="N86" i="4"/>
  <c r="N163" i="4"/>
  <c r="N96" i="4"/>
  <c r="N222" i="4"/>
  <c r="N103" i="4"/>
  <c r="N105" i="4"/>
  <c r="N184" i="4"/>
  <c r="N74" i="4"/>
  <c r="N197" i="4"/>
  <c r="N208" i="4"/>
  <c r="N32" i="4"/>
  <c r="N149" i="4"/>
  <c r="N135" i="4"/>
  <c r="N140" i="4"/>
  <c r="N49" i="4"/>
  <c r="N60" i="4"/>
  <c r="N101" i="4"/>
  <c r="N106" i="4"/>
  <c r="N8" i="4"/>
  <c r="N114" i="4"/>
  <c r="N228" i="4"/>
  <c r="N233" i="4"/>
  <c r="N237" i="4"/>
  <c r="N245" i="4"/>
  <c r="N254" i="4"/>
  <c r="N120" i="4"/>
  <c r="N122" i="4"/>
  <c r="N123" i="4"/>
  <c r="N175" i="4"/>
  <c r="N261" i="4"/>
  <c r="N216" i="4"/>
  <c r="N159" i="4"/>
  <c r="N81" i="4"/>
  <c r="N142" i="4"/>
  <c r="N43" i="4"/>
  <c r="N51" i="4"/>
  <c r="N97" i="4"/>
  <c r="N152" i="4"/>
  <c r="N154" i="4"/>
  <c r="N218" i="4"/>
  <c r="N132" i="4"/>
  <c r="N57" i="4"/>
  <c r="N263" i="4"/>
  <c r="N202" i="4"/>
  <c r="N27" i="4"/>
  <c r="AV10" i="6"/>
  <c r="AV111" i="6"/>
  <c r="AV133" i="6"/>
  <c r="AV150" i="6"/>
  <c r="AV58" i="6"/>
  <c r="AV129" i="6"/>
  <c r="AV35" i="6"/>
  <c r="AV147" i="6"/>
  <c r="I34" i="22"/>
  <c r="L27" i="22" s="1"/>
  <c r="N33" i="22"/>
  <c r="AX21" i="6"/>
  <c r="AU61" i="6"/>
  <c r="AX119" i="6"/>
  <c r="AX75" i="6"/>
  <c r="AU48" i="6"/>
  <c r="AU138" i="6"/>
  <c r="AX104" i="6"/>
  <c r="AX94" i="6"/>
  <c r="AU194" i="6"/>
  <c r="N9" i="22"/>
  <c r="AX95" i="6"/>
  <c r="AV44" i="6"/>
  <c r="AX15" i="6"/>
  <c r="AX8" i="6"/>
  <c r="AV71" i="6"/>
  <c r="AX100" i="6"/>
  <c r="AU119" i="6"/>
  <c r="AX131" i="6"/>
  <c r="N124" i="4"/>
  <c r="N161" i="4"/>
  <c r="AX37" i="6"/>
  <c r="AU123" i="6"/>
  <c r="AV125" i="6"/>
  <c r="AU78" i="6"/>
  <c r="AX56" i="6"/>
  <c r="AU132" i="6"/>
  <c r="AU137" i="6"/>
  <c r="AX140" i="6"/>
  <c r="AX114" i="6"/>
  <c r="AX65" i="6"/>
  <c r="AV87" i="6"/>
  <c r="AX149" i="6"/>
  <c r="AX96" i="6"/>
  <c r="AV29" i="6"/>
  <c r="AX70" i="6"/>
  <c r="AU37" i="6"/>
  <c r="AV73" i="6"/>
  <c r="AX118" i="6"/>
  <c r="AX41" i="6"/>
  <c r="AX12" i="6"/>
  <c r="AV33" i="6"/>
  <c r="N206" i="4"/>
  <c r="N41" i="4"/>
  <c r="N47" i="4"/>
  <c r="AX59" i="6"/>
  <c r="AX18" i="6"/>
  <c r="AU122" i="6"/>
  <c r="AU19" i="6"/>
  <c r="AX127" i="6"/>
  <c r="AX77" i="6"/>
  <c r="AU22" i="6"/>
  <c r="AX134" i="6"/>
  <c r="AU141" i="6"/>
  <c r="AU145" i="6"/>
  <c r="AV91" i="6"/>
  <c r="AX110" i="6"/>
  <c r="AU25" i="6"/>
  <c r="AX67" i="6"/>
  <c r="AU113" i="6"/>
  <c r="AX68" i="6"/>
  <c r="AU89" i="6"/>
  <c r="AX28" i="6"/>
  <c r="AV156" i="6"/>
  <c r="AX11" i="6"/>
  <c r="AU14" i="6"/>
  <c r="AX46" i="6"/>
  <c r="AX42" i="6"/>
  <c r="AV124" i="6"/>
  <c r="AV80" i="6"/>
  <c r="I8" i="22"/>
  <c r="N6" i="22"/>
  <c r="AX58" i="6"/>
  <c r="AX69" i="6"/>
  <c r="AV143" i="6"/>
  <c r="AV94" i="6"/>
  <c r="N173" i="4"/>
  <c r="N77" i="4"/>
  <c r="AX74" i="6"/>
  <c r="AU118" i="6"/>
  <c r="AX120" i="6"/>
  <c r="AX43" i="6"/>
  <c r="AV13" i="6"/>
  <c r="AX34" i="6"/>
  <c r="AU155" i="6"/>
  <c r="AX101" i="6"/>
  <c r="AU51" i="6"/>
  <c r="AV17" i="6"/>
  <c r="AU244" i="6"/>
  <c r="AX55" i="6"/>
  <c r="AV97" i="6"/>
  <c r="N136" i="4"/>
  <c r="N193" i="4"/>
  <c r="N22" i="4"/>
  <c r="N155" i="4"/>
  <c r="N90" i="4"/>
  <c r="AX39" i="6"/>
  <c r="AX107" i="6"/>
  <c r="AX45" i="6"/>
  <c r="AX53" i="6"/>
  <c r="AX54" i="6"/>
  <c r="AU46" i="6"/>
  <c r="AX76" i="6"/>
  <c r="AU12" i="6"/>
  <c r="AX36" i="6"/>
  <c r="AX102" i="6"/>
  <c r="N32" i="22"/>
  <c r="L40" i="22"/>
  <c r="AX85" i="6"/>
  <c r="AU24" i="6"/>
  <c r="AU158" i="6"/>
  <c r="AU207" i="6"/>
  <c r="N2" i="22"/>
  <c r="M110" i="22"/>
  <c r="AX128" i="6"/>
  <c r="AU57" i="6"/>
  <c r="AX142" i="6"/>
  <c r="AU103" i="6"/>
  <c r="AX84" i="6"/>
  <c r="AU85" i="6"/>
  <c r="AU229" i="6"/>
  <c r="M106" i="22"/>
  <c r="M99" i="22" s="1"/>
  <c r="M92" i="22" s="1"/>
  <c r="M85" i="22" s="1"/>
  <c r="M78" i="22" s="1"/>
  <c r="M71" i="22" s="1"/>
  <c r="M64" i="22" s="1"/>
  <c r="M57" i="22" s="1"/>
  <c r="M50" i="22" s="1"/>
  <c r="M43" i="22" s="1"/>
  <c r="M36" i="22" s="1"/>
  <c r="M29" i="22" s="1"/>
  <c r="M22" i="22" s="1"/>
  <c r="M15" i="22" s="1"/>
  <c r="M8" i="22" s="1"/>
  <c r="AU63" i="6"/>
  <c r="AU110" i="6"/>
  <c r="AU95" i="6"/>
  <c r="AU39" i="6"/>
  <c r="AU65" i="6"/>
  <c r="AU66" i="6"/>
  <c r="AU67" i="6"/>
  <c r="AU107" i="6"/>
  <c r="AU149" i="6"/>
  <c r="AU88" i="6"/>
  <c r="AU68" i="6"/>
  <c r="AU15" i="6"/>
  <c r="AU45" i="6"/>
  <c r="AU96" i="6"/>
  <c r="AU27" i="6"/>
  <c r="AU28" i="6"/>
  <c r="AU8" i="6"/>
  <c r="AU53" i="6"/>
  <c r="AU70" i="6"/>
  <c r="AU60" i="6"/>
  <c r="AU11" i="6"/>
  <c r="AU100" i="6"/>
  <c r="AU54" i="6"/>
  <c r="AU59" i="6"/>
  <c r="AU42" i="6"/>
  <c r="AU154" i="6"/>
  <c r="AU151" i="6"/>
  <c r="AX33" i="6"/>
  <c r="AU79" i="6"/>
  <c r="AU136" i="6"/>
  <c r="AU101" i="6"/>
  <c r="AU83" i="6"/>
  <c r="AX145" i="6"/>
  <c r="AU167" i="6"/>
  <c r="AU196" i="6"/>
  <c r="AU203" i="6"/>
  <c r="AU217" i="6"/>
  <c r="N13" i="22"/>
  <c r="L23" i="22"/>
  <c r="N43" i="22"/>
  <c r="AU127" i="6"/>
  <c r="AX92" i="6"/>
  <c r="AU93" i="6"/>
  <c r="AX147" i="6"/>
  <c r="AX148" i="6"/>
  <c r="AU163" i="6"/>
  <c r="AU191" i="6"/>
  <c r="AU192" i="6"/>
  <c r="AU213" i="6"/>
  <c r="L54" i="22"/>
  <c r="M113" i="22"/>
  <c r="AX129" i="6"/>
  <c r="AX105" i="6"/>
  <c r="AU188" i="6"/>
  <c r="N24" i="22"/>
  <c r="L34" i="22"/>
  <c r="AU38" i="6"/>
  <c r="AU21" i="6"/>
  <c r="AU120" i="6"/>
  <c r="AX82" i="6"/>
  <c r="AX35" i="6"/>
  <c r="AU105" i="6"/>
  <c r="AU106" i="6"/>
  <c r="AU181" i="6"/>
  <c r="AU193" i="6"/>
  <c r="AU197" i="6"/>
  <c r="AU231" i="6"/>
  <c r="AU235" i="6"/>
  <c r="AU243" i="6"/>
  <c r="AU247" i="6"/>
  <c r="N93" i="22"/>
  <c r="AX13" i="6"/>
  <c r="AX146" i="6"/>
  <c r="AU180" i="6"/>
  <c r="N8" i="22"/>
  <c r="N25" i="22"/>
  <c r="O60" i="22"/>
  <c r="N86" i="22"/>
  <c r="M126" i="22"/>
  <c r="M119" i="22" s="1"/>
  <c r="M112" i="22" s="1"/>
  <c r="M105" i="22" s="1"/>
  <c r="M98" i="22" s="1"/>
  <c r="M91" i="22" s="1"/>
  <c r="M84" i="22" s="1"/>
  <c r="M77" i="22" s="1"/>
  <c r="M70" i="22" s="1"/>
  <c r="M63" i="22" s="1"/>
  <c r="M120" i="22"/>
  <c r="AU179" i="6"/>
  <c r="AU210" i="6"/>
  <c r="N22" i="22"/>
  <c r="N90" i="22"/>
  <c r="AU128" i="6"/>
  <c r="AU32" i="6"/>
  <c r="AU135" i="6"/>
  <c r="AU102" i="6"/>
  <c r="AU144" i="6"/>
  <c r="AU108" i="6"/>
  <c r="AX93" i="6"/>
  <c r="AU52" i="6"/>
  <c r="AX106" i="6"/>
  <c r="AU176" i="6"/>
  <c r="AU199" i="6"/>
  <c r="AU226" i="6"/>
  <c r="AU246" i="6"/>
  <c r="O7" i="22"/>
  <c r="N15" i="22"/>
  <c r="N16" i="22"/>
  <c r="N23" i="22"/>
  <c r="O25" i="22"/>
  <c r="N47" i="22"/>
  <c r="L93" i="22"/>
  <c r="N97" i="22"/>
  <c r="N114" i="22"/>
  <c r="AU161" i="6"/>
  <c r="AU211" i="6"/>
  <c r="AU242" i="6"/>
  <c r="L3" i="22"/>
  <c r="L10" i="22"/>
  <c r="N29" i="22"/>
  <c r="O43" i="22"/>
  <c r="N48" i="22"/>
  <c r="O50" i="22"/>
  <c r="N54" i="22"/>
  <c r="N68" i="22"/>
  <c r="N84" i="22"/>
  <c r="O110" i="22"/>
  <c r="M103" i="22" s="1"/>
  <c r="M96" i="22" s="1"/>
  <c r="M89" i="22" s="1"/>
  <c r="M82" i="22" s="1"/>
  <c r="M75" i="22" s="1"/>
  <c r="M68" i="22" s="1"/>
  <c r="M61" i="22" s="1"/>
  <c r="M54" i="22" s="1"/>
  <c r="N115" i="22"/>
  <c r="AU184" i="6"/>
  <c r="AU234" i="6"/>
  <c r="O2" i="22"/>
  <c r="N35" i="22"/>
  <c r="L39" i="22"/>
  <c r="N60" i="22"/>
  <c r="O70" i="22"/>
  <c r="O95" i="22"/>
  <c r="O120" i="22"/>
  <c r="M123" i="22"/>
  <c r="M116" i="22" s="1"/>
  <c r="M109" i="22" s="1"/>
  <c r="M102" i="22" s="1"/>
  <c r="M95" i="22" s="1"/>
  <c r="M88" i="22" s="1"/>
  <c r="M81" i="22" s="1"/>
  <c r="M74" i="22" s="1"/>
  <c r="M67" i="22" s="1"/>
  <c r="M60" i="22" s="1"/>
  <c r="M53" i="22" s="1"/>
  <c r="M46" i="22" s="1"/>
  <c r="M39" i="22" s="1"/>
  <c r="M128" i="22"/>
  <c r="M121" i="22" s="1"/>
  <c r="M114" i="22" s="1"/>
  <c r="M107" i="22" s="1"/>
  <c r="M100" i="22" s="1"/>
  <c r="M93" i="22" s="1"/>
  <c r="AU206" i="6"/>
  <c r="N21" i="22"/>
  <c r="N46" i="22"/>
  <c r="N50" i="22"/>
  <c r="L63" i="22"/>
  <c r="N65" i="22"/>
  <c r="O75" i="22"/>
  <c r="O100" i="22"/>
  <c r="M124" i="22"/>
  <c r="M117" i="22" s="1"/>
  <c r="AX20" i="6"/>
  <c r="AU164" i="6"/>
  <c r="AU214" i="6"/>
  <c r="L19" i="22"/>
  <c r="N40" i="22"/>
  <c r="N66" i="22"/>
  <c r="O80" i="22"/>
  <c r="O105" i="22"/>
  <c r="M125" i="22"/>
  <c r="M118" i="22" s="1"/>
  <c r="M111" i="22" s="1"/>
  <c r="M104" i="22" s="1"/>
  <c r="M97" i="22" s="1"/>
  <c r="M90" i="22" s="1"/>
  <c r="M83" i="22" s="1"/>
  <c r="M76" i="22" s="1"/>
  <c r="M69" i="22" s="1"/>
  <c r="M62" i="22" s="1"/>
  <c r="M55" i="22" s="1"/>
  <c r="M48" i="22" s="1"/>
  <c r="M41" i="22" s="1"/>
  <c r="M34" i="22" s="1"/>
  <c r="M129" i="22"/>
  <c r="M122" i="22" s="1"/>
  <c r="M115" i="22" s="1"/>
  <c r="M108" i="22" s="1"/>
  <c r="M101" i="22" s="1"/>
  <c r="M94" i="22" s="1"/>
  <c r="M87" i="22" s="1"/>
  <c r="M80" i="22" s="1"/>
  <c r="M73" i="22" s="1"/>
  <c r="M66" i="22" s="1"/>
  <c r="M59" i="22" s="1"/>
  <c r="M52" i="22" s="1"/>
  <c r="M45" i="22" s="1"/>
  <c r="M38" i="22" s="1"/>
  <c r="M31" i="22" s="1"/>
  <c r="M24" i="22" s="1"/>
  <c r="M17" i="22" s="1"/>
  <c r="M10" i="22" s="1"/>
  <c r="AV135" i="6" l="1"/>
  <c r="AV136" i="6"/>
  <c r="AV63" i="6"/>
  <c r="AV42" i="6"/>
  <c r="AV127" i="6"/>
  <c r="AV59" i="6"/>
  <c r="AV96" i="6"/>
  <c r="AV65" i="6"/>
  <c r="AV22" i="6"/>
  <c r="AV61" i="6"/>
  <c r="M56" i="22"/>
  <c r="M49" i="22" s="1"/>
  <c r="M42" i="22" s="1"/>
  <c r="M35" i="22" s="1"/>
  <c r="M28" i="22" s="1"/>
  <c r="M21" i="22" s="1"/>
  <c r="M14" i="22" s="1"/>
  <c r="M7" i="22" s="1"/>
  <c r="M86" i="22"/>
  <c r="M79" i="22" s="1"/>
  <c r="M72" i="22" s="1"/>
  <c r="M65" i="22" s="1"/>
  <c r="M58" i="22" s="1"/>
  <c r="M51" i="22" s="1"/>
  <c r="M44" i="22" s="1"/>
  <c r="M37" i="22" s="1"/>
  <c r="M30" i="22" s="1"/>
  <c r="M23" i="22" s="1"/>
  <c r="M16" i="22" s="1"/>
  <c r="M9" i="22" s="1"/>
  <c r="M2" i="22" s="1"/>
  <c r="AV103" i="6"/>
  <c r="M32" i="22"/>
  <c r="M25" i="22" s="1"/>
  <c r="M18" i="22" s="1"/>
  <c r="M11" i="22" s="1"/>
  <c r="M4" i="22" s="1"/>
  <c r="AV52" i="6"/>
  <c r="AV27" i="6"/>
  <c r="AV108" i="6"/>
  <c r="AV120" i="6"/>
  <c r="AV54" i="6"/>
  <c r="AV45" i="6"/>
  <c r="AV39" i="6"/>
  <c r="AV89" i="6"/>
  <c r="AV137" i="6"/>
  <c r="AV66" i="6"/>
  <c r="AV144" i="6"/>
  <c r="AV21" i="6"/>
  <c r="AV83" i="6"/>
  <c r="AV100" i="6"/>
  <c r="AV15" i="6"/>
  <c r="AV95" i="6"/>
  <c r="AV85" i="6"/>
  <c r="AV132" i="6"/>
  <c r="AV60" i="6"/>
  <c r="AV102" i="6"/>
  <c r="AV38" i="6"/>
  <c r="AV101" i="6"/>
  <c r="AV11" i="6"/>
  <c r="AV68" i="6"/>
  <c r="AV110" i="6"/>
  <c r="AV12" i="6"/>
  <c r="AV113" i="6"/>
  <c r="AV37" i="6"/>
  <c r="AV88" i="6"/>
  <c r="AV78" i="6"/>
  <c r="AV32" i="6"/>
  <c r="AV51" i="6"/>
  <c r="AV25" i="6"/>
  <c r="AV19" i="6"/>
  <c r="AV79" i="6"/>
  <c r="AV70" i="6"/>
  <c r="AV149" i="6"/>
  <c r="AV53" i="6"/>
  <c r="AV24" i="6"/>
  <c r="AV46" i="6"/>
  <c r="AV14" i="6"/>
  <c r="AV122" i="6"/>
  <c r="AV138" i="6"/>
  <c r="M3" i="22"/>
  <c r="AV128" i="6"/>
  <c r="M27" i="22"/>
  <c r="M20" i="22" s="1"/>
  <c r="M13" i="22" s="1"/>
  <c r="M6" i="22" s="1"/>
  <c r="AV107" i="6"/>
  <c r="AV57" i="6"/>
  <c r="AV106" i="6"/>
  <c r="AV151" i="6"/>
  <c r="AV8" i="6"/>
  <c r="AV155" i="6"/>
  <c r="AV118" i="6"/>
  <c r="AV145" i="6"/>
  <c r="AV123" i="6"/>
  <c r="AV119" i="6"/>
  <c r="AV48" i="6"/>
  <c r="AV105" i="6"/>
  <c r="M47" i="22"/>
  <c r="M40" i="22" s="1"/>
  <c r="M33" i="22" s="1"/>
  <c r="M26" i="22" s="1"/>
  <c r="M19" i="22" s="1"/>
  <c r="M12" i="22" s="1"/>
  <c r="M5" i="22" s="1"/>
  <c r="AV93" i="6"/>
  <c r="AV154" i="6"/>
  <c r="AV28" i="6"/>
  <c r="AV67" i="6"/>
  <c r="AV141" i="6"/>
  <c r="AW37" i="6" l="1"/>
  <c r="AW93" i="6"/>
  <c r="AW118" i="6"/>
  <c r="AW63" i="6"/>
  <c r="AW106" i="6"/>
  <c r="AW10" i="6"/>
  <c r="AW20" i="6"/>
  <c r="AW68" i="6"/>
  <c r="AW122" i="6"/>
  <c r="AW30" i="6"/>
  <c r="AW76" i="6"/>
  <c r="AW102" i="6"/>
  <c r="AW66" i="6"/>
  <c r="AW77" i="6"/>
  <c r="AW35" i="6"/>
  <c r="AW124" i="6"/>
  <c r="AW108" i="6"/>
  <c r="AW136" i="6"/>
  <c r="AW81" i="6"/>
  <c r="AW69" i="6"/>
  <c r="AW16" i="6"/>
  <c r="AW119" i="6"/>
  <c r="AW117" i="6"/>
  <c r="AW55" i="6"/>
  <c r="AW67" i="6"/>
  <c r="AW107" i="6"/>
  <c r="AW90" i="6"/>
  <c r="AW111" i="6"/>
  <c r="AW27" i="6"/>
  <c r="AW71" i="6"/>
  <c r="AW87" i="6"/>
  <c r="AW19" i="6"/>
  <c r="AW142" i="6"/>
  <c r="AW21" i="6"/>
  <c r="AW45" i="6"/>
  <c r="AW26" i="6"/>
  <c r="AW133" i="6"/>
  <c r="AW24" i="6"/>
  <c r="AW25" i="6"/>
  <c r="AW153" i="6"/>
  <c r="AW17" i="6"/>
  <c r="AW101" i="6"/>
  <c r="AW137" i="6"/>
  <c r="AW61" i="6"/>
  <c r="AW96" i="6"/>
  <c r="AW47" i="6"/>
  <c r="AW58" i="6"/>
  <c r="AW18" i="6"/>
  <c r="AW110" i="6"/>
  <c r="AW89" i="6"/>
  <c r="AW127" i="6"/>
  <c r="AW116" i="6"/>
  <c r="AW134" i="6"/>
  <c r="AW57" i="6"/>
  <c r="AW32" i="6"/>
  <c r="AW60" i="6"/>
  <c r="AW140" i="6"/>
  <c r="AW70" i="6"/>
  <c r="AW31" i="6"/>
  <c r="AW39" i="6"/>
  <c r="AW135" i="6"/>
  <c r="AW72" i="6"/>
  <c r="AW146" i="6"/>
  <c r="AW65" i="6"/>
  <c r="AW75" i="6"/>
  <c r="AW56" i="6"/>
  <c r="AW130" i="6"/>
  <c r="AW48" i="6"/>
  <c r="AW149" i="6"/>
  <c r="AW113" i="6"/>
  <c r="AW44" i="6"/>
  <c r="AW40" i="6"/>
  <c r="AW112" i="6"/>
  <c r="AW88" i="6"/>
  <c r="AW94" i="6"/>
  <c r="AW115" i="6"/>
  <c r="AW105" i="6"/>
  <c r="AW46" i="6"/>
  <c r="AW109" i="6"/>
  <c r="AW83" i="6"/>
  <c r="AW42" i="6"/>
  <c r="AW11" i="6"/>
  <c r="AW121" i="6"/>
  <c r="AW147" i="6"/>
  <c r="AW85" i="6"/>
  <c r="AW52" i="6"/>
  <c r="AW50" i="6"/>
  <c r="AW28" i="6"/>
  <c r="AW8" i="6"/>
  <c r="AW125" i="6"/>
  <c r="AW131" i="6"/>
  <c r="AW9" i="6"/>
  <c r="AW99" i="6"/>
  <c r="AW145" i="6"/>
  <c r="AW128" i="6"/>
  <c r="AW148" i="6"/>
  <c r="AW156" i="6"/>
  <c r="AW43" i="6"/>
  <c r="AW86" i="6"/>
  <c r="AW132" i="6"/>
  <c r="AW95" i="6"/>
  <c r="AW144" i="6"/>
  <c r="AW54" i="6"/>
  <c r="AW139" i="6"/>
  <c r="AW62" i="6"/>
  <c r="AW92" i="6"/>
  <c r="AW152" i="6"/>
  <c r="AW154" i="6"/>
  <c r="AW41" i="6"/>
  <c r="AW80" i="6"/>
  <c r="AW151" i="6"/>
  <c r="AW53" i="6"/>
  <c r="AW84" i="6"/>
  <c r="AW82" i="6"/>
  <c r="AW12" i="6"/>
  <c r="AW38" i="6"/>
  <c r="AW73" i="6"/>
  <c r="AW97" i="6"/>
  <c r="AW33" i="6"/>
  <c r="AW59" i="6"/>
  <c r="AW141" i="6"/>
  <c r="AW14" i="6"/>
  <c r="AW100" i="6"/>
  <c r="AW13" i="6"/>
  <c r="AW155" i="6"/>
  <c r="AW126" i="6"/>
  <c r="AW64" i="6"/>
  <c r="AW138" i="6"/>
  <c r="AW104" i="6"/>
  <c r="AW150" i="6"/>
  <c r="AW143" i="6"/>
  <c r="AW123" i="6"/>
  <c r="AW79" i="6"/>
  <c r="AW49" i="6"/>
  <c r="AW98" i="6"/>
  <c r="AW129" i="6"/>
  <c r="AW74" i="6"/>
  <c r="AW23" i="6"/>
  <c r="AW34" i="6"/>
  <c r="AW114" i="6"/>
  <c r="AW29" i="6"/>
  <c r="AW51" i="6"/>
  <c r="AW78" i="6"/>
  <c r="AW36" i="6"/>
  <c r="AW15" i="6"/>
  <c r="AW91" i="6"/>
  <c r="AW120" i="6"/>
  <c r="AW103" i="6"/>
  <c r="AW2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7" authorId="0" shapeId="0" xr:uid="{00000000-0006-0000-0500-000001000000}">
      <text>
        <r>
          <rPr>
            <sz val="10"/>
            <rFont val="Arial"/>
            <family val="2"/>
          </rPr>
          <t>¿Produce el partido / evento / pelea / espectáculo deportivo en sí mismo, ya sea jugando, organizando o ejecutando la disciplina?</t>
        </r>
      </text>
    </comment>
    <comment ref="F7" authorId="0" shapeId="0" xr:uid="{00000000-0006-0000-0500-000002000000}">
      <text>
        <r>
          <rPr>
            <sz val="10"/>
            <rFont val="Arial"/>
            <family val="2"/>
          </rPr>
          <t>¿Estructura calendario, reglas, asignación de competidores y unidad narrativa de una competición serial o torneo?</t>
        </r>
      </text>
    </comment>
    <comment ref="G7" authorId="0" shapeId="0" xr:uid="{00000000-0006-0000-0500-000003000000}">
      <text>
        <r>
          <rPr>
            <sz val="10"/>
            <rFont val="Arial"/>
            <family val="2"/>
          </rPr>
          <t>¿Controla y comercializa derechos de transmisión, patrocinio agregado o merchandising oficial del producto deportivo?</t>
        </r>
      </text>
    </comment>
    <comment ref="H7" authorId="0" shapeId="0" xr:uid="{00000000-0006-0000-0500-000004000000}">
      <text>
        <r>
          <rPr>
            <sz val="10"/>
            <rFont val="Arial"/>
            <family val="2"/>
          </rPr>
          <t>¿Establece reglas, sanciones, requisitos de afiliación o estándares deportivos vinculantes para la disciplina?</t>
        </r>
      </text>
    </comment>
    <comment ref="I7" authorId="0" shapeId="0" xr:uid="{00000000-0006-0000-0500-000005000000}">
      <text>
        <r>
          <rPr>
            <sz val="10"/>
            <rFont val="Arial"/>
            <family val="2"/>
          </rPr>
          <t>¿Tiene contrato vigente como rights holder de transmisión en vivo de un evento, liga o competición?</t>
        </r>
      </text>
    </comment>
    <comment ref="J7" authorId="0" shapeId="0" xr:uid="{00000000-0006-0000-0500-000006000000}">
      <text>
        <r>
          <rPr>
            <sz val="10"/>
            <rFont val="Arial"/>
            <family val="2"/>
          </rPr>
          <t>¿Opera canal TV, app SVOD/AVOD o canal digital propio donde controla la experiencia y monetización?</t>
        </r>
      </text>
    </comment>
    <comment ref="K7" authorId="0" shapeId="0" xr:uid="{00000000-0006-0000-0500-000007000000}">
      <text>
        <r>
          <rPr>
            <sz val="10"/>
            <rFont val="Arial"/>
            <family val="2"/>
          </rPr>
          <t>¿Produce contenido editorial original deportivo (documentales, columnas, análisis, highlights, archivo)?</t>
        </r>
      </text>
    </comment>
    <comment ref="L7" authorId="0" shapeId="0" xr:uid="{00000000-0006-0000-0500-000008000000}">
      <text>
        <r>
          <rPr>
            <sz val="10"/>
            <rFont val="Arial"/>
            <family val="2"/>
          </rPr>
          <t>¿Tiene deal vigente como sponsor (jersey, kit, naming venue, supplier oficial, presenting) de un club individual o equipo profesional?</t>
        </r>
      </text>
    </comment>
    <comment ref="M7" authorId="0" shapeId="0" xr:uid="{00000000-0006-0000-0500-000009000000}">
      <text>
        <r>
          <rPr>
            <sz val="10"/>
            <rFont val="Arial"/>
            <family val="2"/>
          </rPr>
          <t>¿Tiene deal vigente como sponsor (title, official, oficial categoría) a nivel liga, federación o selección nacional?</t>
        </r>
      </text>
    </comment>
    <comment ref="N7" authorId="0" shapeId="0" xr:uid="{00000000-0006-0000-0500-00000A000000}">
      <text>
        <r>
          <rPr>
            <sz val="10"/>
            <rFont val="Arial"/>
            <family val="2"/>
          </rPr>
          <t>¿Tiene deal vigente como sponsor (title, presenting, oficial) de un evento deportivo puntual o circuito recurrente?</t>
        </r>
      </text>
    </comment>
    <comment ref="O7" authorId="0" shapeId="0" xr:uid="{00000000-0006-0000-0500-00000B000000}">
      <text>
        <r>
          <rPr>
            <sz val="10"/>
            <rFont val="Arial"/>
            <family val="2"/>
          </rPr>
          <t>¿Tiene deal vigente como sponsor de un atleta, equipo de talento o personalidad deportiva individual?</t>
        </r>
      </text>
    </comment>
    <comment ref="P7" authorId="0" shapeId="0" xr:uid="{00000000-0006-0000-0500-00000C000000}">
      <text>
        <r>
          <rPr>
            <sz val="10"/>
            <rFont val="Arial"/>
            <family val="2"/>
          </rPr>
          <t>¿Provee consultoría estratégica deportiva a terceros como servicio comercial?</t>
        </r>
      </text>
    </comment>
    <comment ref="Q7" authorId="0" shapeId="0" xr:uid="{00000000-0006-0000-0500-00000D000000}">
      <text>
        <r>
          <rPr>
            <sz val="10"/>
            <rFont val="Arial"/>
            <family val="2"/>
          </rPr>
          <t>¿Vende derechos comerciales de terceros o monetiza inventario a nombre de propiedades terceras?</t>
        </r>
      </text>
    </comment>
    <comment ref="R7" authorId="0" shapeId="0" xr:uid="{00000000-0006-0000-0500-00000E000000}">
      <text>
        <r>
          <rPr>
            <sz val="10"/>
            <rFont val="Arial"/>
            <family val="2"/>
          </rPr>
          <t>¿Ejecuta activaciones de marca para clientes externos (sponsors o propiedades terceras)?</t>
        </r>
      </text>
    </comment>
    <comment ref="S7" authorId="0" shapeId="0" xr:uid="{00000000-0006-0000-0500-00000F000000}">
      <text>
        <r>
          <rPr>
            <sz val="10"/>
            <rFont val="Arial"/>
            <family val="2"/>
          </rPr>
          <t>¿Produce contenido o gestiona PR para clientes externos?</t>
        </r>
      </text>
    </comment>
    <comment ref="T7" authorId="0" shapeId="0" xr:uid="{00000000-0006-0000-0500-000010000000}">
      <text>
        <r>
          <rPr>
            <sz val="10"/>
            <rFont val="Arial"/>
            <family val="2"/>
          </rPr>
          <t>¿Representa atletas terceros (no atletas propios o internos)?</t>
        </r>
      </text>
    </comment>
    <comment ref="U7" authorId="0" shapeId="0" xr:uid="{00000000-0006-0000-0500-000011000000}">
      <text>
        <r>
          <rPr>
            <sz val="10"/>
            <rFont val="Arial"/>
            <family val="2"/>
          </rPr>
          <t>¿Provee servicios de medición y analytics de patrocinio a clientes externos?</t>
        </r>
      </text>
    </comment>
    <comment ref="V7" authorId="0" shapeId="0" xr:uid="{00000000-0006-0000-0500-000012000000}">
      <text>
        <r>
          <rPr>
            <sz val="10"/>
            <rFont val="Arial"/>
            <family val="2"/>
          </rPr>
          <t>¿Ejecuta operacionalmente eventos deportivos puntuales o recurrentes para cliente final fan/consumidor?</t>
        </r>
      </text>
    </comment>
    <comment ref="W7" authorId="0" shapeId="0" xr:uid="{00000000-0006-0000-0500-000013000000}">
      <text>
        <r>
          <rPr>
            <sz val="10"/>
            <rFont val="Arial"/>
            <family val="2"/>
          </rPr>
          <t>¿Opera paquetes hospitality (VIP, suites, viajes deportivos) para eventos?</t>
        </r>
      </text>
    </comment>
    <comment ref="X7" authorId="0" shapeId="0" xr:uid="{00000000-0006-0000-0500-000014000000}">
      <text>
        <r>
          <rPr>
            <sz val="10"/>
            <rFont val="Arial"/>
            <family val="2"/>
          </rPr>
          <t>¿Opera cadena de gimnasios o venues de wellness con membresía B2C?</t>
        </r>
      </text>
    </comment>
    <comment ref="Y7" authorId="0" shapeId="0" xr:uid="{00000000-0006-0000-0500-000015000000}">
      <text>
        <r>
          <rPr>
            <sz val="10"/>
            <rFont val="Arial"/>
            <family val="2"/>
          </rPr>
          <t>¿Opera multi-eventos en venues propios o concesionados, gestionando programación experiencial?</t>
        </r>
      </text>
    </comment>
    <comment ref="Z7" authorId="0" shapeId="0" xr:uid="{00000000-0006-0000-0500-000016000000}">
      <text>
        <r>
          <rPr>
            <sz val="10"/>
            <rFont val="Arial"/>
            <family val="2"/>
          </rPr>
          <t>¿Opera plataforma B2C que vende boletos directamente del rights holder al consumidor para eventos deportivos?</t>
        </r>
      </text>
    </comment>
    <comment ref="AA7" authorId="0" shapeId="0" xr:uid="{00000000-0006-0000-0500-000017000000}">
      <text>
        <r>
          <rPr>
            <sz val="10"/>
            <rFont val="Arial"/>
            <family val="2"/>
          </rPr>
          <t>¿Opera plataforma de reventa autorizada o marketplace de tickets para eventos deportivos?</t>
        </r>
      </text>
    </comment>
    <comment ref="AB7" authorId="0" shapeId="0" xr:uid="{00000000-0006-0000-0500-000018000000}">
      <text>
        <r>
          <rPr>
            <sz val="10"/>
            <rFont val="Arial"/>
            <family val="2"/>
          </rPr>
          <t>¿Licencia plataforma SaaS de ticketing a operadores externos B2B?</t>
        </r>
      </text>
    </comment>
    <comment ref="AC7" authorId="0" shapeId="0" xr:uid="{00000000-0006-0000-0500-000019000000}">
      <text>
        <r>
          <rPr>
            <sz val="10"/>
            <rFont val="Arial"/>
            <family val="2"/>
          </rPr>
          <t>¿Es propietario legal del activo físico (terreno + edificación + derechos de uso)?</t>
        </r>
      </text>
    </comment>
    <comment ref="AD7" authorId="0" shapeId="0" xr:uid="{00000000-0006-0000-0500-00001A000000}">
      <text>
        <r>
          <rPr>
            <sz val="10"/>
            <rFont val="Arial"/>
            <family val="2"/>
          </rPr>
          <t>¿Opera comercialmente el venue (programación, comercialización, ingresos), ya sea como dueño u operador concesionado?</t>
        </r>
      </text>
    </comment>
    <comment ref="AE7" authorId="0" shapeId="0" xr:uid="{00000000-0006-0000-0500-00001B000000}">
      <text>
        <r>
          <rPr>
            <sz val="10"/>
            <rFont val="Arial"/>
            <family val="2"/>
          </rPr>
          <t>¿El venue tiene calendario diversificado más allá del deporte (conciertos, corporativos), siendo ingreso no-deportivo significativo?</t>
        </r>
      </text>
    </comment>
    <comment ref="AF7" authorId="0" shapeId="0" xr:uid="{00000000-0006-0000-0500-00001C000000}">
      <text>
        <r>
          <rPr>
            <sz val="10"/>
            <rFont val="Arial"/>
            <family val="2"/>
          </rPr>
          <t>¿Opera plataforma de apuestas deportivas o producto fintech especializado en deporte (B2C principalmente)?</t>
        </r>
      </text>
    </comment>
    <comment ref="AG7" authorId="0" shapeId="0" xr:uid="{00000000-0006-0000-0500-00001D000000}">
      <text>
        <r>
          <rPr>
            <sz val="10"/>
            <rFont val="Arial"/>
            <family val="2"/>
          </rPr>
          <t>¿Provee data, analytics o tech de broadcasting como servicio B2B a operadores deportivos?</t>
        </r>
      </text>
    </comment>
    <comment ref="AH7" authorId="0" shapeId="0" xr:uid="{00000000-0006-0000-0500-00001E000000}">
      <text>
        <r>
          <rPr>
            <sz val="10"/>
            <rFont val="Arial"/>
            <family val="2"/>
          </rPr>
          <t>¿Opera tecnología embebida en la experiencia del fan dentro del venue (AR, publicidad virtual, IoT) o plataformas de fan engagement deportivo?</t>
        </r>
      </text>
    </comment>
    <comment ref="AI7" authorId="0" shapeId="0" xr:uid="{00000000-0006-0000-0500-00001F000000}">
      <text>
        <r>
          <rPr>
            <sz val="10"/>
            <rFont val="Arial"/>
            <family val="2"/>
          </rPr>
          <t>¿Pone capital con posición de control mayoritario (más de 50%) sobre propiedades deportivas, directamente o vía vehículo?</t>
        </r>
      </text>
    </comment>
    <comment ref="AJ7" authorId="0" shapeId="0" xr:uid="{00000000-0006-0000-0500-000020000000}">
      <text>
        <r>
          <rPr>
            <sz val="10"/>
            <rFont val="Arial"/>
            <family val="2"/>
          </rPr>
          <t>¿Pone capital con posición minoritaria (menos del 50%) y participación en gobernanza o estratégica activa?</t>
        </r>
      </text>
    </comment>
    <comment ref="AK7" authorId="0" shapeId="0" xr:uid="{00000000-0006-0000-0500-000021000000}">
      <text>
        <r>
          <rPr>
            <sz val="10"/>
            <rFont val="Arial"/>
            <family val="2"/>
          </rPr>
          <t>¿Opera estructuralmente la búsqueda y ejecución de inversiones deportivas como modelo principal de generación de valor (PE deportivo dedicado, fondo deportivo)?</t>
        </r>
      </text>
    </comment>
  </commentList>
</comments>
</file>

<file path=xl/sharedStrings.xml><?xml version="1.0" encoding="utf-8"?>
<sst xmlns="http://schemas.openxmlformats.org/spreadsheetml/2006/main" count="17128" uniqueCount="4260">
  <si>
    <t>Mapa del Ecosistema Deportivo Mexicano 2026</t>
  </si>
  <si>
    <t>v1.00.31</t>
  </si>
  <si>
    <t>PANEL EJECUTIVO · Vista de navegación rápida del workbook</t>
  </si>
  <si>
    <t>Playbook Sports Intelligence · Confidencial</t>
  </si>
  <si>
    <t>Panorama del universo</t>
  </si>
  <si>
    <t>110</t>
  </si>
  <si>
    <t>114</t>
  </si>
  <si>
    <t>263</t>
  </si>
  <si>
    <t>ACTORES ACTIVOS</t>
  </si>
  <si>
    <t>TIER 1 + TIER 2</t>
  </si>
  <si>
    <t>RELACIONES</t>
  </si>
  <si>
    <t>POIS</t>
  </si>
  <si>
    <t>149 totales · 2 desactivados</t>
  </si>
  <si>
    <t>51 Tier 1 · 63 Tier 2</t>
  </si>
  <si>
    <t>en Mapa de Conexiones</t>
  </si>
  <si>
    <t>9</t>
  </si>
  <si>
    <t>33</t>
  </si>
  <si>
    <t>22</t>
  </si>
  <si>
    <t>VERTICALES</t>
  </si>
  <si>
    <t>SUBCAPACIDADES</t>
  </si>
  <si>
    <t>REGLAS VIGENTES</t>
  </si>
  <si>
    <t>en matriz Amplitud Funcional</t>
  </si>
  <si>
    <t>Navegar por vertical</t>
  </si>
  <si>
    <t>Cada vertical abre su ficha detallada. Click en el número con flecha para navegar.</t>
  </si>
  <si>
    <t>V1</t>
  </si>
  <si>
    <t>Rights Owners</t>
  </si>
  <si>
    <t>51 →</t>
  </si>
  <si>
    <t>V2</t>
  </si>
  <si>
    <t>Media &amp; Distribution</t>
  </si>
  <si>
    <t>23 →</t>
  </si>
  <si>
    <t>V3</t>
  </si>
  <si>
    <t>Commercialization</t>
  </si>
  <si>
    <t>29 →</t>
  </si>
  <si>
    <t>Quien controla los derechos primarios de una competición o evento serial</t>
  </si>
  <si>
    <t>Quien empaqueta y distribuye contenido deportivo</t>
  </si>
  <si>
    <t>Sponsors y marcas que monetizan el deporte</t>
  </si>
  <si>
    <t>V4</t>
  </si>
  <si>
    <t>Agencies &amp; Talent</t>
  </si>
  <si>
    <t>16 →</t>
  </si>
  <si>
    <t>V5</t>
  </si>
  <si>
    <t>Events &amp; Experiences</t>
  </si>
  <si>
    <t>24 →</t>
  </si>
  <si>
    <t>V6</t>
  </si>
  <si>
    <t>Ticketing &amp; Access</t>
  </si>
  <si>
    <t>19 →</t>
  </si>
  <si>
    <t>Agencias de representación, marketing deportivo, hospitality B2B</t>
  </si>
  <si>
    <t>Operadores de eventos masivos y experiencias deportivas</t>
  </si>
  <si>
    <t>Plataformas de boleteo primario y Fan ID</t>
  </si>
  <si>
    <t>V7</t>
  </si>
  <si>
    <t>Infrastructure</t>
  </si>
  <si>
    <t>27 →</t>
  </si>
  <si>
    <t>V8</t>
  </si>
  <si>
    <t>Sports Tech &amp; Data</t>
  </si>
  <si>
    <t>18 →</t>
  </si>
  <si>
    <t>V9</t>
  </si>
  <si>
    <t>Capital &amp; Investment</t>
  </si>
  <si>
    <t>22 →</t>
  </si>
  <si>
    <t>Venues, estadios, arenas con valor estratégico</t>
  </si>
  <si>
    <t>Tecnología B2B aplicada al deporte: data, analytics, SaaS</t>
  </si>
  <si>
    <t>Capital deportivo: PE, family offices, fondos</t>
  </si>
  <si>
    <t>Top 15 actores · Score Compuesto</t>
  </si>
  <si>
    <t>Combinación 50/50 de Amplitud (presencia cross-vertical) y Profundidad (densidad por vertical activa). Tier 1 resaltado en ámbar.</t>
  </si>
  <si>
    <t>#</t>
  </si>
  <si>
    <t>Actor</t>
  </si>
  <si>
    <t>Tier</t>
  </si>
  <si>
    <t>Vert.</t>
  </si>
  <si>
    <t>Tipo Capacidad</t>
  </si>
  <si>
    <t>Ampl.</t>
  </si>
  <si>
    <t>Comp.</t>
  </si>
  <si>
    <t>A-035  Endeavor / WME Group</t>
  </si>
  <si>
    <t>T1</t>
  </si>
  <si>
    <t>Multi-cap.</t>
  </si>
  <si>
    <t>A-044  FEMSA / Club de Fútbol Monterrey Rayados</t>
  </si>
  <si>
    <t>A-020  CIE / OCESA (V5 Experiencias)</t>
  </si>
  <si>
    <t>A-043  Federación Mexicana de Fútbol</t>
  </si>
  <si>
    <t>Especialista</t>
  </si>
  <si>
    <t>A-084  Liga MX</t>
  </si>
  <si>
    <t>A-104  Octagon</t>
  </si>
  <si>
    <t>T2</t>
  </si>
  <si>
    <t>A-059  Grupo Martí / Familia Harp Helú</t>
  </si>
  <si>
    <t>A-025  Consejo Mundial de Lucha Libre (CMLL)</t>
  </si>
  <si>
    <t>A-083  Liga Mexicana del Pacífico (LMP)</t>
  </si>
  <si>
    <t>A-151  Liga BBVA MX Femenil</t>
  </si>
  <si>
    <t>A-071  HG Promotores en Deporte y Entretenimiento</t>
  </si>
  <si>
    <t>T3</t>
  </si>
  <si>
    <t>A-085  LIV Golf League (Mexico City)</t>
  </si>
  <si>
    <t>A-146  Wasserman / THE·TEAM México</t>
  </si>
  <si>
    <t>A-061  Grupo Omnilife / Amaury Vergara / Chivas</t>
  </si>
  <si>
    <t>A-105  Ollamani, S.A.B. / Grupo Águilas (Club América + Estadi</t>
  </si>
  <si>
    <t>→  Ranking completo de los 151 actores en hoja AMPLITUD FUNCIONAL</t>
  </si>
  <si>
    <t>Índice del workbook</t>
  </si>
  <si>
    <t>Acceso directo a cada hoja del libro con descripción de qué contiene.</t>
  </si>
  <si>
    <t>Hoja</t>
  </si>
  <si>
    <t>Contenido</t>
  </si>
  <si>
    <t>Tipo</t>
  </si>
  <si>
    <t>UNIVERSO MAESTRO</t>
  </si>
  <si>
    <t>Catálogo principal de 151 actores con ficha completa</t>
  </si>
  <si>
    <t>Master · 23 columnas por actor</t>
  </si>
  <si>
    <t>AMPLITUD FUNCIONAL</t>
  </si>
  <si>
    <t>Matriz 151 × 33 subcaps con scores Vx, Amplitud, Profundidad y Compuesto</t>
  </si>
  <si>
    <t>Scoring</t>
  </si>
  <si>
    <t>MAPA DE CONEXIONES</t>
  </si>
  <si>
    <t>263 relaciones tipo A→B (Sponsorship, Inst., Data, Rights, Venue, Ticketing)</t>
  </si>
  <si>
    <t>Relaciones</t>
  </si>
  <si>
    <t>POI MAESTRO</t>
  </si>
  <si>
    <t>160 personas físicas relevantes vinculadas a actores</t>
  </si>
  <si>
    <t>POIs</t>
  </si>
  <si>
    <t>PIEDRAS ANGULARES</t>
  </si>
  <si>
    <t>Los 10 mandamientos del Mapa: filosofía que precede a las reglas operativas</t>
  </si>
  <si>
    <t>Filosofía</t>
  </si>
  <si>
    <t>REGLAS METODOLÓGICAS</t>
  </si>
  <si>
    <t>22 reglas que gobiernan inclusión, absorción, scoring y herencia</t>
  </si>
  <si>
    <t>Metodología</t>
  </si>
  <si>
    <t>CLUSTERS EJECUTIVOS</t>
  </si>
  <si>
    <t>7 agrupaciones temáticas con actor central, conexiones e insight</t>
  </si>
  <si>
    <t>Síntesis</t>
  </si>
  <si>
    <t>DICCIONARIO</t>
  </si>
  <si>
    <t>Catálogo de 38 campos del workbook: una fuente de verdad por concepto</t>
  </si>
  <si>
    <t>Referencia</t>
  </si>
  <si>
    <t>CHANGELOG</t>
  </si>
  <si>
    <t>Trazabilidad versionada de cada cambio desde v1.00 hasta v1.00.31</t>
  </si>
  <si>
    <t>Auditoría</t>
  </si>
  <si>
    <t>FICHAS_V1 a V9</t>
  </si>
  <si>
    <t>Vista por vertical: cada actor con presencia en la vertical, ordenado por Score</t>
  </si>
  <si>
    <t>229 fichas</t>
  </si>
  <si>
    <t>Buscar y filtrar actores</t>
  </si>
  <si>
    <t>La hoja _DASH_DATA contiene una tabla nativa con los 151 actores y filtros por columna. Filtra por Tier, Vertical, Tipo, Tipo de Capacidad o cualquier campo. Ordena por Score Compuesto, Amplitud o Profundidad.</t>
  </si>
  <si>
    <t>→  Abrir tabla filtrable de actores  (_DASH_DATA)</t>
  </si>
  <si>
    <t>Click en cualquier dropdown del header de la tabla para filtrar.</t>
  </si>
  <si>
    <t>Playbook Sports Intelligence  ·  v1.00.31  ·  Confidencial · Uso interno</t>
  </si>
  <si>
    <t>Los 10 mandamientos del Mapa</t>
  </si>
  <si>
    <t>Por qué hacemos esto y qué NO somos. Esto antecede a las 22 reglas metodológicas: las reglas operativas se derivan de aquí.</t>
  </si>
  <si>
    <t>01</t>
  </si>
  <si>
    <t>Un mapa, no un censo</t>
  </si>
  <si>
    <t>R-08, S-01, S-02</t>
  </si>
  <si>
    <t>Incluimos lo que mueve la aguja, no todo lo que existe.</t>
  </si>
  <si>
    <t>El universo no es exhaustivo. Cada actor cargado tiene que justificar su lugar con señal estratégica diferenciada. Si quitarlo no cambia la lectura del ecosistema, no entra.</t>
  </si>
  <si>
    <t>02</t>
  </si>
  <si>
    <t>Estructural sobre opinático</t>
  </si>
  <si>
    <t>M-AF-01 a M-AF-19</t>
  </si>
  <si>
    <t>Cada actor se evalúa por lo que hace, no por lo que dice que hace.</t>
  </si>
  <si>
    <t>03</t>
  </si>
  <si>
    <t>Capacidad operativa, no facturación</t>
  </si>
  <si>
    <t>AMPLITUD FUNCIONAL completa</t>
  </si>
  <si>
    <t>El score mide qué puede hacer un actor, no cuánto factura ni cuánto vale.</t>
  </si>
  <si>
    <t>No es un ranking financiero. Endeavor y FEMSA empatan en Score Compuesto (0.781) aunque sus revenues son muy distintos. La pregunta del score es: "¿qué cosas puede ejecutar este actor en el ecosistema?", no "¿cuánto dinero mueve?".</t>
  </si>
  <si>
    <t>04</t>
  </si>
  <si>
    <t>Una sola línea de propiedad</t>
  </si>
  <si>
    <t>R-01, R-12, R-13, M-AF-01</t>
  </si>
  <si>
    <t>Si el padre está mapeado, el hijo se hereda. No duplicamos.</t>
  </si>
  <si>
    <t>Cuando un club, equipo o activo es 100% propiedad de un holding mapeado, no se carga como actor standalone. Su capacidad se hereda al padre y su identidad se preserva en Productos/Propiedades y Notas. Esto evita un universo inflado (Rayados no aparece 3 veces: como club, como FEMSA, como Estadio BBVA).</t>
  </si>
  <si>
    <t>05</t>
  </si>
  <si>
    <t>Doble eje obligatorio</t>
  </si>
  <si>
    <t>AMPLITUD FUNCIONAL · cols Amplitud, Profundidad, Compuesto</t>
  </si>
  <si>
    <t>Amplitud y Profundidad valen lo mismo. Ni holdings diversificados ni especialistas verticales dominan solos.</t>
  </si>
  <si>
    <t>06</t>
  </si>
  <si>
    <t>Las relaciones tienen dirección</t>
  </si>
  <si>
    <t>M-01, REL-01 a REL-03</t>
  </si>
  <si>
    <t>A→B describe quién hace qué a quién. No son grafos simétricos por default.</t>
  </si>
  <si>
    <t>En Sponsorship, A es la marca y B la propiedad esponsoreada. En Ownership, A es el padre y B el hijo. En Rights/Media, A es el rights holder y B el broadcaster. La direccionalidad cambia la lectura: invertirla puede cambiar el sentido del cluster. Solo las membresías simétricas (JVs) usan A↔B.</t>
  </si>
  <si>
    <t>07</t>
  </si>
  <si>
    <t>Trazabilidad sobre conclusión</t>
  </si>
  <si>
    <t>CHANGELOG · REGLAS METODOLÓGICAS · campo Fuente en MC</t>
  </si>
  <si>
    <t>Cada celda se justifica. Cada cambio queda en CHANGELOG.</t>
  </si>
  <si>
    <t>08</t>
  </si>
  <si>
    <t>El mapa es un sistema vivo</t>
  </si>
  <si>
    <t>CHANGELOG · campo Notas de propiedad</t>
  </si>
  <si>
    <t>Cada versión es snapshot, no verdad eterna. La validez depende de la fecha.</t>
  </si>
  <si>
    <t>En 2025-2026 el ecosistema cambió más que en los 10 años anteriores: General Atlantic entró a Ollamani, Apollo cerró Atlético Madrid, 4 clubes Liga MX cambiaron de dueño, Wasserman se rebrandeó a THE·TEAM. Un mapa "para siempre" sería un mapa falso. La versión vigente al cierre de v1.00.30 es la verdad del 11 de mayo de 2026, no la del próximo trimestre.</t>
  </si>
  <si>
    <t>09</t>
  </si>
  <si>
    <t>Verificación antes de elegancia</t>
  </si>
  <si>
    <t>campo Certeza · M-AF-19</t>
  </si>
  <si>
    <t>Una fuente única es flag amarillo, no celda lista.</t>
  </si>
  <si>
    <t>10</t>
  </si>
  <si>
    <t>Inteligencia accionable, no decoración</t>
  </si>
  <si>
    <t>Toda la arquitectura del workbook</t>
  </si>
  <si>
    <t>Cada deliverable existe porque cambia una decisión.</t>
  </si>
  <si>
    <t>Las 22 reglas metodológicas de operación se derivan de estos 10 principios. Si una regla nueva contradice un mandamiento, el mandamiento gana. Si dos mandamientos parecen contradecirse, gana el de menor número.</t>
  </si>
  <si>
    <t>◼ PLAYBOOK</t>
  </si>
  <si>
    <t>Playbook Sports Intelligence</t>
  </si>
  <si>
    <t>Base de datos canónica de actores · Una fila por actor activo · Fuente de verdad del workbook</t>
  </si>
  <si>
    <t>Playbook_Mapeo_v1.00.xlsx · Mapa del Ecosistema Deportivo Mexicano 2026 · CONFIDENCIAL · Uso interno</t>
  </si>
  <si>
    <t>ID Maestro</t>
  </si>
  <si>
    <t>ID Vertical</t>
  </si>
  <si>
    <t>Nombre del actor</t>
  </si>
  <si>
    <t>Vertical primaria</t>
  </si>
  <si>
    <t>Etiquetas secundarias</t>
  </si>
  <si>
    <t>Tipo de actor</t>
  </si>
  <si>
    <t>País de origen</t>
  </si>
  <si>
    <t>Ciudad / base operativa MX</t>
  </si>
  <si>
    <t>Función comercial principal</t>
  </si>
  <si>
    <t>Segmento deportivo prioritario</t>
  </si>
  <si>
    <t>Qué hace realmente</t>
  </si>
  <si>
    <t>Por qué importa</t>
  </si>
  <si>
    <t>Known For</t>
  </si>
  <si>
    <t>Productos / propiedades</t>
  </si>
  <si>
    <t>Notas de propiedad</t>
  </si>
  <si>
    <t>Sitio web</t>
  </si>
  <si>
    <t>Nivel de certeza</t>
  </si>
  <si>
    <t>Visualizable en mapa ejecutivo</t>
  </si>
  <si>
    <t>A-001</t>
  </si>
  <si>
    <t>V3-001</t>
  </si>
  <si>
    <t>adidas</t>
  </si>
  <si>
    <t>V1 · V3</t>
  </si>
  <si>
    <t>Marca / Sponsor corporativo</t>
  </si>
  <si>
    <t>Tier 1</t>
  </si>
  <si>
    <t>Alemania</t>
  </si>
  <si>
    <t>Ciudad de México (operación MX)</t>
  </si>
  <si>
    <t>Pone dinero</t>
  </si>
  <si>
    <t>Fútbol</t>
  </si>
  <si>
    <t>El deal FMF-Adidas (USD 290M/10 años) es el contrato de kit más grande de la historia del fútbol mexicano.</t>
  </si>
  <si>
    <t>Kit FMF hasta 2034 (monto no confirmado oficialmente; reportado por fuentes secundarias); reemplazó a Nike en Club América jul-2025; kit Tigres UANL</t>
  </si>
  <si>
    <t>adidas.com.mx</t>
  </si>
  <si>
    <t>Fuente única</t>
  </si>
  <si>
    <t>A-002</t>
  </si>
  <si>
    <t>V8-001</t>
  </si>
  <si>
    <t>Akta Cloud Video Platform</t>
  </si>
  <si>
    <t>Plataforma streaming</t>
  </si>
  <si>
    <t>EUA</t>
  </si>
  <si>
    <t>Sin base operativa permanente MX — plataforma cloud que opera ViX (TelevisaUnivision)</t>
  </si>
  <si>
    <t>Controla data</t>
  </si>
  <si>
    <t>Plataforma turnkey OTT que opera AVOD, SVOD, Live, FAST, ingesta, programación de canales, dynamic ad insertion y DRM para ViX (TelevisaUnivision). Comunicado oficial octubre 2023. Es el stack real de streaming de Liga MX en TelevisaUnivision/ViX. Construido en 9 meses con ~150 ingenieros y Google Cloud bajo arquitecto Michael Cerda.</t>
  </si>
  <si>
    <t>Es el stack OTT real de Liga MX en ViX; su elección por TelevisaUnivision sobre Deltatre (ausente en México) define la arquitectura de streaming del fútbol mexicano.</t>
  </si>
  <si>
    <t>Stack OTT real de ViX (Liga MX streaming) · Construido en 9 meses con ~150 ingenieros · Refuta hipótesis Deltatre en México</t>
  </si>
  <si>
    <t>akta.tech</t>
  </si>
  <si>
    <t>Verificado</t>
  </si>
  <si>
    <t>A-003</t>
  </si>
  <si>
    <t>V3-002</t>
  </si>
  <si>
    <t>Amazon / AWS</t>
  </si>
  <si>
    <t>V1 · V2</t>
  </si>
  <si>
    <t>Tier 2</t>
  </si>
  <si>
    <t>Ciudad de México</t>
  </si>
  <si>
    <t>Primer triple deal de tech giant en el ecosistema deportivo mexicano: patrocinio simultáneo de la Selección Mexicana, Liga MX y Liga MX Femenil desde mar-2025. Combinado con Amazon Prime Video como broadcaster exclusivo de Chivas.</t>
  </si>
  <si>
    <t>Amazon inauguró la era del tech-as-sponsor en el ecosistema deportivo mexicano. La doble presencia (sponsor + broadcaster) en Chivas y Selección es el modelo más integrado del mercado.</t>
  </si>
  <si>
    <t>Triple deal Tri + Liga MX + Liga MX Femenil (mar-2025); primer tech giant sponsor ecosistema MX; doble rol sponsor+broadcaster</t>
  </si>
  <si>
    <t>amazon.com.mx · aws.amazon.com</t>
  </si>
  <si>
    <t>A-004</t>
  </si>
  <si>
    <t>V2-001</t>
  </si>
  <si>
    <t>Amazon Prime Video</t>
  </si>
  <si>
    <t>Controla audiencia</t>
  </si>
  <si>
    <t>Primer OTT global con acuerdo exclusivo de un club Liga MX. También firmó triple deal de patrocinio (Tri + Liga MX + Liga MX Femenil) desde mar-2025 vía Amazon/AWS. NBA y NFL TNF en Prime Video México.</t>
  </si>
  <si>
    <t>El acuerdo Chivas-Amazon reescribió el modelo de broadcasting local y fijó un benchmark que presiona al alza todos los contratos club-por-club. El triple deal de patrocinio inauguró la era del tech-as-sponsor en el ecosistema.</t>
  </si>
  <si>
    <t>Primer OTT global exclusivo con club Liga MX (Chivas USD 20M/4 años); triple patrocinio Tri+Liga MX+Femenil; NBA+NFL TNF</t>
  </si>
  <si>
    <t>primevideo.com</t>
  </si>
  <si>
    <t>A-005</t>
  </si>
  <si>
    <t>V9-001</t>
  </si>
  <si>
    <t>Apollo Sports Capital</t>
  </si>
  <si>
    <t>V1 · V9</t>
  </si>
  <si>
    <t>Private equity / Fondo de inversión</t>
  </si>
  <si>
    <t>Sin base operativa MX directa</t>
  </si>
  <si>
    <t>Controla propiedad / capital</t>
  </si>
  <si>
    <t>Su posición en Atlético de San Luis es la única exposición de PE global de gran formato en un club de Liga MX a través de control accionario (no deal de comercialización). Define el precedente de propiedad indirecta transnacional en el ecosistema.</t>
  </si>
  <si>
    <t>Apollo Sports Capital (fondo de Apollo Global Management $6B) · Atlético de Madrid mayoritario (cerrado mar-2026, USD ~900M+) · Atlético San Luis MX (vía Madrid) · Atlético Ottawa (Canadá) · Pickleball Inc / Major League Pickleball + PPA Tour (USD 225M may-2026) · Relevent Sports (vía co-inversión Stephen Ross)</t>
  </si>
  <si>
    <t>Atlético San Luis · 'La Comercializadora' — Proyecto Apollo + NFL</t>
  </si>
  <si>
    <t>apollo.com</t>
  </si>
  <si>
    <t>A-006</t>
  </si>
  <si>
    <t>V2-002</t>
  </si>
  <si>
    <t>Apple TV (Leagues Cup MLS-Liga MX)</t>
  </si>
  <si>
    <t>V1 · V4</t>
  </si>
  <si>
    <t>Sin base operativa permanente MX</t>
  </si>
  <si>
    <t>Broadcaster exclusivo de la Leagues Cup (torneo MLS vs Liga MX) en EE.UU. y México desde 2023. Apple TV capturó el torneo crossborder más relevante del fútbol norteamericano. Modelo de suscripción sin publicidad.</t>
  </si>
  <si>
    <t>La Leagues Cup bajo Apple TV representa el primer acuerdo de gran escala de un tech giant en el fútbol de liga de la región. El acceso bajo paywall fragmenta la audiencia del torneo más relevante del fútbol binacional.</t>
  </si>
  <si>
    <t>Broadcaster exclusivo Leagues Cup MLS-Liga MX; tech giant en fútbol binacional norteamericano</t>
  </si>
  <si>
    <t>tv.apple.com</t>
  </si>
  <si>
    <t>A-007</t>
  </si>
  <si>
    <t>V5-001</t>
  </si>
  <si>
    <t>ASdeporte (Asdeporte SA de CV)</t>
  </si>
  <si>
    <t>V1 · V6</t>
  </si>
  <si>
    <t>Operador de eventos / experiencias</t>
  </si>
  <si>
    <t>México</t>
  </si>
  <si>
    <t>Controla experiencia</t>
  </si>
  <si>
    <t>Running / Wellness</t>
  </si>
  <si>
    <t>Dos funciones simultáneas: (1) rights holder de eventos propios: ASTri Veracruz (triatlón más grande de LATAM), Circuito de las Estaciones, L'Etape México by Tour de France, Woman Up, Tune Up, 3Kids; (2) operador logístico de franquicias globales: Rock'n'Roll Mexico City para The IRONMAN Group. Plataforma digital propia con más de 1 millón de usuarios registrados, app, membresía Plus y sistema de inscripciones.</t>
  </si>
  <si>
    <t>Mayor organizador privado de Running/Wellness en México por volumen (90,000+ atletas/año). Nodo operativo indispensable para franquicias globales de endurance: Rock'n'Roll, IRONMAN, Spartan Race no operan en México sin infraestructura local de ASdeporte.</t>
  </si>
  <si>
    <t>ASTri Veracruz (triatlón más grande de LATAM); Rock'n'Roll Mexico City (operador local de The IRONMAN Group); L'Etape México by Tour de France; 1 millón+ usuarios registrados; 90,000+ atletas/año</t>
  </si>
  <si>
    <t>Rock'n'Roll Mexico City Running Series · Spartan Race México · IRONMAN México (Cozumel + Campeche) · Barbie Run México</t>
  </si>
  <si>
    <t>Operador líder de eventos running y obstacle course en México. Maneja licencias internacionales (Rock'n'Roll, Spartan, IRONMAN) bajo arrangements regionales.</t>
  </si>
  <si>
    <t>asdeporte.com</t>
  </si>
  <si>
    <t>Conflicto de interés documentado (Vice, Proceso oct-2025): fundadores Antonio y David Álvarez Martínez son accionistas de ASdeporte y tuvieron roles directivos en la Federación Mexicana de Triatlón (FMTri), que contrató a ASdeporte con recursos públicos (MXN 15.8M, 2011-2015).</t>
  </si>
  <si>
    <t>A-008</t>
  </si>
  <si>
    <t>V3-003</t>
  </si>
  <si>
    <t>AT&amp;T México</t>
  </si>
  <si>
    <t>EUA / México</t>
  </si>
  <si>
    <t>Patrocinador de telecomunicaciones exclusivo de la Selección Mexicana desde 2019 hasta 2027. En proceso de venta corporativa de AT&amp;T México. La transacción puede impactar la continuidad del deal con la FMF post-2027. Adicionalmente: proveedor venue WC26 (función V8 secundaria de telecom para sedes mundialistas).</t>
  </si>
  <si>
    <t>El deal AT&amp;T-Selección (exclusivo telecom hasta 2027) es el contrato de telecomunicaciones más relevante del ecosistema. La venta corporativa de AT&amp;T México introduce incertidumbre sobre su continuidad post-2027.</t>
  </si>
  <si>
    <t>Telecom exclusivo Selección Mexicana 2019-2027; proceso venta corporativa AT&amp;T México</t>
  </si>
  <si>
    <t>att.com.mx</t>
  </si>
  <si>
    <t>En proceso de venta corporativa de AT&amp;T México. La transacción puede impactar el deal con la Selección post-2027.</t>
  </si>
  <si>
    <t>A-009</t>
  </si>
  <si>
    <t>V3-004</t>
  </si>
  <si>
    <t>Banorte / Grupo Financiero Banorte</t>
  </si>
  <si>
    <t>V7 · V9</t>
  </si>
  <si>
    <t>Monterrey, NL / Ciudad de México</t>
  </si>
  <si>
    <t>Multideporte</t>
  </si>
  <si>
    <t>Rebautizó el Estadio Azteca como Estadio Banorte combinando deuda estructurada (MXN 2,100M + MXN 468M IVA = MXN 2,568M a 12 años) con naming rights. NFL México City Games presenting partner 2016-2028. Socio LGCT México.</t>
  </si>
  <si>
    <t>La operación Banorte-Ollamani es la más sofisticada del ecosistema: naming del estadio más icónico + deuda estructurada + presenting NFL México. Sin equivalente en el mercado mexicano. Inversión estimada &gt;USD 30-50M anuales.</t>
  </si>
  <si>
    <t>Naming Estadio Banorte (histórico ex-Azteca); deuda MXN 2,568M con Ollamani; presenting NFL México City Games</t>
  </si>
  <si>
    <t>banorte.com</t>
  </si>
  <si>
    <t>Durante WC26 el Estadio se llama 'Estadio Ciudad de México' (reglas FIFA). Banorte pierde visibilidad de naming en el evento de mayor audiencia. | RENOVACIÓN BBVA jul-2025: plausible y consistente con ciclo Mundial, pero comunicados oficiales verificables más recientes alcanzan el ciclo 2026-27. Confirmar internamente con BBVA México antes de circular externamente.</t>
  </si>
  <si>
    <t>A-010</t>
  </si>
  <si>
    <t>V3-005</t>
  </si>
  <si>
    <t>BBVA México</t>
  </si>
  <si>
    <t>V7 · V1</t>
  </si>
  <si>
    <t>Otros</t>
  </si>
  <si>
    <t>Financia la visibilidad de marca más transversal del fútbol mexicano: title de Liga BBVA MX (varonil, femenil y Expansión desde 2016), naming del Estadio BBVA de Rayados (desde 2015), jersey sponsor de Rayados. Doble renovación en jul-2025.</t>
  </si>
  <si>
    <t>Único patrocinador con naming simultáneo de liga y estadio. Estrategia declarada: 'banco del deporte'. Doble renovación jul-2025: Liga MX hasta 2028, Estadio BBVA hasta 2030. Inversión deportiva estimada USD 35-55M anuales.</t>
  </si>
  <si>
    <t>Title Liga BBVA MX (varonil+femenil+Expansión) desde 2016; naming Estadio BBVA hasta 2030; doble renovación jul-2025</t>
  </si>
  <si>
    <t>bbva.mx</t>
  </si>
  <si>
    <t>A-011</t>
  </si>
  <si>
    <t>V2-003</t>
  </si>
  <si>
    <t>Better Collective / Futbol Sites / Bolavip</t>
  </si>
  <si>
    <t>V2 · V4</t>
  </si>
  <si>
    <t>Medio digital deportivo</t>
  </si>
  <si>
    <t>Tier 3</t>
  </si>
  <si>
    <t>Ciudad de México / Buenos Aires</t>
  </si>
  <si>
    <t>Better Collective adquirió Futbol Sites (que incluye Bolavip, Transfermarkt LatAm, y otros portales nativos digitales) para construir la mayor red de media deportiva nativa digital de LatAm. Bolavip como portal de contenido fútbol en español.</t>
  </si>
  <si>
    <t>Único nativo digital con escala industrial en LatAm. La integración Better Collective-Futbol Sites crea el mayor portafolio de media deportiva digital en español de la región.</t>
  </si>
  <si>
    <t>Único nativo digital escala industrial LatAm; Better Collective (BETCO) dueño; Bolavip + Futbol Sites</t>
  </si>
  <si>
    <t>bolavip.com · bettercollective.com</t>
  </si>
  <si>
    <t>A-012</t>
  </si>
  <si>
    <t>V3-006</t>
  </si>
  <si>
    <t>Bimbo</t>
  </si>
  <si>
    <t>Regresó al jersey del Club América para la temporada 2025-26 después de una pausa. Sponsor histórico del fútbol mexicano.</t>
  </si>
  <si>
    <t>El regreso de Bimbo al jersey del América es la señal más clara del incremento del inventario comercial del activo post-General Atlantic. Bimbo es un sponsor con historial de largo plazo en el ecosistema.</t>
  </si>
  <si>
    <t>Regreso jersey Club América 2025-26; sponsor histórico fútbol mexicano; mayor panificadora del mundo</t>
  </si>
  <si>
    <t>grupobimbo.com</t>
  </si>
  <si>
    <t>A-013</t>
  </si>
  <si>
    <t>V6-001</t>
  </si>
  <si>
    <t>Boletomóvil</t>
  </si>
  <si>
    <t>Plataforma ticketing primaria</t>
  </si>
  <si>
    <t>Guadalajara / Sinaloa (sede) · CDMX (operación nacional)</t>
  </si>
  <si>
    <t>Controla acceso</t>
  </si>
  <si>
    <t>Boletera oficial del Estadio Akron (Chivas), Estadio Universitario El Volcán (Tigres UANL) y Pachuca FC, entre otros clubes Liga MX y Liga Mexicana de Béisbol. Gestiona venta en línea, taquilla y control de acceso con QR. Opera el mercado secundario regulado para Chivas.</t>
  </si>
  <si>
    <t>Es el contrapeso real de Ticketmaster en el fútbol mexicano fuera del eje Ollamani; al controlar Chivas y Tigres opera dos de los cuatro equipos con mayor ingreso por gate receipts del país y es boletera primaria del Estadio Akron (sede de 4 partidos del Mundial 2026).</t>
  </si>
  <si>
    <t>Boletera exclusiva Chivas (Estadio Akron WC26) y Tigres · Único mercado secundario oficial bajo paraguas propio · &gt;3,500 eventos/año</t>
  </si>
  <si>
    <t>boletomovil.com</t>
  </si>
  <si>
    <t>A-014</t>
  </si>
  <si>
    <t>V2-004</t>
  </si>
  <si>
    <t>Box to Box Films (LATAM operations)</t>
  </si>
  <si>
    <t>Productora de contenido deportivo</t>
  </si>
  <si>
    <t>Reino Unido</t>
  </si>
  <si>
    <t>Londres + MX (LATAM)</t>
  </si>
  <si>
    <t>Productora detrás de F1 Drive to Survive. Partnership exclusivo mundial con Canelo Media.</t>
  </si>
  <si>
    <t>Definió el storytelling sports moderno. Trae estándar premium a LATAM via Canelo Media.</t>
  </si>
  <si>
    <t>Drive to Survive (F1, Netflix) · Six Nations: Full Contact (rugby) · Sprint (atletismo) · The Test (cricket) · Operaciones LATAM con producción deportiva premium · Acuerdos con F1 y otras propiedades</t>
  </si>
  <si>
    <t xml:space="preserve"> [v1.00.29: productora docu-series deportivas estilo "Drive to Survive". Ampliando operaciones LATAM con foco MX como mercado emisor + sede de eventos F1.]</t>
  </si>
  <si>
    <t>boxtoboxfilms.com</t>
  </si>
  <si>
    <t>A-015</t>
  </si>
  <si>
    <t>V4-001</t>
  </si>
  <si>
    <t>CAA Sports México</t>
  </si>
  <si>
    <t>Agencia full-service</t>
  </si>
  <si>
    <t>Intermedia dinero</t>
  </si>
  <si>
    <t>Desactivado</t>
  </si>
  <si>
    <t>No</t>
  </si>
  <si>
    <t>A-016</t>
  </si>
  <si>
    <t>V1-001</t>
  </si>
  <si>
    <t>Canelo Promotions / Saúl Álvarez</t>
  </si>
  <si>
    <t>V4 · V3</t>
  </si>
  <si>
    <t>Promoción / Boxing promotion</t>
  </si>
  <si>
    <t>San Diego, CA / Guadalajara</t>
  </si>
  <si>
    <t>Boxeo</t>
  </si>
  <si>
    <t>El atleta individual de mayor valor comercial de México. DAZN como broadcaster exclusivo. Hennessy, Tecate, Michelob Ultra y Oakley como sponsors principales. GGG vs Canelo generó más de USD 160M en PPV en EE.UU.</t>
  </si>
  <si>
    <t>Canelo es el activo deportivo individual más valioso de México. Su modelo de gestión 360° (Reynoso como manager-entrenador-promotor) es único en el boxeo mundial. Los ingresos por pelea superan el revenue anual de muchos clubes Liga MX.</t>
  </si>
  <si>
    <t>Canelo Promotions (boxeo) · Canelo Espectáculos · Canelo Store (retail) · Canelo Technologies (app I Can) · Canelo Energy (4 gasolineras Jalisco) · Upper (80 tiendas conveniencia) · SSA Inmobiliaria · SSA Capitales · VMC Drinks (tequila) · Yaoca (rehidratante) · CA (residuos/agua) · Línea autobuses Jalisco · Taquería El Pastor del Rica</t>
  </si>
  <si>
    <t>Canelo Media · No Boxing No Life · Saúl "Canelo" Álvarez (atleta franquicia)</t>
  </si>
  <si>
    <t>Vehículo comercial de Saúl Álvarez. Producción de contenido (Canelo Media), promoción de peleas (No Boxing No Life), gestión de derechos del atleta. [v1.00.29: conglomerado ampliado a 12+ empresas según ESPN/Forbes/El Heraldo. Promotora propia desde 2021 tras separación Golden Boy. Fortuna estimada USD 275M Forbes 2025.]</t>
  </si>
  <si>
    <t>canelo.tv</t>
  </si>
  <si>
    <t>A-017</t>
  </si>
  <si>
    <t>V1-002</t>
  </si>
  <si>
    <t>Capitanes de Ciudad de México (NBA G-League)</t>
  </si>
  <si>
    <t>Club basketball / NBA G-League</t>
  </si>
  <si>
    <t>CDMX</t>
  </si>
  <si>
    <t>Compite en NBA G-League. Único equipo NBA-affiliated en LATAM.</t>
  </si>
  <si>
    <t>Plataforma para introducir baloncesto NBA-grade en MX. Operación Arena CDMX (sub-arrendamiento).</t>
  </si>
  <si>
    <t>Capitanes de Ciudad de México (NBA G-League) · Arena Ciudad de México (home games) · Programa Capitanes Academy · Affiliate de Oklahoma City Thunder (NBA)</t>
  </si>
  <si>
    <t xml:space="preserve"> [v1.00.29: única franquicia G-League fuera EE.UU./Canadá. Filial NBA G-League directamente operada por NBA Properties; juega en Arena CDMX (Avalanz A-056).]</t>
  </si>
  <si>
    <t>capitanescdmx.com</t>
  </si>
  <si>
    <t>A-018</t>
  </si>
  <si>
    <t>V9-002</t>
  </si>
  <si>
    <t>CEMEX / Sinergia Deportiva</t>
  </si>
  <si>
    <t>Holding diversificado</t>
  </si>
  <si>
    <t>San Nicolás de los Garza, Nuevo León</t>
  </si>
  <si>
    <t>Sinergia Deportiva SA de CV administra 100% de Tigres por cesión UANL (acuerdo original 1996, renovado 30 años). Creada CEMEX-FEMSA 50/50; FEMSA salió en 2000 dejando control total a CEMEX (familia Zambrano). No aparece en filings 20-F SEC como subsidiaria material. Proyecto Nuevo Estadio Volcán: USD 320M, 65,000 asientos, cancha retráctil (Populous + Juego de Pelota México); decreto territorial ene-2026, inauguración estimada post-2027.</t>
  </si>
  <si>
    <t>La opacidad contable es el caso más documentado de disociación entre la magnitud deportiva de un actor (Tigres, plantilla más cara Liga MX) y su ausencia de reporting estándar.</t>
  </si>
  <si>
    <t>Sinergia Deportiva fuera de perímetro contable CEMEX 20-F SEC · · Tigres UANL Femenil (Amazonas) además de Tigres varonil</t>
  </si>
  <si>
    <t>Tigres UANL · Estadio Universitario 'El Volcán'</t>
  </si>
  <si>
    <t>2 propiedades absorbidas. Tigres UANL: control operacional / concesión [R-13: Propiedad cross-género: el equipo femenil se mapea como propiedad dentro de este actor, no como actor standalone separado.]</t>
  </si>
  <si>
    <t>cemex.com | tigres.com.mx</t>
  </si>
  <si>
    <t>Ambigüedad contable FUENTE ÚNICA (análisis filings SEC). Sinergia Deportiva opera posiblemente vía vehículo privado familia Zambrano fuera de CEMEX SAB consolidado.</t>
  </si>
  <si>
    <t>A-019</t>
  </si>
  <si>
    <t>V1-003</t>
  </si>
  <si>
    <t>Charros de Jalisco (LMB + LMP)</t>
  </si>
  <si>
    <t>Club LMB / Béisbol profesional</t>
  </si>
  <si>
    <t>Guadalajara</t>
  </si>
  <si>
    <t>Béisbol</t>
  </si>
  <si>
    <t>Doble franquicia LMB verano y LMP invierno. Sede Estadio Panamericano (Zapopan).</t>
  </si>
  <si>
    <t>Charros Jalisco: única franquicia con doble temporada activa. Campeón LMP 2018-19. Mercado GDL.</t>
  </si>
  <si>
    <t>Charros de Jalisco beisbol varonil (LMB Banorte verano + LMP invierno) · Charros de Jalisco Femenil softbol (LMS) · Estadio Panamericano (Zapopan) · Academia formativa</t>
  </si>
  <si>
    <t xml:space="preserve"> [v1.00.29: doble temporada LMB (verano) + LMP (invierno). Campeón LMS 2024 (softbol femenil). Sociedad familia Salcido.]</t>
  </si>
  <si>
    <t>charrosbeisbol.com</t>
  </si>
  <si>
    <t>A-020</t>
  </si>
  <si>
    <t>V5-002</t>
  </si>
  <si>
    <t>CIE / OCESA (V5 Experiencias)</t>
  </si>
  <si>
    <t>V7 · V6</t>
  </si>
  <si>
    <t>Operador hospitality</t>
  </si>
  <si>
    <t>Activa dinero</t>
  </si>
  <si>
    <t>Eventos premium</t>
  </si>
  <si>
    <t>Opera GP México F1; Experiencias+; JV OVG Hospitality F&amp;B; Estadio GNP, AHR, Palacio Deportes, Centro Citibanamex; vende Paddock Club con F1 Experiences.</t>
  </si>
  <si>
    <t>Único gatekeeper con permiso venue federal/local, rights holder internacional y canal ticketing unificado para el evento más rentable del país.</t>
  </si>
  <si>
    <t>Vive Latino · Corona Capital · EDC México · Tecate Emblema · Arre · Pulso GNP · Coca-Cola Flow Fest · Estadio GNP Seguros (operación) · Palacio de los Deportes (operación) · Coliseo GNP Zapopan (lease 10 años) · Arena CDMX (operación) · Maratón CDMX · Ticketmaster México · Tours internacionales · Hospitality</t>
  </si>
  <si>
    <t>Estadio GNP Seguros (concesión, ex Foro Sol) · Autódromo Hermanos Rodríguez (concesión) · Palacio de los Deportes (concesión) · Ticketmaster México (75% post Live Nation ago-2025) · Estadio GNP Seguros (ex Foro Sol)</t>
  </si>
  <si>
    <t>Operación bajo concesión: Estadio GNP, Autódromo y Palacio son propiedad legal del Gobierno CDMX (Fideicomiso). CIE/OCESA es operador comercial. Ticketmaster México integrado vía Live Nation 75% OCESA (ago-2025). [v1.00.29: portafolio 7 festivales mayores + 4 venues operados. Modelo OCESA+GNP replicado a GDL en 2026. CEO Alejandro Soberón.]</t>
  </si>
  <si>
    <t>cie.com.mx | ocesa.com.mx</t>
  </si>
  <si>
    <t>A-021</t>
  </si>
  <si>
    <t>V1-004</t>
  </si>
  <si>
    <t>Club Necaxa</t>
  </si>
  <si>
    <t>V3 · V7</t>
  </si>
  <si>
    <t>Club Liga MX</t>
  </si>
  <si>
    <t>Aguascalientes</t>
  </si>
  <si>
    <t>Club con modelo de ownership mixto que incluye celebridades del deporte norteamericano como accionistas. Broadcaster: Claro Sports (compartido). Segunda Spectrum (Genius Sports) como proveedor de tracking de jugadores.</t>
  </si>
  <si>
    <t>Primer club Liga MX con tracking de jugadores de nivel NBA. Accionistas celebrity del deporte norteamericano. Presencia en el radar del mercado norteamericano.</t>
  </si>
  <si>
    <t>Accionistas celebrity norteamericanos; Segunda Spectrum (first tracking Liga MX de nivel NBA) · Necaxa Femenil</t>
  </si>
  <si>
    <t xml:space="preserve"> [R-13: Propiedad cross-género: el equipo femenil se mapea como propiedad dentro de este actor, no como actor standalone separado.]</t>
  </si>
  <si>
    <t>necaxa.com</t>
  </si>
  <si>
    <t>A-022</t>
  </si>
  <si>
    <t>V1-005</t>
  </si>
  <si>
    <t>Club Toluca</t>
  </si>
  <si>
    <t>Toluca, Estado de México</t>
  </si>
  <si>
    <t>BICAMPEÓN 2025: Clausura 2025 (11° título, rompió sequía 15 años) y Apertura 2025 (12° título, vs Tigres en penales 9-8). Empata a Chivas como segundo club más ganador de Liga MX.</t>
  </si>
  <si>
    <t>Bicampeón Liga MX 2025 bajo DT Turco Mohamed. Primer DT extranjero con 4 títulos en 4 equipos distintos de Liga MX. Campeones Cup 2025 vs LA Galaxy. Paulinho como fichaje más caro de su historia.</t>
  </si>
  <si>
    <t>Toluca FC (varonil + Diablas Femenil) · Estadio Nemesio Diez (La Bombonera) · Academia AGA Toluca · Sede WC26 secundaria (entrenamientos selecciones)</t>
  </si>
  <si>
    <t xml:space="preserve"> [R-13: Propiedad cross-género: el equipo femenil se mapea como propiedad dentro de este actor, no como actor standalone separado.] [v1.00.29: bicampeón Liga MX 2023 + 2024. Operación bajo familia Martínez-Cinta; vínculo histórico con familia Harp Helú (A-059).]</t>
  </si>
  <si>
    <t>toluca.com.mx</t>
  </si>
  <si>
    <t>A-023</t>
  </si>
  <si>
    <t>V3-007</t>
  </si>
  <si>
    <t>Coca-Cola México / Coca-Cola FEMSA</t>
  </si>
  <si>
    <t>Socio FIFA de Tier 1 global, lo que le garantiza presencia exclusiva en categoría bebidas no alcohólicas en los 13 partidos del WC26 en México. Sponsor de la Selección Mexicana y de Liga MX. Coca-Cola FEMSA opera la distribución y parte de los derechos de marca en México.</t>
  </si>
  <si>
    <t>La categoría exclusiva de bebidas no alcohólicas en WC26 es la activación de mayor alcance disponible en México 2026. La doble estructura Coca-Cola/Coca-Cola FEMSA crea sinergias entre el sponsor global y la distribución local.</t>
  </si>
  <si>
    <t>Socio FIFA Tier 1 global; exclusivo bebidas no alcohólicas WC26; Selección + Liga MX</t>
  </si>
  <si>
    <t>Coca-Cola · Powerade · Ciel · Sprite (portfolio sponsorship deportivo)</t>
  </si>
  <si>
    <t>Coca-Cola FEMSA es embotelladora más grande del mundo del Sistema Coca-Cola. Coca-Cola Company global controla la marca; FEMSA controla la distribución MX.</t>
  </si>
  <si>
    <t>coca-cola.com.mx</t>
  </si>
  <si>
    <t>A-024</t>
  </si>
  <si>
    <t>V3-008</t>
  </si>
  <si>
    <t>Codere Online</t>
  </si>
  <si>
    <t>España</t>
  </si>
  <si>
    <t>Ciudad de México / Monterrey</t>
  </si>
  <si>
    <t>Jersey sponsor de Rayados de Monterrey (hasta 2029) y Rayadas femenil. Sponsor en LMB. Segundo operador de apuestas con presencia estructural en el ecosistema tras Caliente.mx.</t>
  </si>
  <si>
    <t>La concentración de jersey de Rayados (activo FEMSA, el club corporativo más sólido) con Codere como sponsor da al operador español la asociación de mayor calidad institucional en el segmento de apuestas.</t>
  </si>
  <si>
    <t>Jersey Rayados hasta 2029; jersey Rayadas femenil; LMB; segundo operador apuestas estructural</t>
  </si>
  <si>
    <t>codere.mx</t>
  </si>
  <si>
    <t>A-025</t>
  </si>
  <si>
    <t>V1-006</t>
  </si>
  <si>
    <t>Consejo Mundial de Lucha Libre (CMLL)</t>
  </si>
  <si>
    <t>Lucha libre / Wrestling promotion</t>
  </si>
  <si>
    <t>CDMX + Guadalajara</t>
  </si>
  <si>
    <t>Lucha libre tradicional, viernes y domingos en Arena México. Empresa más antigua del mundo en su giro.</t>
  </si>
  <si>
    <t>Cathedral de la lucha libre. Doble venue propio (Arena México + Arena Coliseo GDL). Sin TKO ownership: independiente.</t>
  </si>
  <si>
    <t>Función Sábado Arena México · Función Domingo Arena Coliseo · Arena Puebla (martes) · Arena Coliseo Guadalajara · Anniversary Show · Sin Salida · Homenaje a Dos Leyendas · Juicio Final · Cuadrilateral CMLL · Reality Estrellas del Ring</t>
  </si>
  <si>
    <t>Arena México · Arena Coliseo (CDMX) · Arena Puebla · Programación weekly Viernes Espectacular</t>
  </si>
  <si>
    <t>Federación de lucha libre profesional más antigua del mundo (1933). Opera 3 arenas propias y programación weekly. Distinta de AAA (que está consolidada en Endeavor). [v1.00.29: empresa familiar Roldán desde 1933. Liga propia, opera 4 arenas. Alianza con New Japan Pro Wrestling.]</t>
  </si>
  <si>
    <t>cmll.com</t>
  </si>
  <si>
    <t>A-026</t>
  </si>
  <si>
    <t>V1-007</t>
  </si>
  <si>
    <t>Consejo Municipal del Deporte de Guadalajara (COMUDE GDL)</t>
  </si>
  <si>
    <t>V5 · V6</t>
  </si>
  <si>
    <t>Institución pública deportiva</t>
  </si>
  <si>
    <t>Guadalajara, Jalisco</t>
  </si>
  <si>
    <t>Rights holder y presidente del comité organizador del Medio Maratón Internacional Guadalajara Electrolit (XL edición 2026: 23,000 participantes, WA Platinum Label, Patrimonio Cultural Inmaterial de Guadalajara) y del Maratón Internacional Guadalajara Skarch (XLI edición 2025: 4,000 participantes). Equivalente funcional al INDEPORTE para la Ciudad de México pero en el ámbito municipal de Guadalajara.</t>
  </si>
  <si>
    <t>Gatekeeper institucional de los dos eventos de running con mayor convocatoria de Guadalajara. El Medio Maratón GDL Electrolit con WA Platinum Label y 23,000 participantes es más relevante técnicamente que el Maratón CDMX (WA Gold Label).</t>
  </si>
  <si>
    <t>Rights holder Medio Maratón Internacional Guadalajara Electrolit (WA Platinum Label, Patrimonio Cultural Inmaterial, 23,000 participantes); rights holder Maratón Internacional Guadalajara Skarch</t>
  </si>
  <si>
    <t>A-027</t>
  </si>
  <si>
    <t>V1-008</t>
  </si>
  <si>
    <t>Copa Mundial FIFA 2026 en México</t>
  </si>
  <si>
    <t>V7 · V5</t>
  </si>
  <si>
    <t>Evento / Torneo con derechos propios</t>
  </si>
  <si>
    <t>Suiza</t>
  </si>
  <si>
    <t>Ciudad de México / Guadalajara / Monterrey</t>
  </si>
  <si>
    <t>El evento deportivo más monetizado de la historia celebrado en México. 13 partidos en tres sedes (Banorte-CDMX: 5, Akron-GDL: 4, BBVA-MTY: 4). El partido inaugural (11 jun-2026) enfrenta a México vs Sudáfrica en el Estadio Banorte con 83,000 espectadores. FIFA controla todos los ingresos directos de hospitalidad, ticketing y derechos globales.</t>
  </si>
  <si>
    <t>Genera la mayor derrama económica de evento deportivo en la historia de México. Restructura todo el ecosistema de sponsors, ticketing, medios y venues durante may-jul 2026. Cataliza USD 3,866M+ en inversión en infraestructura deportiva.</t>
  </si>
  <si>
    <t>13 partidos en MX; partido inaugural México vs Sudáfrica (Banorte, 11 jun-2026); USD 3,866M+ inversión infraestructura</t>
  </si>
  <si>
    <t>fifa.com/worldcup</t>
  </si>
  <si>
    <t>A-028</t>
  </si>
  <si>
    <t>V3-009</t>
  </si>
  <si>
    <t>Corona / Grupo Modelo — AB InBev</t>
  </si>
  <si>
    <t>Cerveza oficial de la Selección Mexicana de Fútbol desde 2006 — el patrocinio de bebidas alcohólicas más longevo del ecosistema. Cassiano De Stefano como director de marketing.</t>
  </si>
  <si>
    <t>La relación Selección-Corona es uno de los deals de bebidas alcohólicas más longevo del fútbol mexicano (20 años). Corona es la cerveza más reconocida globalmente entre las marcas mexicanas.</t>
  </si>
  <si>
    <t>Cerveza oficial Selección Mexicana desde 2006 (20 años); uno de los deals de bebidas más longevo del fútbol MX</t>
  </si>
  <si>
    <t>corona.com.mx</t>
  </si>
  <si>
    <t>A-029</t>
  </si>
  <si>
    <t>V1-009</t>
  </si>
  <si>
    <t>Cruz Azul FC</t>
  </si>
  <si>
    <t>Modelo de sociedad cooperativa sin dueño único — el único en Liga MX. Busca estadio propio a largo plazo.</t>
  </si>
  <si>
    <t>Modelo de ownership cooperativo único en Liga MX (sin dueño persona física o empresa).</t>
  </si>
  <si>
    <t>Sociedad cooperativa única Liga MX · Cruz Azul Femenil (Estadio Centenario Cuernavaca local Clausura 2026)</t>
  </si>
  <si>
    <t>cruzazul.com.mx</t>
  </si>
  <si>
    <t>A-030</t>
  </si>
  <si>
    <t>V9-003</t>
  </si>
  <si>
    <t>CVC Capital Partners</t>
  </si>
  <si>
    <t>Sin base operativa MX</t>
  </si>
  <si>
    <t>Track record deportivo: LaLiga Impulso EUR 2.0Bn por 8.25%/50 años; Ligue 1 USD 1.66Bn por 13%; MotoGP (control). No ha hecho aproximación documentada a Liga MX o activos deportivos mexicanos.</t>
  </si>
  <si>
    <t>Su modelo de inversión en ligas europeas es el blueprint más relevante para una eventual centralización comercial de Liga MX (similar a 'La Comercializadora'). La ausencia de deals documentados lo ubica como watchlist estratégico para el período post-2026.</t>
  </si>
  <si>
    <t>LaLiga EUR 2Bn por 8.25%/50 años · Ligue 1 USD 1.66Bn · MotoGP control · Sin deals Liga MX</t>
  </si>
  <si>
    <t>cvc.com</t>
  </si>
  <si>
    <t>A-031</t>
  </si>
  <si>
    <t>V2-005</t>
  </si>
  <si>
    <t>DAZN México</t>
  </si>
  <si>
    <t>Ciudad de México (operación)</t>
  </si>
  <si>
    <t>Broadcaster exclusivo de Canelo Álvarez en México y EE.UU. Derechos de boxeo premium global. Adquirió sublicencia del FIFA Club World Cup 2025 de TelevisaUnivision. DAZN es el único OTT con distribución exclusiva del activo deportivo individual más valioso de México.</t>
  </si>
  <si>
    <t>Sin Canelo, DAZN pierde su producto premium en México. El activo Canelo generó más de USD 160M por pelea en PPV en EE.UU. Único broadcaster que rompe la dicotomía TUDN/FOX/Amazon en el mercado premium.</t>
  </si>
  <si>
    <t>Broadcaster exclusivo Canelo Álvarez; &gt;USD 160M por pelea Canelo; boxeo premium global</t>
  </si>
  <si>
    <t>dazn.com</t>
  </si>
  <si>
    <t>[P6-E P6-DT] Vis=Sí pero sin R1/R2 cargadas. Pendiente de carga en próximo ciclo. Conservar visualizable porque es benchmark relevante para Aldo (revisar caso a caso).</t>
  </si>
  <si>
    <t>A-032</t>
  </si>
  <si>
    <t>V8-002</t>
  </si>
  <si>
    <t>Draftea</t>
  </si>
  <si>
    <t>Empresa tecnología / SaaS deportivo</t>
  </si>
  <si>
    <t>Primera plataforma DFS en español para LATAM. Lanzada enero 2022. Total levantado: USD 41M en 4 rondas (Sequoia, Kaszek, Bullpen). Inversores: Pau Gasol, Iker Casillas, Kevin Durant, Travis Kelce, Odell Beckham Jr., Jay-Z, The Chainsmokers. Acuerdo oficial con FMF/Selección Nacional Mexicana + acuerdo NFL/NFLPA.</t>
  </si>
  <si>
    <t>Primera plataforma DFS en español de LATAM con mandato FMF/Selección + NFL/NFLPA; respaldada por atletas globales de primer nivel.</t>
  </si>
  <si>
    <t>USD 41M levantados (Sequoia, Kaszek, Bullpen) · Acuerdo oficial FMF/Selección y NFL/NFLPA · Inversores: Durant, Kelce, Jay-Z, Gasol, Casillas</t>
  </si>
  <si>
    <t>draftea.com</t>
  </si>
  <si>
    <t>A-033</t>
  </si>
  <si>
    <t>V3-010</t>
  </si>
  <si>
    <t>Electrolit / Grupo PiSA</t>
  </si>
  <si>
    <t>Bebida oficial de 8+ clubes Liga MX y &gt;30 patrocinios activos en el ecosistema deportivo mexicano. Electrolit reposicionó el suero de rehidratación oral como bebida deportiva premium, disrumpiendo a Gatorade y Powerade.</t>
  </si>
  <si>
    <t>El mayor patrocinador de bebidas deportivas del ecosistema mexicano por volumen de acuerdos activos (&gt;30). Disrumpió el duopolio Gatorade-Powerade en el segmento premium de bebidas deportivas.</t>
  </si>
  <si>
    <t>&gt;30 patrocinios deportivos activos México; 8+ clubes Liga MX; disrumpió duopolio Gatorade-Powerade</t>
  </si>
  <si>
    <t>electrolit.com.mx</t>
  </si>
  <si>
    <t>A-034</t>
  </si>
  <si>
    <t>V5-003</t>
  </si>
  <si>
    <t>Elevate Sports Ventures</t>
  </si>
  <si>
    <t>CDMX (experience center) / Monterrey (Estadio Banorte)</t>
  </si>
  <si>
    <t>Diseña, vende y opera la capa premium del Estadio Banorte (contrato 10 años con Ollamani, jul-2025): Tunnel Club, Super Seats, Corner Club, Locker Club, Chairman's Club, Suites.</t>
  </si>
  <si>
    <t>Inaugura modelo NFL/NBA 'premium seating as product' en Liga MX; opera venue inaugural WC26 (11 jun). Define estándar que Liga MX emulará.</t>
  </si>
  <si>
    <t>Primer modelo premium seating Liga MX; Estadio Banorte WC26 sede inaugural; conexión 49ers</t>
  </si>
  <si>
    <t>elevatesv.com</t>
  </si>
  <si>
    <t>Disputa legal activa palcohabientes; denuncia penal 17-sep-2025</t>
  </si>
  <si>
    <t>A-035</t>
  </si>
  <si>
    <t>V9-004</t>
  </si>
  <si>
    <t>Endeavor / WME Group</t>
  </si>
  <si>
    <t>V1 · V4 · V5</t>
  </si>
  <si>
    <t>Holding deportivo</t>
  </si>
  <si>
    <t>Beverly Hills (HQ)</t>
  </si>
  <si>
    <t>Holding global de entretenimiento deportivo controla TKO Group (UFC + WWE), IMG, On Location, AAA. Privatizado por Silver Lake mar-2025.</t>
  </si>
  <si>
    <t>Único holding global con propiedad mexicana operativa pura post-consolidación AAA (51% WWE/TKO + 49% Fillip, cerrado 1-ago-2025). Controla múltiples propiedades V1 + brazo agency V4 + hospitality V5 + capital V9.</t>
  </si>
  <si>
    <t>WME Sports talent agency · IMG (events + media + licensing) · UFC (vía TKO Holdings) · WWE (vía TKO Holdings) · AAA Lucha Libre (JV con Fillip, WWE 51% / Fillip 49%) · F1 Experiences/QuintEvents (A-040) · OnLocation hospitality · Professional Bull Riders · TKO Holdings (LSE listed)</t>
  </si>
  <si>
    <t>TKO Group Holdings · UFC México · WWE México · IMG / Endeavor México · On Location Events LLC · Lucha Libre AAA Worldwide</t>
  </si>
  <si>
    <t>6 propiedades absorbidas. TKO Group Holdings: control mayoritario [v1.00.29: Silver Lake Take-Private cerrado 2025 (USD 13B). TKO Holdings consolida UFC+WWE+AAA. WWE adquirió AAA Lucha Libre y formó JV con Fillip Holdings (A-046) en 2025.]</t>
  </si>
  <si>
    <t>endeavorco.com</t>
  </si>
  <si>
    <t>A-036</t>
  </si>
  <si>
    <t>V2-006</t>
  </si>
  <si>
    <t>ESPN / Disney+ México</t>
  </si>
  <si>
    <t>Broadcaster TV de paga</t>
  </si>
  <si>
    <t>Ciudad de México (operación LatAm)</t>
  </si>
  <si>
    <t>ESPN como canal deportivo de TV de paga con derechos de Liga MX (algunos clubes), NBA México, NFL y Champions League (a partir de 2027). Bundle ViX+Disney+ desde jun-2025 (MXN 199/mes) crea nueva sinergia con TelevisaUnivision en el mercado mexicano.</t>
  </si>
  <si>
    <t>Bundle ViX+Disney+ es la alianza de distribución más relevante del ecosistema streaming en México 2025-2026. ESPN retiene derechos deportivos premium que complementan el portafolio de ViX.</t>
  </si>
  <si>
    <t>Bundle ViX+Disney+ (jun-2025); derechos NBA, NFL, Champions League; ESPN canal deportivo TV de paga</t>
  </si>
  <si>
    <t>espn.com.mx · disneyplus.com</t>
  </si>
  <si>
    <t>A-037</t>
  </si>
  <si>
    <t>V7-001</t>
  </si>
  <si>
    <t>Estadio Ciudad de los Deportes</t>
  </si>
  <si>
    <t>Estadio / Arena / Venue deportivo</t>
  </si>
  <si>
    <t>Ciudad de México (Benito Juárez)</t>
  </si>
  <si>
    <t>Controla venue</t>
  </si>
  <si>
    <t>Aforo: 34,253. Club inquilino actual: Club América (provisional durante remodelación Banorte). Cruz Azul salió en enero 2025 rumbo a CU; Atlante salió diciembre 2024. Crisis noviembre 2024: alcaldía BJ clausuró el estadio por falta de certificaciones de seguridad. Ingresos familia Cossío 2024: ~MXN 50M por renta y comisiones.</t>
  </si>
  <si>
    <t>Único estadio de primera división en propiedad privada familiar en CDMX; clausura noviembre 2024 evidenció fragilidad de la gobernanza privada sin estándares homologados.</t>
  </si>
  <si>
    <t>Propiedad privada familiar Cossío · Clausura por seguridad nov-2024 · Club América inquilino temporal Banorte</t>
  </si>
  <si>
    <t>Clausura por seguridad nov-2024 (alcaldía Benito Juárez); reapertura parcial con restricción de un evento por día.</t>
  </si>
  <si>
    <t>A-038</t>
  </si>
  <si>
    <t>V7-002</t>
  </si>
  <si>
    <t>Estadio Jalisco</t>
  </si>
  <si>
    <t>Aforo 55,000-63,163 espectadores. Inaugurado 1960. Clubes inquilinos activos: Atlas FC (Liga MX) y Leones Negros (Liga de Expansión MX). Inversiones 2025: MXN 13,989,000 (cerco perimetral, taquillas, cámaras, vestidores, butacas, baños, audio). No asignado WC26 por antigüedad e infraestructura.</t>
  </si>
  <si>
    <t>Único estadio de propiedad compartida multi-club en México; modelo de governance colectivo sin precedente en Liga MX.</t>
  </si>
  <si>
    <t>Propiedad multi-club única en México · Atlas inquilino principal · Excluido WC26 por antigüedad</t>
  </si>
  <si>
    <t>A-039</t>
  </si>
  <si>
    <t>V7-003</t>
  </si>
  <si>
    <t>Estadio Olímpico Universitario</t>
  </si>
  <si>
    <t>Propiedad UNAM. Aforo operativo contemporáneo: ~58,445. Patrimonio UNESCO (2007), lo que impide modificaciones estructurales relevantes e inhabilita uso mundialista.</t>
  </si>
  <si>
    <t>Segundo estadio más grande de la CDMX;</t>
  </si>
  <si>
    <t>Estadio Olímpico Universitario CU UNAM · Casa de Pumas UNAM (A-115) · Sede WC68 + WC86 (histórica) · Capacidad ~60K · Patrimonio UNESCO</t>
  </si>
  <si>
    <t xml:space="preserve"> [v1.00.29: propiedad UNAM. Casa exclusiva de Pumas tras salida de Cruz Azul (que se fue a Cuauhtémoc Puebla y luego Banorte parcial Clausura 2026).]</t>
  </si>
  <si>
    <t>A-040</t>
  </si>
  <si>
    <t>V5-004</t>
  </si>
  <si>
    <t>F1 Experiences / QuintEvents</t>
  </si>
  <si>
    <t>V4 · V7</t>
  </si>
  <si>
    <t>Nueva York / CDMX (operación GP)</t>
  </si>
  <si>
    <t>Motorsport</t>
  </si>
  <si>
    <t>Vende Paddock Club, F1 Experiences Suite, Team Suites (Red Bull, Ferrari, Mercedes, Aston Martin, Alpine), Champions Club para los 24 GPs incluido GP México.</t>
  </si>
  <si>
    <t>Único canal oficial Paddock Club y Team Suites para GP México. Mayor margen por cliente en el evento más rentable del país.</t>
  </si>
  <si>
    <t>F1 Experiences Mexico GP (paquetes oficiales) · F1 Paddock Club hospitality · F1 Fan Experiences · NASCAR Hospitality · NHL/NFL/PGA hospitality · Acuerdo exclusivo con F1 (Formula One Management)</t>
  </si>
  <si>
    <t xml:space="preserve"> [v1.00.29: subsidiaria Endeavor (A-035). Único proveedor oficial F1 hospitality global.]</t>
  </si>
  <si>
    <t>f1experiences.com</t>
  </si>
  <si>
    <t>A-041</t>
  </si>
  <si>
    <t>V9-005</t>
  </si>
  <si>
    <t>Familia Slim / Grupo Carso</t>
  </si>
  <si>
    <t>Family office / Patrimonio familiar</t>
  </si>
  <si>
    <t>No posee clubes Liga MX, MLB ni LMB. Arturo Elías Ayub anunció venta de participación restante en Real Oviedo (diluida desde 35% original en 2012 cuando Pachuca tomó mayoría). Carso participa en el fideicomiso privado del GP México junto a ~100 inversionistas. Escudería Telmex Telcel era programa de patrocinios (no equipo F1), concluido con salida Pérez de Red Bull en 2024.</t>
  </si>
  <si>
    <t>La desinversión de Real Oviedo y la ausencia de nuevas posiciones deportivas de capital sugieren alejamiento estratégico del deporte como clase de activo, en contraste con el ciclo alcista 2024-2026. Presencia en fideicomiso F1 es relevante pero opaca.</t>
  </si>
  <si>
    <t>Ex-Real Oviedo 35% (diluido) · Fideicomiso GP México (porcentaje no público) · Escudería Telmex Telcel (concluida 2024)</t>
  </si>
  <si>
    <t>Telcel / América Móvil · Claro Sports · Telcel + AT&amp;T México (proveedor venue WC26)</t>
  </si>
  <si>
    <t>3 propiedades absorbidas. Telcel / América Móvil: 100% accionario</t>
  </si>
  <si>
    <t>carso.com.mx</t>
  </si>
  <si>
    <t>A-042</t>
  </si>
  <si>
    <t>V6-002</t>
  </si>
  <si>
    <t>FANKI (Bitsports S.A.S.)</t>
  </si>
  <si>
    <t>V4 · V5</t>
  </si>
  <si>
    <t>Bogotá (sede) · Ciudad de México (operación)</t>
  </si>
  <si>
    <t>Opera como boletera oficial del Estadio Banorte desde diciembre 2025, gestionando venta digital, acceso por QR e infraestructura fintech. Cartera: Club América, Atlas FC, Club Celaya, Piratas de Campeche, WBC, Federación Mexicana de Pádel. Opera los cinco partidos del Mundial 2026 en el Estadio Banorte, incluido el partido inaugural.</t>
  </si>
  <si>
    <t>Representa la primera fractura relevante del oligopolio Ticketmaster en el segmento deportivo de alto perfil en CDMX; capturó el inmueble más importante del país y opera la venta primaria de los cinco partidos del Mundial 2026.</t>
  </si>
  <si>
    <t>Boletera oficial Estadio Banorte · Operador 5 partidos WC26 en CDMX (incluido partido inaugural) · Fintech deportiva con tarjeta cobranded y wallet</t>
  </si>
  <si>
    <t>Plataforma fan engagement Club América (whitelabel) · App Fanki Ollamani</t>
  </si>
  <si>
    <t>Plataforma de fan engagement contratada por Ollamani en exclusiva para Club América. Bitsports SAS es la entidad legal colombiana.</t>
  </si>
  <si>
    <t>fanki.mx</t>
  </si>
  <si>
    <t>AMARILLO — Riesgo operativo comprobado: fallo de plataforma en preventa México vs. Portugal. Capacidad para absorber 5 partidos mundialistas (87,523 aforo) sin probar.</t>
  </si>
  <si>
    <t>A-043</t>
  </si>
  <si>
    <t>V1-010</t>
  </si>
  <si>
    <t>Federación Mexicana de Fútbol</t>
  </si>
  <si>
    <t>Federación deportiva</t>
  </si>
  <si>
    <t>Organiza a las selecciones nacionales mexicanas (varonil, femenil, sub-23, sub-20, futsal). Negocia y otorga derechos de transmisión de partidos de la Selección. Certifica árbitros, clubes y competiciones. Opera el CITEC para tecnología deportiva. Comisionado: Mikel Arriola.</t>
  </si>
  <si>
    <t>Rights holder de la Selección Mexicana de Fútbol, el activo deportivo con mayor valor de patrocinio en México. Sus contratos (Adidas USD 290M/10 años, AT&amp;T telecom exclusivo, Amazon triple deal, TEAM Marketing derechos globales, Netflix Concacaf) definen el piso del ecosistema comercial.</t>
  </si>
  <si>
    <t>Rights holder El Tri; Adidas USD 290M/10 años hasta 2034; TEAM Marketing derechos globales 2026-34; Genius Sports SAOT</t>
  </si>
  <si>
    <t>fmf.mx</t>
  </si>
  <si>
    <t>A-044</t>
  </si>
  <si>
    <t>V9-006</t>
  </si>
  <si>
    <t>FEMSA / Club de Fútbol Monterrey Rayados</t>
  </si>
  <si>
    <t>Monterrey, Nuevo León</t>
  </si>
  <si>
    <t>FEMSA propietaria 100% de Rayados de Monterrey desde 2006 y del Estadio BBVA (inaugurado 2015, ~USD 200M inversión). Fútbol representa una fracción menor del reporting consolidado (no aparece como subsidiaria material en Form 20-F). Renovó naming Estadio BBVA con BBVA en jul-2025 por 5 años adicionales hasta 2030.</t>
  </si>
  <si>
    <t>Único propietario de club Liga MX con reporting estándar NYSE/BMV y gobernanza corporativa de empresa de consumo masivo. Estadio BBVA alberga 4 partidos WC26. El contraste con operadores familiares opacos lo hace referencia metodológica para valoraciones.</t>
  </si>
  <si>
    <t>100% Rayados Monterrey desde 2006 · Estadio BBVA propio (USD 200M) · WC26 sede 4 partidos · Rayadas de Monterrey (Femenil) además de Rayados varonil</t>
  </si>
  <si>
    <t>CF Monterrey - Rayados · Estadio BBVA (Monterrey)</t>
  </si>
  <si>
    <t>2 propiedades absorbidas. CF Monterrey - Rayados: 100% accionario [R-13: Propiedad cross-género: el equipo femenil se mapea como propiedad dentro de este actor, no como actor standalone separado.]</t>
  </si>
  <si>
    <t>femsa.com | rayados.com</t>
  </si>
  <si>
    <t>A-045</t>
  </si>
  <si>
    <t>V6-003</t>
  </si>
  <si>
    <t>FIFA Ticketing — Copa Mundial 2026</t>
  </si>
  <si>
    <t>Sin base operativa permanente MX — coordinación con COL</t>
  </si>
  <si>
    <t>Venta primaria exclusiva vía FIFA.com/tickets (Visa Presale Draw, Early Ticket Draw, Random Selection Draw, Last-Minute Sales desde 1-abr-2026). Régimen dual de reventa: FIFA Resale Marketplace para residentes fuera de México; Mercado de Intercambio (sin lucro) para residentes de México. Boletos 100% digitales.</t>
  </si>
  <si>
    <t>FIFA arrebata temporalmente la soberanía comercial de los venues a sus operadores habituales (Fanki, Boletomóvil, Ticketmaster); el único proveedor oficial de hospitalidad es On Location.</t>
  </si>
  <si>
    <t>Canal único de venta primaria WC26 en las 3 sedes MX · Régimen dual de reventa co-diseñado con Profeco · 13 partidos en territorio mexicano</t>
  </si>
  <si>
    <t>fifa.com/tickets</t>
  </si>
  <si>
    <t>A-046</t>
  </si>
  <si>
    <t>V9-007</t>
  </si>
  <si>
    <t>Fillip Holdings</t>
  </si>
  <si>
    <t>Lomas de Chapultepec / Calderón de la Barca 22, CDMX</t>
  </si>
  <si>
    <t>Adquiere y escala IP en sports/entertainment/lifestyle. JV WWE-AAA (49% Fillip / 51% WWE): adquirió marcas, derechos de autor y personajes de AAA en may-2025. Investidor en Kings League (VC feb-2026). Levantó USD 20M; inversores: DILA Capital, NAZCA, FEMSA Ventures, Axo Finans. Usa IA y content creation para ampliar TAM de activos IP.</t>
  </si>
  <si>
    <t>Actor emergente en el mercado de IP deportiva en México: la JV WWE-AAA lo pone en el mapa de la lucha libre profesional mexicana al nivel de TKO/WWE. Su portfolio de inversores (FEMSA Ventures, NAZCA) señala respaldo institucional significativo para un fondo de apenas 2 años y 15 empleados.</t>
  </si>
  <si>
    <t>JV WWE-AAA 49% (may-2025) · Kings League investidor (feb-2026) · USD 20M levantados · FEMSA Ventures + NAZCA</t>
  </si>
  <si>
    <t>A-047</t>
  </si>
  <si>
    <t>V2-007</t>
  </si>
  <si>
    <t>Fox Corporation / FOX One / Tubi México</t>
  </si>
  <si>
    <t>Entró directamente al mercado mexicano comprando Caliente TV (jun-2025). Opera triple stack: Tubi México (AVOD, hereda audiencia Caliente TV), FOX One (SVOD, derechos Liga MX: Pachuca, Tigres, Juárez, Mazatlán y otros), canal lineal. Reemplaza a Fox Sports México/Lauman que colapsa entre multas y pérdida de licencia.</t>
  </si>
  <si>
    <t>El tercer actor en tamaño del ecosistema de medios deportivos mexicano. Su entrada vía Caliente TV (jun-2025) reconfiguró el mapa de derechos de Liga MX en TV de paga. La sinergia FOX-Caliplay (apuestas) es la primera integración media-apuestas del ecosistema.</t>
  </si>
  <si>
    <t>Compra Caliente TV jun-2025; triple stack Tubi+FOX One+lineal; derechos Pachuca, Tigres, Juárez; sinergia media-apuestas con Caliplay</t>
  </si>
  <si>
    <t>foxcorporation.com · foxone.mx · tubitv.com</t>
  </si>
  <si>
    <t>A-048</t>
  </si>
  <si>
    <t>V2-008</t>
  </si>
  <si>
    <t>Fox Sports México / Grupo Lauman</t>
  </si>
  <si>
    <t>V2 · V1</t>
  </si>
  <si>
    <t>Canal deportivo de TV de paga que operó como brazo de distribución de Fox Sports LatAm en México. En proceso de salida del mercado (nov-2026) tras multas de la autoridad regulatoria y pérdida de la licencia de marca Fox Sports ante el avance directo de Fox Corporation (Tubi/FOX One).</t>
  </si>
  <si>
    <t>Su desaparición reordena el mapa de TV de paga deportiva en México, acelerando la concentración en TUDN/ViX, Amazon, Netflix y Fox Corporation directa.</t>
  </si>
  <si>
    <t>Canal en colapso nov-2026; multas regulatorias; desplazado por Fox Corporation directa (Tubi + FOX One)</t>
  </si>
  <si>
    <t>foxsports.mx</t>
  </si>
  <si>
    <t>En colapso — salida del mercado estimada nov-2026. Multas y pérdida licencia de marca Fox Sports. Desplazado por Fox Corporation directa.</t>
  </si>
  <si>
    <t>A-049</t>
  </si>
  <si>
    <t>V5-005</t>
  </si>
  <si>
    <t>Fuse Mexico (Omnicom Media Group)</t>
  </si>
  <si>
    <t>Consultoría de patrocinios, activaciones BTL, PR deportiva, eventos experienciales y medición ROI. Lanzamiento México feb-2026 coincidiendo con ramp-up WC26+F1+NBA+lucha libre.</t>
  </si>
  <si>
    <t>Única agencia global sport-marketing recién instalada en México justo antes del ciclo WC26+F1+NFL Banorte.</t>
  </si>
  <si>
    <t>Fuse Mexico (Omnicom Media Group) · Activaciones deportivas marcas multinacionales · Asociación con Olympic Games · Programas multi-anual brand partnership</t>
  </si>
  <si>
    <t xml:space="preserve"> [v1.00.29: agencia full-service sponsorship marketing parte de Omnicom Media Group.]</t>
  </si>
  <si>
    <t>fuse-uk.com</t>
  </si>
  <si>
    <t>A-050</t>
  </si>
  <si>
    <t>V9-008</t>
  </si>
  <si>
    <t>General Atlantic</t>
  </si>
  <si>
    <t>V7 · V8</t>
  </si>
  <si>
    <t>Nueva York (operación CDMX via oficina local)</t>
  </si>
  <si>
    <t>Adquirió 49% de Grupo Águilas (holdco Club América + Estadio Banorte) en dic-2025 a enterprise value de USD 490M. Aporta capital institucional, acceso a red global y presión hacia estándares de gobierno corporativo y fan analytics (KAGR).</t>
  </si>
  <si>
    <t>Primera entrada de PE global de gran formato al fútbol mexicano; valida múltiplo 5-7x revenue y fija el piso de referencia para futuros deals en Liga MX. Con ~USD 118Bn AUM es el inversor externo más capitalizado del ecosistema.</t>
  </si>
  <si>
    <t>49% Grupo Águilas (Club América + Estadio Banorte) USD 490M EV · ~USD 118Bn AUM · 14 empresas MX previas (Kavak, Clip, Incode)</t>
  </si>
  <si>
    <t>generalatlantic.com</t>
  </si>
  <si>
    <t>A-051</t>
  </si>
  <si>
    <t>V8-003</t>
  </si>
  <si>
    <t>Genius Sports</t>
  </si>
  <si>
    <t>Sin base operativa permanente MX — operación remota + personal de campo en 18 estadios Liga MX</t>
  </si>
  <si>
    <t>Socio oficial exclusivo de datos, streaming e integridad de Liga MX, Liga Expansión, Copa MX y Liga MX Femenil desde nov-2020. Opera Bet Monitoring System (912 partidos temporada 2023-2024). Desde ene-2026 despliega SAOT (GeniusIQ, 28 cámaras adicionales por estadio, mesh tracking 10,000 puntos por jugador). Inversión declarada: USD 1.43M por temporada.</t>
  </si>
  <si>
    <t>Concentra cuatro funciones estratégicas exclusivas (datos, streaming, integridad, SAOT/arbitraje) en un solo proveedor extranjero; Liga MX se promociona como primera liga del continente americano con SAOT.</t>
  </si>
  <si>
    <t>Monopolio datos + streaming + integridad + SAOT Liga MX · Segunda Spectrum: primer tracking LATAM con Necaxa · Mismo sistema SAOT que Premier League desde 2024</t>
  </si>
  <si>
    <t>geniussports.com</t>
  </si>
  <si>
    <t>A-052</t>
  </si>
  <si>
    <t>V1-011</t>
  </si>
  <si>
    <t>Global Champions Tour — LGCT México</t>
  </si>
  <si>
    <t>V3 · V5</t>
  </si>
  <si>
    <t>Organiza la etapa México del Global Champions Tour y la Global Champions League en el Estadio GNP Seguros, CDMX. GNP Seguros como presenting partner desde 2023. Francisco Pasquel/Oxer Sports como promotor local. Contrato extendido hasta 2033.</t>
  </si>
  <si>
    <t>El único evento ecuestre de élite en México y uno de los más rentables del circuito. La extensión hasta 2033 fue motivada en parte por la llegada de la Premier Jumping League (anunciada mar-abr 2026, inicio 2027) al mercado.</t>
  </si>
  <si>
    <t>LGCT contrato extendido hasta 2033; GNP Seguros presenting; único ecuestre élite en México</t>
  </si>
  <si>
    <t>globalchampionsseries.com</t>
  </si>
  <si>
    <t>A-053</t>
  </si>
  <si>
    <t>V3-011</t>
  </si>
  <si>
    <t>GNP Seguros / Grupo BAL</t>
  </si>
  <si>
    <t>Aseguradora del Grupo BAL (Familia Baillères) con presencia estructural en sponsorship deportivo mexicano. Title sponsor del Estadio GNP Seguros (ex Foro Sol) en concesión con CIE/OCESA. Sponsor del Maratón Banorte. Cobertura de seguros para múltiples eventos deportivos.</t>
  </si>
  <si>
    <t>Único sponsor V3 mexicano con naming rights de venue premium del país (Estadio GNP Seguros). Integra capital aseguradora con presencia simultánea en venue, running y eventos puntuales. Cross-link a Grupo BAL (V9-010) como holding patrimonial.</t>
  </si>
  <si>
    <t>Estadio GNP Seguros CDMX (naming, ex Foro Sol) · Coliseo GNP Seguros Zapopan (naming) · Arena GNP Acapulco (naming) · Foro GNP Mérida · Auditorio GNP Puebla · Abierto GNP Seguros Monterrey (WTA 250) · Maratón GNP MTY · Pulso GNP (festival OCESA) · GNP México naming portfolio (5+ venues simultáneos)</t>
  </si>
  <si>
    <t>Sponsor del portafolio Grupo BAL (Familia Baillères) | Consolidación inversa v1.00.13: BAL (ex A-057) absorbido en A-053 por R-01 (BAL única exposición sports es vía GNP); A-053 queda como actor canónico de la línea GNP/BAL. [v1.00.29: estrategia de naming agresiva con OCESA: cubre CDMX + GDL + Acapulco + Mérida + Puebla. Grupo BAL (Bailleres) holding aseguradora.]</t>
  </si>
  <si>
    <t>gnp.com.mx</t>
  </si>
  <si>
    <t>A-054</t>
  </si>
  <si>
    <t>V8-004</t>
  </si>
  <si>
    <t>Golstats</t>
  </si>
  <si>
    <t>Zapopan, Jalisco</t>
  </si>
  <si>
    <t>Clientes oficiales declarados: Liga MX, Liga de Desarrollo, Liga MX Femenil, Sub-20, Sub-17, Sub-15. 19 clubes contratan el servicio en vivo. Software oficial de Club América y Chivas. Exporta a EE.UU., Brasil, Alemania, Qatar y FAA Argentina. Socio oficial CITEC con tres herramientas IA presentadas en taller sept-2025.</t>
  </si>
  <si>
    <t>Es la única startup mexicana sportstech con mandato Liga MX/FMF a nivel sistémico; refuta la narrativa de dependencia tecnológica total de proveedores extranjeros.</t>
  </si>
  <si>
    <t>Única startup sportstech MX con mandato sistémico Liga MX · Software oficial Club América y Chivas · Exportación a 5+ países</t>
  </si>
  <si>
    <t>golstats.com</t>
  </si>
  <si>
    <t>A-055</t>
  </si>
  <si>
    <t>V1-012</t>
  </si>
  <si>
    <t>Gran Premio de México — Fórmula 1</t>
  </si>
  <si>
    <t>Ciudad de México (Autódromo Hermanos Rodríguez)</t>
  </si>
  <si>
    <t>Contrato extendido abr-2025 para 2026-2028. Fideicomiso privado de ~100 empresas paga fee F1 a Liberty Media (~USD 40-45M/año). Récord 2024: 404,958 asistentes en el fin de semana. Derrama estimada 2025: MXN 20,892M. Costo operativo: ~USD 72M/año.</t>
  </si>
  <si>
    <t>Evento deportivo más monetizado del país. El único en el mundo con fideicomiso privado multi-empresa para financiar el fee del rights holder. Formula One Group retiene todos los derechos globales de transmisión y hospitality (vía F1 Experiences).</t>
  </si>
  <si>
    <t>Derrama MXN 137,000M acumulada 2015-2024; récord 404,958 asistentes 2024; fideicomiso privado ~100 empresas</t>
  </si>
  <si>
    <t>formula1.com</t>
  </si>
  <si>
    <t>A-056</t>
  </si>
  <si>
    <t>V9-009</t>
  </si>
  <si>
    <t>Grupo Avalanz / Zignia (Guillermo Salinas Pliego)</t>
  </si>
  <si>
    <t>Holding patrimonial de Guillermo Salinas Pliego (hermano de Ricardo Salinas pero negocios separados). Controla Zignia Venues (Arena CDMX, Arena Monterrey, Arena Guadalajara) y Superboletos.</t>
  </si>
  <si>
    <t>Operador V7 más amplio del ecosistema MX (3 arenas multi-uso) + plataforma ticketing primaria propia (Superboletos). Concentra control de venues entretenimiento del país.</t>
  </si>
  <si>
    <t>Arena Ciudad de México (operación) · Arena Monterrey (operación) · Arena VFG (Guadalajara) · Showcenter Complex Monterrey · Zignia Live (operadora) · Diamantes de Monterrey · Producción técnica de tours · Acuerdo AEG Live Latin America</t>
  </si>
  <si>
    <t>Arena CDMX · Arena Monterrey · Arena Guadalajara · Superboletos</t>
  </si>
  <si>
    <t>4 propiedades absorbidas. 100% de control bajo Guillermo Salinas Pliego (hermano de Ricardo Salinas pero negocios independientes). [v1.00.29: propiedad Guillermo Salinas Pliego (rama familiar). Opera 4 arenas premium + Showcenter. Alianza con AEG Live LATAM.]</t>
  </si>
  <si>
    <t>avalanz.com.mx</t>
  </si>
  <si>
    <t>A-057</t>
  </si>
  <si>
    <t>V9-010</t>
  </si>
  <si>
    <t>Grupo BAL / Familia Baillères</t>
  </si>
  <si>
    <t>Única exposición material deportiva: naming rights del Estadio GNP Seguros (ex-Foro Sol) anunciados en jun-2024, propiedad del Gobierno CDMX, operado por CIE/OCESA. Sin participaciones accionarias en clubes, ligas o estadios. Portafolio principal: Peñoles, Fresnillo plc, Palacio de Hierro, GNP Seguros, Profuturo, ITAM.</t>
  </si>
  <si>
    <t>Caso ilustrativo de actor empresarial de primer nivel con posicionamiento deportivo limitado a naming rights. La ausencia de equity deportivo contrasta con su capacidad financiera (Fresnillo plc minera oro/plata, cotizada en LSE).</t>
  </si>
  <si>
    <t>Naming rights Estadio GNP Seguros jun-2024 · Peñoles + Fresnillo plc · Sin equity deportivo</t>
  </si>
  <si>
    <t>GNP Seguros</t>
  </si>
  <si>
    <t>1 propiedades absorbidas. GNP Seguros: 100% accionario</t>
  </si>
  <si>
    <t>bal.com.mx</t>
  </si>
  <si>
    <t>DESACTIVADO v1.00.13: consolidado en A-053 GNP por R-01. Excluido P9.1 — depuración Tier 3 baja huella</t>
  </si>
  <si>
    <t>A-058</t>
  </si>
  <si>
    <t>V9-011</t>
  </si>
  <si>
    <t>Grupo Caliente / Corporación Caliente, S.A. de C.V.</t>
  </si>
  <si>
    <t>V3 · V1 · V8</t>
  </si>
  <si>
    <t>Tijuana, Baja California</t>
  </si>
  <si>
    <t>Holding más capitalizado y opaco del fútbol mexicano: ~45+ casinos, ~50% mercado apuestas deportivas MX. Renegociación JV Playtech sep-2024: Caliente Interactive Inc. (EUA), Playtech 30.8% equity + USD 140M cash. Vendió Querétaro a Innovatio Capital (USD 120M, jul-2025) para resolver multipropiedad. Caliente TV adquirida por Fox Corp en jun-2025.</t>
  </si>
  <si>
    <t>El actor con más poder unilateral en Liga MX: shirt sponsor ~13 clubes + dueño Xolos + ~50% mercado apuestas. La adquisición de Caliente TV por Fox Corp crea nueva arquitectura media-apuestas que reconfigura el ecosistema de derechos.</t>
  </si>
  <si>
    <t>JV Playtech (Caliente Interactive USD 900M-1,200M) · Venta Caliente TV a Fox Corp jun-2025 · Shirt sponsor 13/18 clubes Liga MX · Xolos de Tijuana Femenil además de Xolos varonil</t>
  </si>
  <si>
    <t>Club Tijuana - Xolos · FC Juárez - Bravos · Caliplay</t>
  </si>
  <si>
    <t>3 propiedades absorbidas. Club Tijuana - Xolos: 100% accionario [R-13: Propiedad cross-género: el equipo femenil se mapea como propiedad dentro de este actor, no como actor standalone separado.]</t>
  </si>
  <si>
    <t>caliente.mx</t>
  </si>
  <si>
    <t>Holding privado con opacidad financiera estructural. Adquisición Caliente TV por Fox Corp reconfigura derechos V4-V2. Ya en tracker como V4-020 (Jorge Hank Rhon persona física).</t>
  </si>
  <si>
    <t>A-059</t>
  </si>
  <si>
    <t>V9-012</t>
  </si>
  <si>
    <t>Grupo Martí / Familia Harp Helú</t>
  </si>
  <si>
    <t>V1 · V5 · V7</t>
  </si>
  <si>
    <t>Family office de Alfredo Harp Helú con presencia diversificada en deporte mexicano: béisbol (Diablos Rojos del México), running (Emoción Deportiva), retail wellness (Sport City), venue (Parque Alfredo Harp Helú). Controla operaciones cross-vertical desde una sola estructura familiar.</t>
  </si>
  <si>
    <t>Único family office mexicano con cartera deportiva diversificada que abarca cuatro verticales operativas (V1 béisbol, V5 running + retail wellness, V7 venue propio). Modelo de operador-propietario integrado distinto al de holdings PE.</t>
  </si>
  <si>
    <t>Tiendas Martí (retail deportivo) · Diablos Rojos del México (LMB, naming Estadio Diablos) · Estadio Alfredo Harp Helú (CDMX) · GNP Seguros (vía Grupo BAL — coinversión) · Telmex Telecel deporte · Sport Center cadena</t>
  </si>
  <si>
    <t>Diablos Rojos del México · Sport City · Emoción Deportiva · Parque Alfredo Harp Helú</t>
  </si>
  <si>
    <t>4 propiedades absorbidas. 100% de control familiar. [v1.00.29: familia Harp Helú con stake en Toluca (A-022). Alfredo Harp Calderoni heredero de la operación deportiva (Diablos Rojos + Estadio Alfredo Harp Helú USD 165M).]</t>
  </si>
  <si>
    <t>A-060</t>
  </si>
  <si>
    <t>V5-006</t>
  </si>
  <si>
    <t>Grupo Mundomex</t>
  </si>
  <si>
    <t>V6 · V4</t>
  </si>
  <si>
    <t>Polanco, CDMX</t>
  </si>
  <si>
    <t>Agente autorizado oficial On Location para FIFA WC26 en territorio México desde jul-2025. Compra inventario hospitality, suma aereo+hotel 5*+logística+concierge y revende a corporativos y HNWI.</t>
  </si>
  <si>
    <t>Único canal oficial FIFA-26 hospitality en México. Once Mundiales consecutivos como agente (desde México 86).</t>
  </si>
  <si>
    <t>Agente oficial FIFA WC26 México; 11 Mundiales consecutivos; monopolio territorial hospitality</t>
  </si>
  <si>
    <t>Hospitalidad WC26 territorio México (vía sub-agreement con On Location)</t>
  </si>
  <si>
    <t>Sub-agente local de On Location para hospitalidad mundialista en sedes mexicanas (CDMX, Monterrey, Guadalajara).</t>
  </si>
  <si>
    <t>mundomex.com.mx</t>
  </si>
  <si>
    <t>A-061</t>
  </si>
  <si>
    <t>V9-013</t>
  </si>
  <si>
    <t>Grupo Omnilife / Amaury Vergara / Chivas</t>
  </si>
  <si>
    <t>Controla Chivas y Estadio Akron (49,800 asientos, sede 4 partidos WC26). Chivas valuado USD 695-770M (Sportico 2025, posición #166 marcas deportivas globales). Estructura legal: Club Deportivo Guadalajara SA de CV + Promotora del Templo Mayor de Chivas. Litigio civil Exp. 150/20 con Angélica Fuentes por herencia hijas.</t>
  </si>
  <si>
    <t>El segundo activo más valioso del fútbol mexicano (Chivas USD 730M Sportico) con el estadio propio más relevante de WC26 en la ciudad más importante del interior. La opacidad financiera ('Fillip Holdings' no verificable) y el litigio familiar generan incertidumbre sobre estructura de control.</t>
  </si>
  <si>
    <t>Chivas USD 695-770M (Sportico 2025) · Estadio Akron 4 partidos WC26 · Litigio herencia Fuentes activo · Chivas Femenil</t>
  </si>
  <si>
    <t>Chivas · Estadio Akron</t>
  </si>
  <si>
    <t>2 propiedades absorbidas. Chivas: 100% accionario [R-13: Propiedad cross-género: el equipo femenil se mapea como propiedad dentro de este actor, no como actor standalone separado.]</t>
  </si>
  <si>
    <t>chivas.mx | omnilife.com</t>
  </si>
  <si>
    <t>Litigio civil Exp. 150/20 FUENTE ÚNICA (impacto en fichajes 2020-2024 inferido por periodistas). 'Fillip Holdings' NO VERIFICABLE — excluido de ficha. Rumores MG Motors (~25%) desmentidos por Vergara mar-2025.</t>
  </si>
  <si>
    <t>A-062</t>
  </si>
  <si>
    <t>V9-014</t>
  </si>
  <si>
    <t>Grupo Orlegi</t>
  </si>
  <si>
    <t>V1 · V7</t>
  </si>
  <si>
    <t>CDMX / Sinaloa</t>
  </si>
  <si>
    <t>Vendió Atlas FC a Grupo PRODI de José Miguel Bejos por ~USD 220-250M (asamblea dueños 23-abr-2026; traspaso efectivo 1-jul-2026 sujeto a COFECE). Conserva Santos Laguna como único activo en Liga MX. Portafolio internacional: Real Sporting de Gijón (73%, EUR 43M en 2022; tensión de liquidez reportada).</t>
  </si>
  <si>
    <t>La desinversión de Atlas materializa la segunda transacción más grande del mercado de clubes en 2026 (USD 220-250M) y confirma el efecto multipropiedad en la reestructuración del paisaje propietario de Liga MX.</t>
  </si>
  <si>
    <t>Venta Atlas USD 220-250M abr-2026 · Santos Laguna · Real Sporting de Gijón 73% · Santos Laguna (varonil + Femenil Guerreras) · Real Sporting de Gijón (73%, España) · Academia AGA Torreón · Estadio Corona TSM</t>
  </si>
  <si>
    <t>Santos Laguna · Real Sporting de Gijón (73%)</t>
  </si>
  <si>
    <t>2 propiedades absorbidas. Santos Laguna: 100% accionario [DESCONSOLIDACIÓN ATLAS jun-2026: Orlegi vendió Atlas FC a PRODI (A-064) por aprox USD 220M; Orlegi mantiene operación hasta 30-jun-2026, salida formal del activo 1-jul-2026. Post-venta Orlegi queda como holding mono-club Liga MX (Santos Laguna) más operaciones Real Sporting Gijón en España. Cierra ciclo de 7 años en Atlas con bicampeonato 2021-2022 y Academia AGA.] [v1.00.29: Tras venta Atlas 1-jul-2026 queda como Santos Laguna + Sporting Gijón. Presidente Alejandro Irarragorri Gutiérrez. Ex Salinas Atlas (2019-2026).]</t>
  </si>
  <si>
    <t>No divulgado</t>
  </si>
  <si>
    <t>Tensión de liquidez reportada por El Gol Digital en Sporting de Gijón (negociación venta EUR 45-50M). Estructura holding (SAPI/SA/fideicomiso) no divulgada.</t>
  </si>
  <si>
    <t>A-063</t>
  </si>
  <si>
    <t>V9-015</t>
  </si>
  <si>
    <t>Grupo Pachuca</t>
  </si>
  <si>
    <t>Pachuca, Hidalgo</t>
  </si>
  <si>
    <t>Holding multi-club con Pachuca, León (asking price USD 500M, estimado mercado USD 200M; vetado Mundial de Clubes 2025 por multipropiedad), Tlaxcala, Real Oviedo 51%, Everton Viña del Mar y Talleres Córdoba. Jesús Martínez con orden de aprehensión desde oct-2025 por disputa derechos con Grupo Lauman/Fox Sports MX.</t>
  </si>
  <si>
    <t>La crisis judicial de su propietario, la exclusión del Mundial de Clubes y la venta forzada de León configuran el caso más crítico de desinversión estructural en Liga MX 2026. León en venta libera el segundo activo de mayor valor del mercado.</t>
  </si>
  <si>
    <t>Exclusión León Mundial de Clubes 2025 (FIFA art. 10.1) · Orden aprehensión Martínez oct-2025 · León asking price USD 500M · Pachuca Femenil (Tuzas) y León Femenil · Venta León en proceso (cierre est. jul-2026)</t>
  </si>
  <si>
    <t>Club Pachuca · Real Oviedo (51%)</t>
  </si>
  <si>
    <t>2 propiedades absorbidas. Club Pachuca: 100% accionario [R-13: Propiedad cross-género: el equipo femenil se mapea como propiedad dentro de este actor, no como actor standalone separado.] [VENTA LEÓN EN PROCESO mayo 2026: Grupo Pachuca opera León hasta cierre Clausura 2026; venta forzada por multipropiedad FIFA/Liga MX se cerraría para Apertura 2026 (jul-2026). Posible comprador: Apollo Group (A-005, según reportes Christian Ramírez oct-2025). Jesús Martínez Murguía permanecería como socio minoritario. Verificar y actualizar en v1.00.28+.]</t>
  </si>
  <si>
    <t>Orden aprehensión Jesús Martínez Patiño (28-oct-2025). Estado de protegido por amparo provisional (expediente 1096/2025) es FUENTE ÚNICA (La Silla Rota). Asking price USD 500M vs estimado de mercado USD 200M.</t>
  </si>
  <si>
    <t>A-064</t>
  </si>
  <si>
    <t>V9-016</t>
  </si>
  <si>
    <t>Grupo PRODI / José Miguel Bejos</t>
  </si>
  <si>
    <t>Comprador de Atlas FC a Grupo Orlegi por ~USD 220-250M (aprobado en asamblea dueños 23-abr-2026; traspaso efectivo 1-jul-2026, sujeto a aprobación de la Comisión Nacional Antimonopolio (CNA, sucesora de COFECE)). Grupo PRODI y José Miguel Bejos son actores nuevos en el ecosistema deportivo mexicano.</t>
  </si>
  <si>
    <t>La segunda transacción más grande del mercado de clubes en 2026 (después de GA-Ollamani). Atlas es uno de los tres mejores activos de cantera de Liga MX. El perfil de Grupo PRODI/Bejos requiere enriquecimiento para evaluar estructura de capital y tesis de inversión.</t>
  </si>
  <si>
    <t>Compra Atlas USD 220-250M abr-2026 · Nuevo propietario Liga MX · Grupo PRODI · Pericos de Puebla (LMB) · Atlas FC (varonil + Femenil) desde 1-jul-2026 · Academia AGA (heredada) · Estadio Jalisco (operación)</t>
  </si>
  <si>
    <t>Club Atlas</t>
  </si>
  <si>
    <t>1 propiedades absorbidas. Club Atlas: 100% accionario [TRANSICIÓN ATLAS abr-2026: FMF aprobó venta Atlas FC de Orlegi (A-062) a PRODI (A-064) el 23-abr-2026. Orlegi mantiene operación hasta 30-jun-2026; PRODI asume control total 1-jul-2026 (Apertura 2026). Transacción estimada USD 220M. Pendiente aprobación CNA. Incluye Academia AGA y derechos uso Estadio Jalisco.] [v1.00.29: José Miguel Bejos propietario. Doble franquicia LMB + Liga MX a partir Apertura 2026.]</t>
  </si>
  <si>
    <t>A-065</t>
  </si>
  <si>
    <t>V9-017</t>
  </si>
  <si>
    <t>Grupo Salinas / TV Azteca</t>
  </si>
  <si>
    <t>V2 · V5</t>
  </si>
  <si>
    <t>Vendió Mazatlán FC a Atlante/Emilio Escalante (abr-2026, ~USD 65M). Club Puebla en proceso de venta formal 2026. TV Azteca en concurso mercantil voluntario (26-feb-2026) con deuda USD 600M+ bonos + ~MXN 32,132M deuda SAT en 19 parcialidades. Línea deportiva histórica: Veracruz, Morelia, Jaguares, Atlas (vendido Orlegi USD 40M), Mazatlán.</t>
  </si>
  <si>
    <t>La crisis de TV Azteca y la desinversión deportiva activa reconfiguran el mapa de derechos TV en Liga MX y liberan activos (Puebla) al mercado. Acreedores argumentan teoría alter ego para perforar velo corporativo.</t>
  </si>
  <si>
    <t>Concurso mercantil TV Azteca feb-2026 (USD 600M+ bonos) · Venta Mazatlán USD 65M abr-2026 · Club Puebla en venta 2026</t>
  </si>
  <si>
    <t>Club Puebla · TV Azteca · Azteca Deportes · Box Azteca · Mexico Open at Vidanta (co-promotor)</t>
  </si>
  <si>
    <t>Holding Ricardo Salinas Pliego con presencia integrada deportiva: club Liga MX (Puebla), broadcasting (Azteca Deportes), boxeo (Box Azteca), co-promoción golf (Mexico Open). [DESCONSOLIDACIÓN MAZATLÁN abr-2026: Grupo Salinas se desprendió de Mazatlán FC, cuyo certificado de afiliación Liga MX fue adquirido por Emilio Escalante para refundar Atlante FC en Primera División. Mazatlán FC sale de Liga MX al cierre del Clausura 2026. Atlante regresa tras 12 años de ausencia. Mazatlán Femenil EXCLUIDA del workbook bajo E-07 (huérfana sin holding mapeado tras desconsolidación).]</t>
  </si>
  <si>
    <t>tvazteca.com</t>
  </si>
  <si>
    <t>Concurso mercantil TV Azteca activo desde feb-2026. Deuda SAT ~MXN 32,132M. Proceso venta Puebla es FUENTE ÚNICA. Acreedores SDNY aplican teoría alter ego.</t>
  </si>
  <si>
    <t>A-066</t>
  </si>
  <si>
    <t>V9-018</t>
  </si>
  <si>
    <t>Grupo Vidanta</t>
  </si>
  <si>
    <t>Nuevo Vallarta, Nayarit</t>
  </si>
  <si>
    <t>Holding de Daniel Chávez Morán propietario de Vidanta Vallarta (sede PGA Tour MX). Co-promotor del Mexico Open con Grupo Salinas (Ricardo).</t>
  </si>
  <si>
    <t>Único holding mexicano con propiedad de venue de golf de PGA Tour (Vidanta Vallarta) y co-promoción de evento ATP/PGA premium nacional.</t>
  </si>
  <si>
    <t>Vidanta Resorts (hoteles) · Vidanta Nuevo Vallarta · Cirque du Soleil Joyà (residencia) · World Wide Technology Championship at Tiger Woods Course (PGA Tour) · Vidanta Golf Riviera Maya · Vidanta Aviation · GPF Pickleball Tournaments</t>
  </si>
  <si>
    <t>Vidanta Vallarta (PGA Tour México)</t>
  </si>
  <si>
    <t>1 propiedades absorbidas. VidantaWorld Mexico Open: control operacional / concesión [v1.00.29: Familia Chávez Family Office. Hub de hospitality + golf premium + pickleball emergente en MX.]</t>
  </si>
  <si>
    <t>vidanta.com</t>
  </si>
  <si>
    <t>A-067</t>
  </si>
  <si>
    <t>V5-007</t>
  </si>
  <si>
    <t>GS Sports Management</t>
  </si>
  <si>
    <t>Tenis</t>
  </si>
  <si>
    <t>Opera Guadalajara Open Akron (WTA 500); Mérida Open Akron (WTA 250); WTA 125 Vallarta y SLP; UTS Guadalajara (2025). Contrato GDL hasta 2029 con opción a 2034.</t>
  </si>
  <si>
    <t>Canal alterno a Mextenis; único licenciatario WTA elite activo en LatAm. Opera en números rojos pero sin sustituto.</t>
  </si>
  <si>
    <t>GS Sports Management · Acuerdos hospitality · Sport events Mexico operations · Representación talento sport</t>
  </si>
  <si>
    <t>Guadalajara Open Akron (operación · co-promotor Mextenis)</t>
  </si>
  <si>
    <t>Operador local del WTA Guadalajara Open Akron. Co-promueve con Mextenis y patrocinadores locales (Akron). [v1.00.29: operación mediana en CDMX, alianzas con marcas para activaciones puntuales.]</t>
  </si>
  <si>
    <t>wtatennis.com</t>
  </si>
  <si>
    <t>A-068</t>
  </si>
  <si>
    <t>V7-004</t>
  </si>
  <si>
    <t>Hard Rock Stadium (Miami, FL)</t>
  </si>
  <si>
    <t>7 partidos WC26 incluido tercer lugar · Sede recurrente Selección MX gira EE.UU. · Stephen Ross con rol formal en ecosistema</t>
  </si>
  <si>
    <t>A-069</t>
  </si>
  <si>
    <t>V8-005</t>
  </si>
  <si>
    <t>Hawk-Eye Innovations (Sony)</t>
  </si>
  <si>
    <t>Sin base operativa permanente MX — despliegue para WC26 en 3 venues MX</t>
  </si>
  <si>
    <t>VAR Technology Provider oficial de FIFA para el Mundial 2026 en los 16 venues, incluidos los tres mexicanos. Provee SAOT (12 cámaras ópticas, tracking 29 puntos por jugador a 50fps) y Goal-Line Technology (14 cámaras alta velocidad por estadio). JV con FIFA: Football Technology Centre AG.</t>
  </si>
  <si>
    <t>Es la única tecnología de officiating habilitada por FIFA en sus torneos; coexistirá temporalmente con la infraestructura Genius/Mediapro instalada en venues mexicanos para Liga MX.</t>
  </si>
  <si>
    <t>VAR oficial FIFA WC26 · JV Football Technology Centre AG con FIFA · Perdió licitación doméstica Liga MX 2025 ante Genius Sports</t>
  </si>
  <si>
    <t>VAR Liga MX · Hawk-Eye Live tennis (Abierto Mexicano) · Goal-line technology FIFA</t>
  </si>
  <si>
    <t>Subsidiaria de Sony. Provee tecnología de video review a FMF/Liga MX, tenis ATP/WTA, y FIFA WC26.</t>
  </si>
  <si>
    <t>A-070</t>
  </si>
  <si>
    <t>V3-012</t>
  </si>
  <si>
    <t>Heineken México</t>
  </si>
  <si>
    <t>Title sponsor del Gran Premio de México F1 (Heineken Gran Premio de México, antes Gran Premio de México a secas). Socio del fideicomiso privado del GP México. Heineken es el title sponsor global de F1 (partnership con Liberty Media).</t>
  </si>
  <si>
    <t>La combinación de title local (GP México) + partnership global F1 (Heineken es el title partner global) le da a Heineken México la mayor cobertura de patrocinio F1 en el mercado nacional.</t>
  </si>
  <si>
    <t>Title GP México F1; socio fideicomiso privado GP México; partnership global F1 (title partner global Liberty Media)</t>
  </si>
  <si>
    <t>heineken.com.mx</t>
  </si>
  <si>
    <t>A-071</t>
  </si>
  <si>
    <t>V5-008</t>
  </si>
  <si>
    <t>HG Promotores en Deporte y Entretenimiento</t>
  </si>
  <si>
    <t>San Pedro Garza García, NL</t>
  </si>
  <si>
    <t>Opera Abierto GNP Seguros Monterrey (WTA 500 desde 2024; antes WTA 250 desde 2009). Hospitality in-house. Derrama 2025: MXN 220M.</t>
  </si>
  <si>
    <t>Único licenciatario WTA 500 en NL; independiente; operación familiar consolidada ~50 años. Ascenso a WTA 500 en 2024.</t>
  </si>
  <si>
    <t>Abierto GNP Seguros Monterrey WTA 500; operación familiar desde 1976; ascenso WTA 500 en 2024</t>
  </si>
  <si>
    <t>A-072</t>
  </si>
  <si>
    <t>V3-013</t>
  </si>
  <si>
    <t>Hisense</t>
  </si>
  <si>
    <t>Patrocinador FIFA de Tier 1 global para el WC26, lo que le garantiza visibilidad en los 13 partidos del WC26 en México (estadios, transmisiones, hospitality). No tiene patrocinio directo con la FMF, Liga MX ni clubes mexicanos.</t>
  </si>
  <si>
    <t>La presencia de Hisense en México es exclusivamente vía el deal FIFA global. No tiene activación local directa. Su visibilidad en los 13 partidos en México es parte del deal global.</t>
  </si>
  <si>
    <t>Partner FIFA Tier 1 global WC26; visibilidad en 13 partidos MX; sin deal directo FMF ni Liga MX</t>
  </si>
  <si>
    <t>hisense.com.mx</t>
  </si>
  <si>
    <t>Excluido P9.1 — depuración Tier 3 baja huella</t>
  </si>
  <si>
    <t>A-073</t>
  </si>
  <si>
    <t>V8-006</t>
  </si>
  <si>
    <t>Hudl (Sportscode + Wyscout + Wimu + StatsBomb + Signal)</t>
  </si>
  <si>
    <t>Sin base operativa permanente MX — mandato vía CITEC FMF (Toluca)</t>
  </si>
  <si>
    <t>Stack tecnológico oficial del fútbol mexicano vía alianza 7+ años con la FMF y el CITEC. WIMU PRO (GPS wearable híbrido GPS+UWB) desplegado en 18 clubes Liga MX y selecciones. Wyscout para scouting global. Sportscode documentado en case study con Cruz Azul. Taller conjunto Hudl-CITEC en sede FMF Toluca (sept-2025).</t>
  </si>
  <si>
    <t>Integrador de facto del performance en Liga MX; desplaza a Catapult, STATSports y Polar por mandato institucional CITEC; cualquier cambio en la relación Hudl-CITEC reverberaría en los 18 cuerpos técnicos.</t>
  </si>
  <si>
    <t>Mandato CITEC 7+ años · WIMU PRO en 18 clubes Liga MX · Stack integrado: GPS + scouting + video + data analítica</t>
  </si>
  <si>
    <t>hudl.com</t>
  </si>
  <si>
    <t>A-074</t>
  </si>
  <si>
    <t>V6-004</t>
  </si>
  <si>
    <t>Incode Technologies</t>
  </si>
  <si>
    <t>San Francisco (sede global) · Ciudad de México (operación Liga MX)</t>
  </si>
  <si>
    <t>Proveedor tecnológico exclusivo del Fan ID de la Liga MX: sistema obligatorio de verificación biométrica para ingresar a todos los estadios Liga MX desde noviembre 2022. Mandato: 35 equipos, 30+ estadios, 400+ partidos al año. Opera mediante selfie + escaneo de INE + QR personal e intransferible.</t>
  </si>
  <si>
    <t>Controla la infraestructura de identidad del 100% del fútbol profesional mexicano; ninguna boletera puede completar el journey del fan al torniquete sin el API de Incode, creando una dependencia estructural transversal.</t>
  </si>
  <si>
    <t>Mandato exclusivo Fan ID Liga MX · Unicornio mexicano USD 1.25B · Leader Gartner Magic Quadrant Identity Verification 2 años consecutivos</t>
  </si>
  <si>
    <t>incode.com</t>
  </si>
  <si>
    <t>AZUL — Manejo de datos biométricos sensibles de millones de aficionados; cualquier filtración expone a Incode y FMF a sanciones INAI.</t>
  </si>
  <si>
    <t>A-075</t>
  </si>
  <si>
    <t>V1-013</t>
  </si>
  <si>
    <t>INDEPORTE — Instituto del Deporte de la Ciudad de México</t>
  </si>
  <si>
    <t>Ciudad de México (Av. División del Norte 2333)</t>
  </si>
  <si>
    <t>Rights holder institucional y presidente del comité organizador del Maratón CDMX Telcel (XLIII edición 2026, WA Gold Label, ~30,000 inscritos) y del Medio Maratón CDMX BBVA (XIX edición 2026, AIMS certificado, ~30,000 inscritos). Opera las plataformas de registro oficial (maraton.cdmx.gob.mx y 21k.cdmx.gob.mx). Negocia y otorga los naming rights de los eventos a sponsors.</t>
  </si>
  <si>
    <t>Controla el inventario comercial de los dos eventos de running más convocados de México: 60,000+ registros combinados. La negociación de title sponsorship (BBVA, Telcel) pasa por INDEPORTE como rights holder.</t>
  </si>
  <si>
    <t>Rights holder Maratón CDMX Telcel (WA Gold Label); rights holder Medio Maratón CDMX BBVA; plataformas oficiales 21k.cdmx.gob.mx y maraton.cdmx.gob.mx</t>
  </si>
  <si>
    <t>indeporte.cdmx.gob.mx</t>
  </si>
  <si>
    <t>A-076</t>
  </si>
  <si>
    <t>V9-019</t>
  </si>
  <si>
    <t>Innovatio Capital / Club Querétaro</t>
  </si>
  <si>
    <t>Atlanta, GA (sin base operativa MX declarada)</t>
  </si>
  <si>
    <t>Compró Club Querétaro a Grupo Caliente por USD 120M (jul-2025) para resolver multipropiedad. Primera y única inversión deportiva de Innovatio. Co-inversores no divulgados de México, EE.UU. y Europa; incluye Adrián Madero del Fonseca Group. Fundado hace ~2 años por Marc Spiegel (cofundador Rubicon Global).</t>
  </si>
  <si>
    <t>Primera entrada de capital externo estadounidense PE en un club Liga MX. USD 120M por Querétaro (sin estadio propio) establece un piso de mercado relevante. El proyecto de estadio propio anunciado en sep-2025 indica apuesta estructural de largo plazo.</t>
  </si>
  <si>
    <t>USD 120M Querétaro jul-2025 · Primer PE estadounidense en Liga MX · Marc Spiegel (cofundador Rubicon Global) · Gallos Femenil (Querétaro)</t>
  </si>
  <si>
    <t>Club Querétaro · Estadio Corregidora</t>
  </si>
  <si>
    <t>2 propiedades absorbidas. Club Querétaro: 100% accionario [R-13: Propiedad cross-género: el equipo femenil se mapea como propiedad dentro de este actor, no como actor standalone separado.]</t>
  </si>
  <si>
    <t>innovatio.capital</t>
  </si>
  <si>
    <t>A-077</t>
  </si>
  <si>
    <t>V4-002</t>
  </si>
  <si>
    <t>Jump SMS (Jump Sportainment Solutions)</t>
  </si>
  <si>
    <t>Consultora estratégica</t>
  </si>
  <si>
    <t>Diagnóstico/selección propiedades; valuación tangible/intangible patrocinio y naming; reportes ROI con eye-tracker y ROO con IA; estrategia multimedia.</t>
  </si>
  <si>
    <t>Produce inteligencia pública sobre mercado mexicano de patrocinios. Referente editorial ESPN, Forbes, El Economista.</t>
  </si>
  <si>
    <t>Análisis anual patrocinios Liga MX; valuación naming rights</t>
  </si>
  <si>
    <t>jump-sms.com</t>
  </si>
  <si>
    <t>A-078</t>
  </si>
  <si>
    <t>V8-007</t>
  </si>
  <si>
    <t>KAGR (Kraft Analytics Group)</t>
  </si>
  <si>
    <t>V7 · V4</t>
  </si>
  <si>
    <t>Plataforma data / analytics deportivo</t>
  </si>
  <si>
    <t>Sin base operativa permanente MX — mandato ejecutado vía Grupo Águilas/Estadio Banorte</t>
  </si>
  <si>
    <t>Plataforma propietaria de Customer Data Platform y consultoría de fan experience contratada por Grupo Águilas (Club América + Estadio Banorte) tras entrada de General Atlantic con 49% (dic-2025). Ambición declarada: 45 millones de aficionados (30M México + 15M EE.UU.).</t>
  </si>
  <si>
    <t>Primer caso público de proveedor estadounidense de fan analytics integrado al club más grande de México de cara al Mundial 2026; define el estándar competitivo post-2026 para Rayados, Tigres y Chivas.</t>
  </si>
  <si>
    <t>Primer fan analytics platform estadounidense en Liga MX · 45M fans MX+US ambición declarada · Blueprint para Rayados/Tigres/Chivas</t>
  </si>
  <si>
    <t>kagr.com</t>
  </si>
  <si>
    <t>A-079</t>
  </si>
  <si>
    <t>V5-009</t>
  </si>
  <si>
    <t>Konnecta Travel</t>
  </si>
  <si>
    <t>Agencia mexicana especializada en paquetes deportivos: Super Bowl, F1, Champions League, NBA, MLB, tenis. Combina boletos, hotel, traslados y experiencias para fan premium.</t>
  </si>
  <si>
    <t>Única agencia mexicana verificada con portafolio multi-propiedad que incluye F1, NFL, Champions y NBA.</t>
  </si>
  <si>
    <t>Portafolio multi-propiedad; única agencia mexicana nativa en travel deportivo premium verificado</t>
  </si>
  <si>
    <t>konnectaviajes.com</t>
  </si>
  <si>
    <t>A-080</t>
  </si>
  <si>
    <t>V5-010</t>
  </si>
  <si>
    <t>Ledec Technology</t>
  </si>
  <si>
    <t>Provee infraestructura AV gran formato (pantallas LED, sistemas de sonido, producción en vivo) para Fan Zones del Mundial 2026. Mandato WC26 verificado.</t>
  </si>
  <si>
    <t>Proveedor AV que materializa experiencia visual en Fan Zones del evento más importante de México 2026.</t>
  </si>
  <si>
    <t>Mandato AV Fan Zones WC26; único proveedor AV gran formato verificado en WC26 Fan Zones</t>
  </si>
  <si>
    <t>A-081</t>
  </si>
  <si>
    <t>V8-008</t>
  </si>
  <si>
    <t>Lenovo</t>
  </si>
  <si>
    <t>Sin base operativa dedicada MX en WC26 — mandato FIFA en los 3 venues mexicanos</t>
  </si>
  <si>
    <t>Provee infraestructura/hardware/AI para FIFA WC26 en los 16 venues incluidos los tres mexicanos: ThinkPad, Motorola, servidores, Football AI Pro (asistente IA generativa), avatares 3D para SAOT, Referee View con estabilización IA. Soporta a Hawk-Eye en operaciones VAR.</t>
  </si>
  <si>
    <t>Único Official Technology Partner FIFA WC26; la combinación Lenovo+Hawk-Eye define la arquitectura tecnológica de los 13 partidos mundialistas en suelo mexicano.</t>
  </si>
  <si>
    <t>Official Technology Partner FIFA WC26 · Football AI Pro + avatares 3D SAOT · Soporta Hawk-Eye VAR en 3 venues MX</t>
  </si>
  <si>
    <t>lenovo.com</t>
  </si>
  <si>
    <t>A-082</t>
  </si>
  <si>
    <t>V3-014</t>
  </si>
  <si>
    <t>Libertad Financiera</t>
  </si>
  <si>
    <t>San Luis Potosí</t>
  </si>
  <si>
    <t>Firmó los naming rights del estadio del Atlético de San Luis desde ene-2026. Primer acuerdo de naming de estadio Liga MX para una fintech mexicana.</t>
  </si>
  <si>
    <t>Primer fintech mexicana con naming rights de estadio Liga MX. El acuerdo con Atlético de San Luis (propiedad del Atlético de Madrid/Apollo) crea una relación sponsor-activo transnacional inusual.</t>
  </si>
  <si>
    <t>Primer fintech MX con naming estadio Liga MX (Atlético San Luis ene-2026); actor deportivo emergente</t>
  </si>
  <si>
    <t>Ticketmaster México · Estadio GNP Seguros (Ex Foro Sol) · Autódromo Hermanos Rodríguez · Palacio de los Deportes</t>
  </si>
  <si>
    <t>4 propiedades absorbidas. Control operativo verificado en auditoría Padres/Hijos v3.</t>
  </si>
  <si>
    <t>A-083</t>
  </si>
  <si>
    <t>V1-014</t>
  </si>
  <si>
    <t>Liga Mexicana del Pacífico (LMP)</t>
  </si>
  <si>
    <t>Sede LMP (Hermosillo)</t>
  </si>
  <si>
    <t>Organiza temporada béisbol invernal oct-feb. Campeón clasifica a Serie del Caribe.</t>
  </si>
  <si>
    <t>Una de las 2 ligas pro de béisbol en MX (junto con LMB verano). Plataforma para Serie del Caribe (representa MX).</t>
  </si>
  <si>
    <t>LMP temporada invierno (octubre-enero) · Caribbean Series (con Cuba, RD, PR, VEN, Colombia, Panamá) · 10 clubes (Charros, Tomateros, Naranjeros, Yaquis, Águilas, Sultanes Pacífico, Mayos, Cañeros, Venados, Jaiberos) · Acuerdo televisivo ESPN Latin America</t>
  </si>
  <si>
    <t xml:space="preserve"> [v1.00.29: liga premier de invierno LATAM. Representa MX en Serie del Caribe MLB Pathway. CEO Omar Canizales.]</t>
  </si>
  <si>
    <t>lmp.mx</t>
  </si>
  <si>
    <t>A-084</t>
  </si>
  <si>
    <t>V1-015</t>
  </si>
  <si>
    <t>Liga MX</t>
  </si>
  <si>
    <t>V9 · V4</t>
  </si>
  <si>
    <t>Organiza el torneo de fútbol profesional más importante de México. Desde abr-2026 aprobó modelo de gobernanza como AC independiente (23-abr-2026); constitución jurídica formal proyectada para julio 2026 — a mayo-2026 NO está formalmente constituida. Modelo: Premier League / LaLiga. 4 comités estratégicos: Deportivo, Comercial, Inversión, Certificación y Ética.</t>
  </si>
  <si>
    <t>La separación jurídica FMF-Liga MX es el evento de gobernanza más importante en décadas. Abre ventana real a centralización comercial valorada en USD 480M+ anuales. Gestiona los contratos con BBVA (title), Caliente.mx (casa de apuestas oficial), Genius Sports (datos) y TEAM Marketing (derechos globales selecciones).</t>
  </si>
  <si>
    <t>Liga BBVA MX varonil (Apertura/Clausura) · Liga MX Femenil (A-151 vía R-06) · Campeón de Campeones · Leagues Cup (con MLS) · eLiga MX (esports oficial) · Liga de Expansión MX (Ascenso suspendido) · Asamblea de Dueños</t>
  </si>
  <si>
    <t xml:space="preserve"> [v1.00.29: presidente Mikel Arriola. Proceso 2026 de eliminación multipropiedad: Atlas, Querétaro, Mazatlán, León vendidos. Asamblea aprobó llegada Atlante (Escalante).]</t>
  </si>
  <si>
    <t>ligamx.net</t>
  </si>
  <si>
    <t>Separación jurídica FMF-Liga MX abr-2026; candidatura Iturbide a presidente (Fuente única) | FECHA CORREGIDA: la asamblea fue el 23-abr-2026 (Asamblea Ordinaria de Dueños, Toluca), no '23-24'. Votación unánime de los 18 clubes confirmada por Reforma, Infobae, El Universal, ESPN.</t>
  </si>
  <si>
    <t>A-085</t>
  </si>
  <si>
    <t>V1-016</t>
  </si>
  <si>
    <t>LIV Golf League (Mexico City)</t>
  </si>
  <si>
    <t>V9 · V5</t>
  </si>
  <si>
    <t>Arabia Saudita</t>
  </si>
  <si>
    <t>Ciudad de México (sede)</t>
  </si>
  <si>
    <t>Liga premium de golf disruptiva financiada por PIF (Saudi Public Investment Fund). Etapa Mexico City se juega anualmente en el Club de Golf Chapultepec. Primera edición MX 2023, recurrente desde entonces. Modelo de torneo con team play + individual play + premio prize $25M USD por evento.</t>
  </si>
  <si>
    <t>Único evento premium internacional V1 cuyo control de capital pasa directamente por PIF (V9-021). Su presencia en MX vincula el ecosistema deportivo mexicano con capital soberano saudí. Sede CDMX la convierte en stop premium de golf global cuando PGA Tour MX se juega en Vidanta Vallarta.</t>
  </si>
  <si>
    <t>LIV Golf México City (Club de Golf Chapultepec) · Anual ene-feb · Etapa LIV Tour Global · Patrocinio HSBC, Aramco, Riyadh Air</t>
  </si>
  <si>
    <t>Sede operativa Club de Golf Chapultepec; controlado 100% por PIF [v1.00.29: rebautizada en 2024-25 como LIV Golf México (de Mayakoba a Chapultepec). Backers Public Investment Fund Saudi Arabia.]</t>
  </si>
  <si>
    <t>livgolf.com</t>
  </si>
  <si>
    <t>A-086</t>
  </si>
  <si>
    <t>V3-015</t>
  </si>
  <si>
    <t>Maggi / Nestlé</t>
  </si>
  <si>
    <t>Alianza oficial entre Maggi/Nestlé y la FMF desde abr-2025 hasta dic-2026. Cubre la ventana del WC26 en México. Activaciones de marca vinculadas a la Selección Mexicana.</t>
  </si>
  <si>
    <t>Maggi inaugura la categoría de alimentos procesados como sponsor de la Selección Mexicana en la ventana mundialista. Deal de corto plazo (21 meses) pero estratégicamente posicionado alrededor del WC26.</t>
  </si>
  <si>
    <t>Alianza FMF abr-2025 a dic-2026; cobertura mundialista; primera categoría alimentos procesados Selección</t>
  </si>
  <si>
    <t>nestle.com.mx</t>
  </si>
  <si>
    <t>A-087</t>
  </si>
  <si>
    <t>V1-017</t>
  </si>
  <si>
    <t>Maratón de la Ciudad de México Telcel</t>
  </si>
  <si>
    <t>Ciudad de México (salida: CU/UNAM; meta: Zócalo)</t>
  </si>
  <si>
    <t>Organiza el maratón de 42K más grande de México por inscritos (~30,000) y el único con etiqueta WA Gold Label en el país. Edición 2026 (XLIII): 30 de agosto, salida desde Insurgentes/CU, meta en el Zócalo. Incluye serial preparatorio de carreras coordinado por INDEPORTE.</t>
  </si>
  <si>
    <t>Único WA Gold Label de México. Mayor evento de running por masa crítica: 30,000 corredores activos. Telcel lleva más de 10 años como title sponsor.</t>
  </si>
  <si>
    <t>Único WA Gold Label México; XLIII edición 2026 (30 ago); ~30,000 inscritos; Telcel title sponsor 10+ años; salida CU, meta Zócalo</t>
  </si>
  <si>
    <t>Maratón anual CDMX (42K) · Eventos satélite (medio maratón, 10K)</t>
  </si>
  <si>
    <t>Evento operado por INDEPORTE Ciudad de México con title sponsor Telcel. Producción ejecutiva: Emoción Deportiva.</t>
  </si>
  <si>
    <t>maraton.cdmx.gob.mx</t>
  </si>
  <si>
    <t>A-088</t>
  </si>
  <si>
    <t>V1-018</t>
  </si>
  <si>
    <t>Maratón Powerade Monterrey</t>
  </si>
  <si>
    <t>Monterrey, Nuevo León (Parque Fundidora, salida y meta)</t>
  </si>
  <si>
    <t>Organiza el segundo maratón de México por número de participantes (8,300 en edición 2025). 42K, certificado AIMS, clasificatorio Boston, aval FMAA e IAAF. 19 ediciones. Title sponsor: Powerade (vía Coca-Cola V3-025). Presentado con Brooks Running México. Operado por comité privado independiente.</t>
  </si>
  <si>
    <t>El segundo maratón de México por participación. A diferencia del Maratón CDMX (propiedad pública) y el Medio Maratón GDL (propiedad municipal), el Maratón Powerade Monterrey es propiedad de un comité privado: el modelo de acceso para sponsors es distinto.</t>
  </si>
  <si>
    <t>Segundo maratón de México por participantes (8,300 en 2025); 19 ediciones; AIMS clasificatorio Boston; Powerade title sponsor vía Coca-Cola; Brooks Running México presenting</t>
  </si>
  <si>
    <t>Maratón Monterrey 42K (anual)</t>
  </si>
  <si>
    <t>Title sponsor Powerade (The Coca-Cola Company). Operación local Asociación de Atletismo de Nuevo León.</t>
  </si>
  <si>
    <t>maratonmonterrey.mx</t>
  </si>
  <si>
    <t>A-089</t>
  </si>
  <si>
    <t>V3-016</t>
  </si>
  <si>
    <t>Mattel de México SA de CV</t>
  </si>
  <si>
    <t>Licencia la marca Barbie para la Barbie Run México, evento de running organizado por ASdeporte. Edición 2024 (primera en México): CDMX y Monterrey. Edición 2025: CDMX (23 nov, 15,000 participantes esperados), Guadalajara y Monterrey. 40,000+ participantes acumulados en LATAM.</t>
  </si>
  <si>
    <t>Primer caso verificado en el ecosistema Running/Wellness mexicano de una empresa de entretenimiento/IP (no telecom, no bebidas deportivas, no financiero) usando el running como plataforma de activación de marca a escala de 15,000 participantes.</t>
  </si>
  <si>
    <t>Licenciante Barbie Run México (2024-2025); 15,000 participantes CDMX 2025; multi-sede LATAM (40,000+ acumulados); marca Barbie como IP licenciada en evento deportivo masivo</t>
  </si>
  <si>
    <t>mattel.com/es-mx</t>
  </si>
  <si>
    <t>A-090</t>
  </si>
  <si>
    <t>V2-009</t>
  </si>
  <si>
    <t>Max / HBO Max Warner Bros. Discovery</t>
  </si>
  <si>
    <t>Uno de los broadcasters de la UEFA Champions League en México (compartida). Derechos europeos de fútbol de clubes como ancla deportiva en el mercado mexicano.</t>
  </si>
  <si>
    <t>La Champions League es el producto europeo con mayor audiencia en México. Max compite con ESPN/Disney+ en el segmento de fútbol europeo de élite.</t>
  </si>
  <si>
    <t>UEFA Champions League compartida en MX; WBD como broadcaster europeo de élite</t>
  </si>
  <si>
    <t>max.com</t>
  </si>
  <si>
    <t>A-091</t>
  </si>
  <si>
    <t>V8-009</t>
  </si>
  <si>
    <t>Mediapro</t>
  </si>
  <si>
    <t>Ciudad de México (centro producción) · Monterrey (centro producción)</t>
  </si>
  <si>
    <t>Operador histórico del VAR de Liga MX desde su debut el 19-oct-2018 (Atlas vs Veracruz). Mantiene dos centros de producción en CDMX y Monterrey con tecnología EVS y Sony. En la nueva arquitectura SAOT 2026, Mediapro conserva la operación mientras Genius Sports aporta la capa de visión por computadora.</t>
  </si>
  <si>
    <t>8 años de continuidad operativa VAR Liga MX; su relación con Genius Sports en el rollout SAOT 2026 lo consolida como brazo operativo de la infraestructura de arbitraje.</t>
  </si>
  <si>
    <t>Operador VAR Liga MX desde 2018 (8 años) · Dos centros producción MX (CDMX + MTY) · Coexiste con Genius Sports SAOT 2026</t>
  </si>
  <si>
    <t>mediapromexico.tv</t>
  </si>
  <si>
    <t>A-092</t>
  </si>
  <si>
    <t>V1-019</t>
  </si>
  <si>
    <t>Medio Maratón de la Ciudad de México BBVA</t>
  </si>
  <si>
    <t>Ciudad de México (ruta nueva 2026: salida Hemiciclo a Juárez; meta Ángel de la Independencia)</t>
  </si>
  <si>
    <t>Organiza el medio maratón de 21K más grande de México por inscritos (~30,000), con certificación AIMS y avales de la FMAA y World Athletics. Expo de 3 días en WTC CDMX (100,000 visitantes en 2025). Edición 2026: XIX, julio 2026. Estrena ruta nueva.</t>
  </si>
  <si>
    <t>30,000 corredores inscritos y Expo con 100,000 visitantes convierten al evento en el mayor punto de contacto de marca en running de CDMX por densidad de interacción. BBVA documentado como title sponsor en la ficha V3-001 del tracker.</t>
  </si>
  <si>
    <t>XIX edición 2026 con ruta nueva; Expo 100,000 visitantes WTC CDMX; BBVA title sponsor; ~30,000 inscritos; AIMS certificado</t>
  </si>
  <si>
    <t>Medio Maratón CDMX 21K (anual) · Eventos satélite</t>
  </si>
  <si>
    <t>Title sponsor BBVA. Operación INDEPORTE CDMX. Producción Emoción Deportiva.</t>
  </si>
  <si>
    <t>21k.cdmx.gob.mx</t>
  </si>
  <si>
    <t>A-093</t>
  </si>
  <si>
    <t>V1-020</t>
  </si>
  <si>
    <t>Medio Maratón Internacional Guadalajara Electrolit</t>
  </si>
  <si>
    <t>Guadalajara, Jalisco (meta: Zona Minerva)</t>
  </si>
  <si>
    <t>Organiza el mayor evento de running de Guadalajara: 23,000 participantes (cupo ampliado, inscripciones agotadas en dic-2025), WA Platinum Label (máxima certificación WA, superior al Gold Label del Maratón CDMX), clasificatorio para Campeonato Mundial de Medio Maratón. Patrimonio Cultural Inmaterial del Municipio de Guadalajara. 40 ediciones consecutivas.</t>
  </si>
  <si>
    <t>El evento de running con mayor certificación técnica de México (Platinum Label vs Gold Label del Maratón CDMX). Electrolit construyó su dominio en el segmento de bebidas deportivas en parte a través del naming de este evento.</t>
  </si>
  <si>
    <t>WA Platinum Label (único en México); 23,000 participantes, cupo agotado en dic-2025; 40 ediciones; Electrolit title sponsor; Patrimonio Cultural Inmaterial Guadalajara</t>
  </si>
  <si>
    <t>Medio Maratón GDL 21K (anual) · Eventos satélite</t>
  </si>
  <si>
    <t>Title sponsor Electrolit (Grupo PiSA). Operación local Comude Guadalajara.</t>
  </si>
  <si>
    <t>| Confirmado: este evento es el referido en correcciones como "21K Guadalajara". Mismo evento, nomenclatura consolidada en "Medio Maratón Internacional Guadalajara Electrolit".</t>
  </si>
  <si>
    <t>A-094</t>
  </si>
  <si>
    <t>V2-010</t>
  </si>
  <si>
    <t>Mediotiempo</t>
  </si>
  <si>
    <t>Portal deportivo digital con enfoque en fútbol mexicano. Fuente de referencia editorial para el ecosistema. Propiedad compartida entre Grupo Multimedios (noreste) y Milenio.</t>
  </si>
  <si>
    <t>Referente editorial digital del ecosistema deportivo mexicano. Fuente primaria de cobertura de Liga MX para audiencias digitales.</t>
  </si>
  <si>
    <t>Portal deportivo referente Liga MX; propiedad Multimedios-Milenio; audiencia digital masiva</t>
  </si>
  <si>
    <t>mediotiempo.com</t>
  </si>
  <si>
    <t>A-095</t>
  </si>
  <si>
    <t>V3-017</t>
  </si>
  <si>
    <t>Mercado Pago / MercadoLibre</t>
  </si>
  <si>
    <t>Jersey sponsor de Chivas en la temporada 2024-25. No tiene deal formal con Liga MX. La posición de Mercado Pago en Chivas (el club con mayor fandom popular de México) es estratégicamente valiosa.</t>
  </si>
  <si>
    <t>Mercado Pago en Chivas es la fintech con mayor alcance de marca en el ecosistema de clubes mexicanos. Deal formal Liga MX pendiente de confirmación.</t>
  </si>
  <si>
    <t>Jersey Chivas 2024-25; fintech con mayor alcance Liga MX; deal formal Liga MX pendiente</t>
  </si>
  <si>
    <t>mercadopago.com.mx</t>
  </si>
  <si>
    <t>A-096</t>
  </si>
  <si>
    <t>V5-011</t>
  </si>
  <si>
    <t>Mextenis S.A. de C.V. (Grupo Pegaso)</t>
  </si>
  <si>
    <t>CDMX / Acapulco / Los Cabos</t>
  </si>
  <si>
    <t>Propietario directo licencias ATP 500 Acapulco y ATP 250 Los Cabos. Opera WTA 125 Cancún, Tennis Open SLP y Querétaro. Hospitality in-house. Contrato arrendamiento Mextenis-Mundo Imperial 10 años (~2032).</t>
  </si>
  <si>
    <t>Licenciatario ATP 500 más relevante de LatAm; franquicia Acapulco valuada USD 35-45M (NYT). Muerte fundador abr-2026: mayor vacante estructural en tenis mexicano en 3 décadas.</t>
  </si>
  <si>
    <t>ATP 500 Acapulco; ATP 250 Los Cabos; franquicia valuada USD 35-45M; muerte Burillo abr-2026</t>
  </si>
  <si>
    <t>Abierto Mexicano de Tenis (Acapulco) · WTA Guadalajara Open Akron · Mexico Open at Vidanta (co-promotor con Vidanta y Salinas)</t>
  </si>
  <si>
    <t>Operador histórico de tenis profesional en México. Brazo deportivo de Grupo Pegaso (Familia Cosío Pando). Mantiene derechos comerciales de los 3 eventos ATP/WTA premium del país.</t>
  </si>
  <si>
    <t>abiertomexicanodetenis.com</t>
  </si>
  <si>
    <t>Sucesión accionaria Burillo post-16-abr-2026 no transparente; riesgo estructural máximo</t>
  </si>
  <si>
    <t>A-097</t>
  </si>
  <si>
    <t>V9-020</t>
  </si>
  <si>
    <t>Moelis &amp; Co.</t>
  </si>
  <si>
    <t>Banca de inversión / Asesor M&amp;A</t>
  </si>
  <si>
    <t>Sin base operativa MX declarada</t>
  </si>
  <si>
    <t>Asesor financiero de Liga MX en las negociaciones de 'La Comercializadora' y en la separación jurídica como AC. Banco de inversión independiente especializado en reestructuras y deals corporativos complejos.</t>
  </si>
  <si>
    <t>El asesor financiero elegido por Liga MX define el framing metodológico para cualquier futura centralización comercial. Su presencia institucionaliza el proceso de valoración y due diligence que antes era informal en el ecosistema.</t>
  </si>
  <si>
    <t>Asesor financiero Liga MX (La Comercializadora) · Banco de inversión independiente · Mandato Arriola</t>
  </si>
  <si>
    <t>moelis.com</t>
  </si>
  <si>
    <t>A-098</t>
  </si>
  <si>
    <t>V1-021</t>
  </si>
  <si>
    <t>Naranjeros de Hermosillo (LMP)</t>
  </si>
  <si>
    <t>Hermosillo</t>
  </si>
  <si>
    <t>Compite en LMP invernal. Sede Estadio Sonora.</t>
  </si>
  <si>
    <t>Naranjeros: plurihistórico Serie del Caribe. Tradición LMP Sonora.</t>
  </si>
  <si>
    <t>Estadio Sonora; Serie del Caribe múltiples</t>
  </si>
  <si>
    <t>naranjeros.com.mx</t>
  </si>
  <si>
    <t>A-099</t>
  </si>
  <si>
    <t>V4-003</t>
  </si>
  <si>
    <t>Neta Agencia Deportiva</t>
  </si>
  <si>
    <t>CDMX / Puebla</t>
  </si>
  <si>
    <t>Relaciones públicas olímpicos/paralímpicos; gestión patrocinios; organización Deportium Puebla; activaciones BTL; programa Nutre tu Empresa; Valencia CF Soccer Camp México.</t>
  </si>
  <si>
    <t>Única agencia mexicana con congreso consolidado de industria (Deportium, 6 ediciones). Puerta marcas con olímpicos.</t>
  </si>
  <si>
    <t>Deportium congreso; representación olímpicos; Valencia CF Soccer Camp MX</t>
  </si>
  <si>
    <t>netaagenciadeportiva.com</t>
  </si>
  <si>
    <t>A-100</t>
  </si>
  <si>
    <t>V2-011</t>
  </si>
  <si>
    <t>Netflix México</t>
  </si>
  <si>
    <t>Firmó el 14 de abril de 2026 el primer acuerdo exclusivo país-México con Concacaf: Copa Oro y Nations League Finals 2027-2029. Coloca a la Selección Mexicana detrás de paywall en torneos masivos por primera vez en la historia. VP Carolina Leconte como arquitecta del deal.</t>
  </si>
  <si>
    <t>El deal Netflix-Concacaf es el evento de disrupción más reciente del ecosistema de medios deportivos mexicano. Pone la Selección Mexicana (en torneos CONCACAF) detrás de paywall por primera vez, forzando al aficionado a suscribirse o perder acceso.</t>
  </si>
  <si>
    <t>Primer deal deportivo exclusivo Concacaf en MX (abr-2026); Copa Oro + Nations League Finals 2027-29; El Tri detrás de paywall CONCACAF</t>
  </si>
  <si>
    <t>netflix.com</t>
  </si>
  <si>
    <t>A-101</t>
  </si>
  <si>
    <t>V3-018</t>
  </si>
  <si>
    <t>New Balance</t>
  </si>
  <si>
    <t>Kit técnico del Club Toluca (bicampeón Liga MX 2025). Reemplazó a Under Armour en 2023. El bicampeonato de Toluca en 2025 eleva significativamente el perfil de New Balance en el mercado mexicano.</t>
  </si>
  <si>
    <t>El bicampeonato de Toluca posiciona a New Balance en el ecosistema como el kit de los campeones 2025. Potencial palanca para expandir contratos en Liga MX.</t>
  </si>
  <si>
    <t>Kit Toluca bicampeón 2025; reemplazó Under Armour 2023; en ascenso en Liga MX</t>
  </si>
  <si>
    <t>newbalance.com.mx</t>
  </si>
  <si>
    <t>A-102</t>
  </si>
  <si>
    <t>V1-022</t>
  </si>
  <si>
    <t>NFL México City Games</t>
  </si>
  <si>
    <t>Ciudad de México (Estadio Banorte)</t>
  </si>
  <si>
    <t>Organiza partidos de temporada regular de la NFL en el Estadio Banorte. El acuerdo 2026-2028 confirma al Banorte como venue NFL para tres temporadas consecutivas con los 49ers como equipo local. NFL México City Games 2026 será el primer partido de la NFL en el Estadio Banorte reabierto.</t>
  </si>
  <si>
    <t>El evento internacional con mayor valor de patrocinio por edición después del GP México. La estructura 2026-2028 con los 49ers ancla al Banorte como venue internacional de primer nivel y valida la inversión de Ollamani/General Atlantic.</t>
  </si>
  <si>
    <t>Acuerdo 2026-2028 Estadio Banorte con 49ers; Banorte presenting partner NFL México; primer NFL en Banorte reabierto</t>
  </si>
  <si>
    <t>nfl.com/international</t>
  </si>
  <si>
    <t>A-103</t>
  </si>
  <si>
    <t>V3-019</t>
  </si>
  <si>
    <t>Nike</t>
  </si>
  <si>
    <t>Perdió el kit del Club América frente a Adidas en jul-2025. Recuperaría el kit de Chivas en jul-2026 (Puma sale). Presencia decreciente en Liga MX. Nike mantiene Pumas UNAM y recupera Chivas.</t>
  </si>
  <si>
    <t>La pérdida del América (por Adidas) y la transición en Chivas (sale Puma, entra Nike jul-2026) redefinen el mapa de kit deals del fútbol mexicano. Nike queda en segundo lugar detrás de Adidas en el ecosistema.</t>
  </si>
  <si>
    <t>Pierde América jul-2025 (vs Adidas); recuperaría Chivas jul-2026; en repliegue estratégico Liga MX</t>
  </si>
  <si>
    <t>nike.com.mx</t>
  </si>
  <si>
    <t>En repliegue estratégico. Pérdida de América (jul-2025) es el mayor retroceso de Nike en el fútbol mexicano en una década.</t>
  </si>
  <si>
    <t>A-104</t>
  </si>
  <si>
    <t>V4-004</t>
  </si>
  <si>
    <t>Octagon</t>
  </si>
  <si>
    <t>CDMX (presencia confirmada pero footprint modesto)</t>
  </si>
  <si>
    <t>Consultoría de patrocinios, representación de atletas y gestión global de derechos WTA.</t>
  </si>
  <si>
    <t>Agencia global WTA con relación con GS Sports y HG Promotores para licencias femeniles México.</t>
  </si>
  <si>
    <t>Octagon Talent Representation · Octagon Sponsorship · Octagon Hospitality · Octagon Events · Octagon Sports Marketing México (oficina CDMX) · Carteras deportes MX (golf, tenis, ciclismo)</t>
  </si>
  <si>
    <t xml:space="preserve"> [v1.00.29: subsidiaria de Interpublic Group. Operación México desde 2015. Especializada en hospitality y sponsorship execution.]</t>
  </si>
  <si>
    <t>octagon.com</t>
  </si>
  <si>
    <t>P4-CIERRE: V4-W01 (Octagon MX fútbol unidad) fusionado en este actor. Octagon opera en México con unidad especializada en fútbol/talento. V4-W01 ID no asignar.</t>
  </si>
  <si>
    <t>A-105</t>
  </si>
  <si>
    <t>V9-021</t>
  </si>
  <si>
    <t>Ollamani, S.A.B. / Grupo Águilas (Club América + Estadio Banorte)</t>
  </si>
  <si>
    <t>Spin-off de Televisa (feb-2024) que posee 100% Club América vía CFA SA de CV y opera Estadio Banorte vía FDF SA de CV. Emilio Azcárraga Jean controla ~40-41.5% tras compra de 25M CPOs adicionales en ene-2026. General Atlantic tomó 49% del holdco Grupo Águilas en dic-2025.</t>
  </si>
  <si>
    <t>Activo deportivo más valorado de México (~USD 1Bn implícito GA) y sede del partido inaugural WC26. La estructura holdco Grupo Águilas es el template de capitalización que Liga MX buscará replicar en otros clubes post-Mundial.</t>
  </si>
  <si>
    <t>Club América · Estadio Banorte (sede inaugural WC26) · AGUILAS +135% en 2025 · Club América Femenil · Grupo Águilas (JV con General Atlantic 49% USD 490M dic-2025: Club América + Estadio Banorte + terrenos adyacentes) · PlayCity (red de casinos) · OMedia (medios) · Alianza con Kraft Analytics Group</t>
  </si>
  <si>
    <t>Club América · Estadio Banorte (Ex Estadio Azteca)</t>
  </si>
  <si>
    <t>2 propiedades absorbidas. Control operativo verificado en auditoría Padres/Hijos v3. [R-13: Propiedad cross-género: el equipo femenil se mapea como propiedad dentro de este actor, no como actor standalone separado.] [v1.00.29: HALLAZGO MAYOR — diciembre 2025: General Atlantic compró 49% Grupo Águilas por USD 490M valor empresa. Ollamani retiene 51% control + Emilio Azcárraga CEO Grupo Águilas. Alianza con Kraft Analytics. Operación cerrada con Paul Weiss + Galicia Abogados (GA) y Creel + Mijares Angoitia (Ollamani).]</t>
  </si>
  <si>
    <t>ollamani.com</t>
  </si>
  <si>
    <t>Litigio activo AMTPP (856 palcos, 8,144 plateas); pérdida operativa fútbol 4T25 MXN 17.9M; deuda Banorte MXN 2,568M a 12 años.</t>
  </si>
  <si>
    <t>A-106</t>
  </si>
  <si>
    <t>V3-020</t>
  </si>
  <si>
    <t>OXXO / FEMSA Comercio</t>
  </si>
  <si>
    <t>Monterrey, NL</t>
  </si>
  <si>
    <t>Sin deal formal activo confirmado con Liga MX ni con la Selección. La escala de OXXO (&gt;22,000 tiendas en México) y su pertenencia a FEMSA (propietaria de Rayados) lo hacen un patrocinador potencial estructural.</t>
  </si>
  <si>
    <t>La escala de distribución de OXXO (&gt;22,000 puntos de venta) y su pertenencia a FEMSA (propietaria de Rayados) crean la posibilidad de un deal de distribution/activation masivo sin precedente. Sin evidencia de negociación activa.</t>
  </si>
  <si>
    <t>Sin deal formal activo; &gt;22,000 tiendas; FEMSA (propietaria Rayados) como matriz; potencial estructural</t>
  </si>
  <si>
    <t>Red OXXO (~21,000 tiendas MX) · OXXO Sport (entradas y merchandising) · Patrocinios deportivos masivos</t>
  </si>
  <si>
    <t>Subsidiaria 100% FEMSA. Brazo de retail con presencia en sponsorship deportivo via inventory de tiendas + patrocinios directos (Liga MX, eventos).</t>
  </si>
  <si>
    <t>oxxo.com</t>
  </si>
  <si>
    <t>Inferido por patrón</t>
  </si>
  <si>
    <t>Consolidado P9.1 → V9-008 FEMSA</t>
  </si>
  <si>
    <t>A-107</t>
  </si>
  <si>
    <t>V6-005</t>
  </si>
  <si>
    <t>Palco4 / Palco Ticketing S.L.</t>
  </si>
  <si>
    <t>Madrid (sede) · CDMX (WeWork Torre Latino, Paseo de la Reforma 296)</t>
  </si>
  <si>
    <t>Provee infraestructura SaaS de ticketing (backoffice de venue, motor de venta, integración de control de acceso) que otras boleteras white-label utilizan en México. Dos marcas mexicanas identificadas: FunTicket MX y TicketBoss MX. Opera en 13 países. (Reclasificación T-07: actor único, era duplicado V5-014 + V6-005, fusionados.)</t>
  </si>
  <si>
    <t>Tercer pilar SaaS detrás de Boletomóvil y Fanki, pero operando en la sombra; permite a promotores, venues regionales y clubes menores montar su propia boletera sin depender de Ticketmaster.</t>
  </si>
  <si>
    <t>Backend SaaS white-label FunTicket MX y TicketBoss MX · Presencia en 13 países · Alternativa europea al monopolio Ticketmaster</t>
  </si>
  <si>
    <t>palco4.com · palcoticketing.com</t>
  </si>
  <si>
    <t>A-108</t>
  </si>
  <si>
    <t>V8-010</t>
  </si>
  <si>
    <t>Panduit + Commscope</t>
  </si>
  <si>
    <t>Sin base operativa permanente MX — instalación en Banorte y BBVA</t>
  </si>
  <si>
    <t>Panduit: fibra óptica e infraestructura de red en Estadio Banorte (~1,200 antenas Wi-Fi 6). CommScope: infraestructura cableada del Estadio BBVA desde 2015 (Cat 6A GigaSpeed X10D, +25,000 m de fibra óptica en &gt;50 enlaces). Alerta: 1,200 antenas Banorte insuficientes para 87,000 asistentes simultáneos (falla reapertura 28-mar-2026).</t>
  </si>
  <si>
    <t>Proveedores de la infraestructura de conectividad en los dos principales venues WC26 mexicanos; la falla de red en la reapertura del Banorte expone el riesgo operativo de cara al torneo.</t>
  </si>
  <si>
    <t>~1,200 antenas Wi-Fi 6 Estadio Banorte (Panduit) · +25,000m fibra Estadio BBVA (CommScope) · Falla confirmada en reapertura 28-mar-2026</t>
  </si>
  <si>
    <t>panduit.com · commscope.com</t>
  </si>
  <si>
    <t>OPERATIVO — 1,200 antenas Wi-Fi 6 insuficientes para 87,000 asistentes en reapertura Banorte 28-mar-2026. Riesgo de colapso de red en partidos WC26. | Visualizable bajado a No: actor sin relaciones R1/R2 documentadas en MX. Conservar como ficha contextual.</t>
  </si>
  <si>
    <t>A-109</t>
  </si>
  <si>
    <t>V2-012</t>
  </si>
  <si>
    <t>Paramount+ / Pluto TV</t>
  </si>
  <si>
    <t>V1 · V5</t>
  </si>
  <si>
    <t>Broadcaster exclusivo de UFC en Latinoamérica desde oct-2025. La alianza UFC-Paramount+ desplazó a ESPN/Disney como broadcaster de las peleas en México. Pluto TV como canal AVOD gratuito complementario.</t>
  </si>
  <si>
    <t>El deal UFC-Paramount+ reconfiguró el mapa de derechos de MMA en LatAm. Paramount+ posiciona a UFC como su ancla deportiva en la región.</t>
  </si>
  <si>
    <t>UFC LatAm exclusivo desde oct-2025; desplazó a ESPN/Disney en MMA; Pluto TV AVOD gratuito</t>
  </si>
  <si>
    <t>paramountplus.com · pluto.tv</t>
  </si>
  <si>
    <t>A-110</t>
  </si>
  <si>
    <t>V9-022</t>
  </si>
  <si>
    <t>PIF (Saudi Public Investment Fund)</t>
  </si>
  <si>
    <t>V5 · V1</t>
  </si>
  <si>
    <t>Sin base operativa MX — operación eventos vía LIV Golf</t>
  </si>
  <si>
    <t>USD 913Bn AUM (cierre 2024). Financia LIV Golf (USD 5.3Bn comprometidos desde 2022, pérdidas &gt;USD 1Bn 2022-2024). CEO Scott O'Neil confirmó financiamiento solo hasta 2026. LIV Golf Mexico City en Club de Golf Chapultepec (2025-2027 confirmado). Estrategia 2026-2030: reduce inversión internacional de 30% a 18-20% del portafolio.</t>
  </si>
  <si>
    <t>El único fondo soberano con presencia de eventos en México (LIV Golf CDMX), pero sin inversión en activos deportivos mexicanos. La reducción de inversión internacional 2026-2030 hace poco probable una entrada en Liga MX u otros activos locales.</t>
  </si>
  <si>
    <t>LIV Golf Mexico City (Chapultepec 2025-2027) · USD 913Bn AUM · Sin equity en activos deportivos mexicanos</t>
  </si>
  <si>
    <t>1 propiedad financiada NO absorbida. LIV Golf League: PIF financia LIV con USD 5.3Bn comprometidos pero LIV es A-085 actor canónico independiente bajo E-03 (PE con cartera amplia: Newcastle, golf global, sovereign con tesis sports). Vínculo cruzado en MAPA DE CONEXIONES</t>
  </si>
  <si>
    <t>pif.gov.sa | livgolf.com</t>
  </si>
  <si>
    <t>A-111</t>
  </si>
  <si>
    <t>V4-005</t>
  </si>
  <si>
    <t>Pitz Group</t>
  </si>
  <si>
    <t>CDMX — Bosques de las Lomas</t>
  </si>
  <si>
    <t>Representación 360° futbolistas: contratos, transferencias, asesoría jurídica/fiscal, imagen. Opera en MX, ES, IT, CH, UY, PA, UK.</t>
  </si>
  <si>
    <t>Market-maker del traspaso mexicano; &gt;50 jugadores MX representados; sanción FIFA ago-2025 en curso.</t>
  </si>
  <si>
    <t>Pitz Group sports marketing · Pitz Hospitality · Pitz Brand Activation · Operaciones Liga MX + GP México · Acuerdos sponsorship Liga MX</t>
  </si>
  <si>
    <t xml:space="preserve"> [v1.00.29: agencia mexicana, especializada en activaciones deportivas Liga MX.]</t>
  </si>
  <si>
    <t>pitzgroup.com</t>
  </si>
  <si>
    <t>Sanción FIFA contra dueño López Martínez ago-2025; amparo federal en curso</t>
  </si>
  <si>
    <t>A-112</t>
  </si>
  <si>
    <t>V4-006</t>
  </si>
  <si>
    <t>Promofut S.A. de C.V.</t>
  </si>
  <si>
    <t>Agencia talent / representación</t>
  </si>
  <si>
    <t>Administración contratos, negociación traspasos Europa/MLS, representación DTs, gestión imagen.</t>
  </si>
  <si>
    <t>Históricamente agencia #1 del fútbol mexicano; top 3 en 2026 con 27-44 jugadores Liga MX.</t>
  </si>
  <si>
    <t>Promofut representación jugadores futbol · Cartera mexicana premium (jugadores Liga MX + Selección) · Operación traspasos internacionales · Acuerdos con clubes europeos</t>
  </si>
  <si>
    <t xml:space="preserve"> [v1.00.29: agencia tradicional de representación de futbolistas mexicanos.]</t>
  </si>
  <si>
    <t>promofut.com.mx</t>
  </si>
  <si>
    <t>Controversia red influencia Chivas/fuerzas básicas; reputación deteriorada</t>
  </si>
  <si>
    <t>A-113</t>
  </si>
  <si>
    <t>V4-007</t>
  </si>
  <si>
    <t>Publicidad Virtual</t>
  </si>
  <si>
    <t>CDMX / Miami</t>
  </si>
  <si>
    <t>Implementa tecnología Supponor AIR para reemplazar perímetros publicitarios en transmisiones TV en tiempo real, regionalizando marcas.</t>
  </si>
  <si>
    <t>Eje tecnológico que permite Liga MX y FMF monetizar internacionalmente vía publicidad virtual diferenciada.</t>
  </si>
  <si>
    <t>Publicidad Virtual sport tech · Virtual signage en transmisiones deportivas · Acuerdo con Liga MX · Producto LED+VR para overlays · Sponsorship dinámico</t>
  </si>
  <si>
    <t xml:space="preserve"> [v1.00.29: empresa MX, tecnología para sponsorship dinámico en transmisiones Liga MX.]</t>
  </si>
  <si>
    <t>publicidadvirtual.com</t>
  </si>
  <si>
    <t>A-114</t>
  </si>
  <si>
    <t>V3-021</t>
  </si>
  <si>
    <t>Puma</t>
  </si>
  <si>
    <t>Kit de Rayados de Monterrey (hasta 2029) y Pumas UNAM (desde 2026-27). Sale de Chivas en jul-2026 (Nike entra). Puma mantiene presencia en dos activos relevantes del ecosistema.</t>
  </si>
  <si>
    <t>Puma pierde Chivas (activo de fandom masivo) pero retiene Rayados (corporativo FEMSA) y añade Pumas UNAM. El balance net de su portafolio mejora en calidad institucional aunque pierde en volumen de audiencia.</t>
  </si>
  <si>
    <t>Kit Rayados hasta 2029; Pumas UNAM desde 2026-27; sale Chivas jul-2026 (entra Nike)</t>
  </si>
  <si>
    <t>puma.com</t>
  </si>
  <si>
    <t>A-115</t>
  </si>
  <si>
    <t>V1-023</t>
  </si>
  <si>
    <t>Pumas UNAM</t>
  </si>
  <si>
    <t>Su identidad y base de fans CDMX son su principal activo comercial.</t>
  </si>
  <si>
    <t>Único club Liga MX de propiedad pública universitaria. Base de fans universitaria en la capital.</t>
  </si>
  <si>
    <t>Propiedad UNAM; Estadio Olímpico Universitario patrimonio UNESCO; identidad universitaria única · Pumas UNAM Femenil</t>
  </si>
  <si>
    <t>pumasfútbol.mx</t>
  </si>
  <si>
    <t>A-116</t>
  </si>
  <si>
    <t>V4-008</t>
  </si>
  <si>
    <t>Relevent (Relevent Sports Group)</t>
  </si>
  <si>
    <t>Agencia rights sales</t>
  </si>
  <si>
    <t>Nueva York (operación México vía JV LaLiga NA)</t>
  </si>
  <si>
    <t>Via LaLiga North America (JV 50/50): gestiona derechos audiovisuales LaLiga en México, soporte a SKY Sports, activación comercial, producción en Guadalajara.</t>
  </si>
  <si>
    <t>Settlement Relevent-USSF 2025 abre camino Liga MX oficial en EE.UU.; Ross controla Hard Rock Stadium.</t>
  </si>
  <si>
    <t>Soccer Champions Tour USA · Leagues Cup (con MLS y Liga MX) · NWSL Acceso comercial · Acuerdo derechos LaLiga en USA · Relevent Sports Asia · The Sports Property Group</t>
  </si>
  <si>
    <t xml:space="preserve"> [v1.00.29: relación clave con Liga MX vía Leagues Cup. Propiedad familia Hard Rock/Stephen Ross (matriz Apollo desde 2023 vía Apollo Sports).]</t>
  </si>
  <si>
    <t>relevent.com</t>
  </si>
  <si>
    <t>A-117</t>
  </si>
  <si>
    <t>V5-012</t>
  </si>
  <si>
    <t>Roadtrips (Canadá)</t>
  </si>
  <si>
    <t>Arma paquetes customizados para NFL International incluido NFL Mexico City Game en Estadio Banorte 2026. Combina boletos, vuelos, hotel, traslados y experiencias.</t>
  </si>
  <si>
    <t>Uno de los pocos operadores no afiliados con línea verificada específica para NFL Mexico City Game 2026 en Banorte.</t>
  </si>
  <si>
    <t>NFL International packages; NFL Mexico City Game 2026 en Banorte</t>
  </si>
  <si>
    <t>roadtrips.com</t>
  </si>
  <si>
    <t>A-118</t>
  </si>
  <si>
    <t>V2-013</t>
  </si>
  <si>
    <t>Récord</t>
  </si>
  <si>
    <t>Diario deportivo de referencia en México. Cobertura especializada de fútbol, boxeo y otros deportes. Combina presencia impresa y digital.</t>
  </si>
  <si>
    <t>Referente editorial deportivo en CDMX. Fuente primaria de noticias de transferencias y mercado para el ecosistema.</t>
  </si>
  <si>
    <t>Diario deportivo referente CDMX; fuente primaria mercado transferencias; Grupo Notmusa</t>
  </si>
  <si>
    <t>record.com.mx</t>
  </si>
  <si>
    <t>A-119</t>
  </si>
  <si>
    <t>V8-011</t>
  </si>
  <si>
    <t>Salesforce</t>
  </si>
  <si>
    <t>Sin base operativa deportiva dedicada MX — mandato vía Salesforce México</t>
  </si>
  <si>
    <t>Implementación documentada de Salesforce Marketing Cloud en Club América (caso éxito oficial, ~6 meses, objetivos: unificar bases de datos, segmentación, automatización multicanal). Valtech desarrolló la app 'Mi Selección MX' para FMF sobre Salesforce Marketing Cloud + Service Cloud.</t>
  </si>
  <si>
    <t>Plataforma #1 mundial CRM con cliente verificado top (Club América) y mandato FMF; domina frente a Microsoft Dynamics y HubSpot que no tienen implementaciones documentadas en Liga MX.</t>
  </si>
  <si>
    <t>CRM #1 mundial con mandato Club América · App Mi Selección MX FMF vía Valtech · Sin competencia documentada de Microsoft Dynamics en Liga MX</t>
  </si>
  <si>
    <t>salesforce.com</t>
  </si>
  <si>
    <t>A-120</t>
  </si>
  <si>
    <t>V8-012</t>
  </si>
  <si>
    <t>SAP (Sports One)</t>
  </si>
  <si>
    <t>Sin base operativa deportiva dedicada MX — mandato vía integradores locales (Enable)</t>
  </si>
  <si>
    <t>Implementaciones de SAP Sports One en Club América, Xolos de Tijuana y Atlas FC vía integrador local Enable; uso en análisis predictivo 'What-If' para cuerpos técnicos. NO funciona como CRM comercial en estos clubes (función cubierta por Salesforce Marketing Cloud).</t>
  </si>
  <si>
    <t>Segundo proveedor de software institucional en Liga MX después de Salesforce; su presencia en Club América, Atlas y Xolos cubre la capa de análisis de rendimiento corporativo deportivo.</t>
  </si>
  <si>
    <t>SAP Sports One en Club América + Atlas + Xolos · Análisis predictivo 'What-If' · Coexiste con Salesforce (CRM) y Hudl (performance)</t>
  </si>
  <si>
    <t>sap.com</t>
  </si>
  <si>
    <t>A-121</t>
  </si>
  <si>
    <t>V3-022</t>
  </si>
  <si>
    <t>Scotiabank</t>
  </si>
  <si>
    <t>Pivotó estratégicamente al ecosistema femenil: Concacaf (derechos femeniles) y Chivas fuerzas básicas (desarrollo). Sale del ecosistema varonil de Liga MX. La estrategia de género es su diferenciador en un ecosistema dominado por sponsorship varonil.</t>
  </si>
  <si>
    <t>Scotiabank es el único banco extranjero con estrategia deportiva exclusivamente femenil en México. Su pivot reposiciona la marca en un segmento con crecimiento acelerado de inversión.</t>
  </si>
  <si>
    <t>Pivot exclusivo a ecosistema femenil Concacaf + Chivas fuerzas básicas; único banco extranjero con estrategia femenil MX</t>
  </si>
  <si>
    <t>scotiabank.com.mx</t>
  </si>
  <si>
    <t>A-122</t>
  </si>
  <si>
    <t>V8-013</t>
  </si>
  <si>
    <t>Seeuplay</t>
  </si>
  <si>
    <t>110 sistemas de cámaras automatizadas instalados en clubes Liga MX, Femenil, Expansión y Selección Nacional. Presente en todos los estadios de Liga BBVA MX y Liga BBVA Expansión MX. Alianza con Pixellot (Israel) y Spiideo (Suecia). Integró izzi para transmitir Clásico Capitalino Sub-23 con IA.</t>
  </si>
  <si>
    <t>Actor poco visible públicamente pero estratégicamente crítico; ocupa el nicho de TRACAB en el fútbol mexicano; startup mexicana en colaboración con tech israelí/sueca.</t>
  </si>
  <si>
    <t>110 instalaciones físicas en Liga MX y Expansión · Alianza Pixellot (Israel) + Spiideo (Suecia) · Startup MX con mandato sistémico</t>
  </si>
  <si>
    <t>seeUplay.mx</t>
  </si>
  <si>
    <t>A-123</t>
  </si>
  <si>
    <t>V1-024</t>
  </si>
  <si>
    <t>Selección Mexicana de Fútbol</t>
  </si>
  <si>
    <t>V7 · V3</t>
  </si>
  <si>
    <t>Selección nacional</t>
  </si>
  <si>
    <t>Compite internacionalmente en FIFA, CONCACAF y eventos de preparación. Genera el mayor volumen de audiencia puntual del ecosistema deportivo mexicano. Sus partidos de clasificación mundialista, amistosos y participaciones en Copa Oro y Copa América son el producto con mayor demanda de patrocinio del mercado.</t>
  </si>
  <si>
    <t>La SNM es el activo de mayor concentración de patrocinios en un solo producto deportivo de México: Adidas (kit USD 290M/10 años), AT&amp;T (telecom exclusivo), Amazon (triple deal mar-2025), Caliente.mx (oct-2025), Maggi/Nestlé, Uber/Uber Eats, Coca-Cola. Co-anfitrión WC26: sede inaugural en Estadio Banorte (partido México-Sudáfrica, 11 jun-2026).</t>
  </si>
  <si>
    <t>Selección Mexicana Mayor varonil (El Tri) · Selecciones juveniles Sub-15/Sub-17/Sub-20/Sub-23 · Tour por EE.UU. via SUM (6 fuegos/año hasta 2028) · Patrocinio adidas kit (extensión hasta 2034) · Sede WC26 país anfitrión (Banorte, BBVA, Akron + Coliseo GNP Zapopan)</t>
  </si>
  <si>
    <t xml:space="preserve"> [v1.00.29: bajo FMF (A-043). DT Javier Aguirre. Selección juega 3-de-cada-4 partidos en EE.UU. desde 2023 vía contrato SUM hasta 2028.]</t>
  </si>
  <si>
    <t>A-124</t>
  </si>
  <si>
    <t>V1-025</t>
  </si>
  <si>
    <t>Selección Mexicana Femenil</t>
  </si>
  <si>
    <t>V3 · V4</t>
  </si>
  <si>
    <t>Genera el inventario comercial del segmento femenil del ecosistema deportivo mexicano junto con la Liga MX Femenil. Amazon, AT&amp;T y Scotiabank firmaron acuerdos específicos de patrocinio femenil.</t>
  </si>
  <si>
    <t>Activo con crecimiento acelerado de patrocinios femeniles. El triple deal Amazon incluye Liga MX Femenil. Scotiabank pivotó a ecosistema femenil Concacaf + Chivas fuerzas básicas. Primera Sub-20 femenil clasificada a Mundial Sub-20 en dos ediciones.</t>
  </si>
  <si>
    <t>Triple deal Amazon (Tri + Liga MX + Liga MX Femenil); Scotiabank pivot femenil; crecimiento acelerado patrocinios</t>
  </si>
  <si>
    <t>A-125</t>
  </si>
  <si>
    <t>V9-023</t>
  </si>
  <si>
    <t>Silver Lake</t>
  </si>
  <si>
    <t>Sin deals públicamente confirmados con Liga MX ni clubes mexicanos. Exposición global indirecta a México solo vía control de Endeavor/TKO (UEFA, F1, UFC, WWE). Privatizó Endeavor con Mubadala y familia Dell como co-inversores en mar-2025.</t>
  </si>
  <si>
    <t>Es el PE de tech-media deportiva más relevante del mundo sin posición en México. Su track record (UFC, City Football Group indirecto, WME) lo hace el candidato más plausible para una eventual entrada institucional post-Mundial.</t>
  </si>
  <si>
    <t>Control Endeavor/TKO (EV USD 25Bn) · Sin deals directos Liga MX verificados · Candidato plausible post-2026</t>
  </si>
  <si>
    <t>silverlake.com</t>
  </si>
  <si>
    <t>A-126</t>
  </si>
  <si>
    <t>V3-023</t>
  </si>
  <si>
    <t>Skechers</t>
  </si>
  <si>
    <t>Kit técnico del Club Pachuca desde jul-2025 — el primer contrato de kit con un club de fútbol profesional en la historia de Skechers a nivel global. Pachuca es el primer club de fútbol en el portafolio de Skechers.</t>
  </si>
  <si>
    <t>Un acuerdo sin precedente en el mercado de kit deals: una marca de calzado/athletic sin historia en fútbol firma su primer contrato global en Liga MX. Club Pachuca como laboratorio de expansión al fútbol para Skechers.</t>
  </si>
  <si>
    <t>Primer kit club fútbol global Skechers (Pachuca jul-2025); hito sin precedente en mercado de kit deals</t>
  </si>
  <si>
    <t>skechers.com.mx</t>
  </si>
  <si>
    <t>A-127</t>
  </si>
  <si>
    <t>V2-014</t>
  </si>
  <si>
    <t>Sky Sports México / NBCUniversal</t>
  </si>
  <si>
    <t>Broadcaster de Fórmula 1 en México desde el GP de Singapur 2025 hasta 2028. El acuerdo fue ganado en el ciclo de renovación de derechos de F1 en el mercado latinoamericano.</t>
  </si>
  <si>
    <t>Único broadcaster de F1 con cobertura completa del Gran Premio de México 2025-2028. Compite con la distribución libre de F1 en plataformas digitales.</t>
  </si>
  <si>
    <t>Derechos F1 México 2025-2028 desde GP Singapur; único broadcaster TV paga F1 MX</t>
  </si>
  <si>
    <t>sky.com.mx</t>
  </si>
  <si>
    <t>A-128</t>
  </si>
  <si>
    <t>V3-024</t>
  </si>
  <si>
    <t>Smart Fit México</t>
  </si>
  <si>
    <t>Brasil</t>
  </si>
  <si>
    <t>Ciudad de México (hub operativo México)</t>
  </si>
  <si>
    <t>Opera la red de gimnasios de bajo costo más grande de México (395+ sucursales, 1 millón+ usuarios). Es el naming partner de toda la temporada HYROX México 2025/2026 ('Smart Fit HYROX [ciudad]'), lo que la convierte en el sponsor deportivo activo de mayor escala en el segmento fitness competitivo en México.</t>
  </si>
  <si>
    <t>La alianza Smart Fit-HYROX es el deal de sponsorship deportivo más estratégico del segmento fitness mexicano en 2025-2026: Smart Fit usa HYROX para posicionarse como el gimnasio de los corredores competitivos, mientras HYROX usa la red de 395 gimnasios para adquirir participantes.</t>
  </si>
  <si>
    <t>395+ gimnasios en México; 1 millón+ usuarios; naming partner HYROX México temporada 25/26; gym partner oficial HYROX; segundo mercado global de Smart Fit (25% de sus gimnasios)</t>
  </si>
  <si>
    <t>smartfit.com.mx</t>
  </si>
  <si>
    <t>A-129</t>
  </si>
  <si>
    <t>V4-009</t>
  </si>
  <si>
    <t>Soccer Media Solutions (SMS)</t>
  </si>
  <si>
    <t>Cuajimalpa, CDMX</t>
  </si>
  <si>
    <t>Revende: inserciones virtuales en transmisiones TV Azteca; publicidad cancha en Selección/Liga MX; paquetes patrocinio ligados a propiedades TV Azteca.</t>
  </si>
  <si>
    <t>Gatekeeper comercial de pantallas/canchas en ecosistema FMF-TV Azteca; dos décadas de exclusividad.</t>
  </si>
  <si>
    <t>Exclusividad inserciones virtuales TV Azteca; inventario cancha Selección Mexicana</t>
  </si>
  <si>
    <t>soccer-ms.com | publicidadencanchasdefutbol.com</t>
  </si>
  <si>
    <t>A-130</t>
  </si>
  <si>
    <t>V4-010</t>
  </si>
  <si>
    <t>Sportfive</t>
  </si>
  <si>
    <t>CDMX (presencia mencionada en prensa)</t>
  </si>
  <si>
    <t>Venta de derechos, consultoría de patrocinios y activación para propiedades deportivas en LatAm.</t>
  </si>
  <si>
    <t>Relaciones con clubes Liga MX mencionadas en prensa; sin estructura pública verificada</t>
  </si>
  <si>
    <t>Lagardère legacy; relaciones Liga MX</t>
  </si>
  <si>
    <t>sportfive.com</t>
  </si>
  <si>
    <t>A-131</t>
  </si>
  <si>
    <t>V4-011</t>
  </si>
  <si>
    <t>StayPro</t>
  </si>
  <si>
    <t>Agencia mexicana de representación comercial de futbolistas y creadores de contenido. Fundada 2015 en CDMX por Rafael Coronel y Patrycja Giemza. Representa exclusivamente a Héctor Herrera, Edson Álvarez, Diego Reyes, Carlos Rodríguez, Nailea Vidrio, Jana Gutiérrez, Alondra González en fútbol; Paco de Miguel, Chingu Amiga, Los Chicaneros y otros en creators (división StayOnSocial). Lanzó división StayPro OnTheField en 2024 para representación integral de atletas.</t>
  </si>
  <si>
    <t>Agencia #1 de representación comercial de futbolistas mexicanos. Más de 2,500 campañas con marcas globales ejecutadas. Modelo full-service: gestión de contratos publicitarios, asesoría de imagen, manejo de crisis, asesoría legal, RRPP, post-career planning.</t>
  </si>
  <si>
    <t>Agencia mexicana de talent management líder en LATAM con sede en Polanco CDMX y EUA.</t>
  </si>
  <si>
    <t>stayprogroup.com</t>
  </si>
  <si>
    <t>A-132</t>
  </si>
  <si>
    <t>V6-006</t>
  </si>
  <si>
    <t>StubHub México</t>
  </si>
  <si>
    <t>Plataforma ticketing secundaria</t>
  </si>
  <si>
    <t>Opera el mercado de reventa oficial licenciado con Club Tijuana Xoloitzcuintles desde enero 2017 (primer marketplace oficial de reventa de un club Liga MX). Acepta listados para Tigres, Cruz Azul, Pumas y otros clubes Liga MX.</t>
  </si>
  <si>
    <t>Única plataforma internacional con acuerdo oficial con un club Liga MX (Xolos, desde 2017); referencia regulatoria para el mercado secundario mexicano.</t>
  </si>
  <si>
    <t>Primer acuerdo oficial reventa Liga MX (Xolos 2017) · Exhortado Profeco feb-2026 · División de eBay Inc.</t>
  </si>
  <si>
    <t>stubhub.com.mx</t>
  </si>
  <si>
    <t>REGULATORIO — Exhortado formalmente por Profeco en febrero 2026 por prácticas abusivas y desleales relacionadas con venta de boletos BTS. | [P6-E P6-DT] Vis=Sí pero sin R1/R2 cargadas. Pendiente de carga en próximo ciclo. Conservar visualizable porque es benchmark relevante para Aldo (revisar caso a caso).</t>
  </si>
  <si>
    <t>A-133</t>
  </si>
  <si>
    <t>V1-026</t>
  </si>
  <si>
    <t>Sultanes de Monterrey (LMB)</t>
  </si>
  <si>
    <t>Monterrey</t>
  </si>
  <si>
    <t>Compite en LMB. Sede Estadio Monterrey con naming Walmart desde 2024.</t>
  </si>
  <si>
    <t>Sultanes: institución LMB norte. Único naming Walmart en deporte profesional MX.</t>
  </si>
  <si>
    <t>Sultanes Monterrey LMB Banorte (varonil verano) · Sultanes Monterrey Softball (LMS femenil) · Estadio Mobil Super (Palacio Sultán) · Academia formativa · Calendario 87 ediciones LMB</t>
  </si>
  <si>
    <t>Walmart Park</t>
  </si>
  <si>
    <t>1 propiedades absorbidas. Control operativo verificado en auditoría Padres/Hijos v3. Walmart Park: dueño legal Walmart México, operación Sultanes vía concesión. [v1.00.29: doble franquicia LMB beisbol + LMS softball. Estadio renombrado Mobil Super (ex Walmart Park). Bajo familia Maíz / Grupo Pesa.]</t>
  </si>
  <si>
    <t>sultanes.com.mx</t>
  </si>
  <si>
    <t>A-134</t>
  </si>
  <si>
    <t>V4-012</t>
  </si>
  <si>
    <t>SUM (Soccer United Marketing)</t>
  </si>
  <si>
    <t>Nueva York / operación México</t>
  </si>
  <si>
    <t>Comercializa Liga MX en EE.UU.; gestiona Leagues Cup y Campeones Cup; rights intermediary entre Liga MX y mercado norteamericano.</t>
  </si>
  <si>
    <t>Intermediario histórico de Liga MX en el mercado hispano de EE.UU.</t>
  </si>
  <si>
    <t>Comercial rights MLS · Comercial rights Selección Mexicana en USA (extendido hasta 2028) · 6 amistosos El Tri/año en USA · Promoción de tours · Co-organización Leagues Cup · Marketing CONCACAF y CONMEBOL Copa América Centenario 2016</t>
  </si>
  <si>
    <t xml:space="preserve"> [v1.00.29: brazo comercial de MLS, equity de todos los dueños MLS. Contrato exclusivo con FMF para mercado USA hasta 2028 (renovado 2022).]</t>
  </si>
  <si>
    <t>sumworldwide.com</t>
  </si>
  <si>
    <t>A-135</t>
  </si>
  <si>
    <t>V4-013</t>
  </si>
  <si>
    <t>TEAM Marketing AG</t>
  </si>
  <si>
    <t>Lucerna (operación remota CDMX)</t>
  </si>
  <si>
    <t>Consultoría en desarrollo/valuación de conceptos de derechos; venta exclusiva derechos globales medios selecciones mexicanas para ciclos 2026-30 y 2030-34.</t>
  </si>
  <si>
    <t>Controla canal de entrada de broadcasters extranjeros hacia la Selección Mexicana; primer intermediario europeo de primer orden en LatAm.</t>
  </si>
  <si>
    <t>TEAM Marketing AG (sede Suiza) · Comercialización Champions League · Comercialización Europa League · Conference League · Coordinación sponsorship UEFA · Cobertura LATAM tier global</t>
  </si>
  <si>
    <t xml:space="preserve"> [v1.00.29: agencia exclusiva UEFA para comercialización Champions/Europa/Conference. Pieza clave para marcas MX que activan en torneos UEFA.]</t>
  </si>
  <si>
    <t>team.ch</t>
  </si>
  <si>
    <t>A-136</t>
  </si>
  <si>
    <t>V3-025</t>
  </si>
  <si>
    <t>Tecate / Cuauhtémoc Moctezuma</t>
  </si>
  <si>
    <t>Cerveza oficial de Liga MX (varonil y femenil). Sponsor del ecosistema de boxeo mexicano (Canelo adjacente). Tecate coexiste con Corona/Modelo en el ecosistema como la marca cervecera de liga.</t>
  </si>
  <si>
    <t>Tecate capturó el title de cerveza oficial de Liga MX mientras Corona mantiene la Selección. Comparte con Heineken (GP México) el duopolio de cervezas premium en el ecosistema deportivo mexicano.</t>
  </si>
  <si>
    <t>Cerveza oficial Liga MX varonil + femenil; sponsor boxeo MX; subsidiaria Heineken</t>
  </si>
  <si>
    <t>tecate.com.mx</t>
  </si>
  <si>
    <t>A-137</t>
  </si>
  <si>
    <t>V9-024</t>
  </si>
  <si>
    <t>TelevisaUnivision</t>
  </si>
  <si>
    <t>Ciudad de México / Nueva York</t>
  </si>
  <si>
    <t>Sin participaciones accionarias en clubes Liga MX ni en la liga. Solo derechos de transmisión vía TUDN, Canal 5 y N9ve (7 equipos Liga MX). Renovó derechos NFL México feb-2026. Streaming Liga MX vía ViX (stack Akta).</t>
  </si>
  <si>
    <t>Como broadcaster de 7 de los 18 clubes Liga MX, su estructura de derechos fragmentada es el obstáculo principal para la centralización comercial. La crisis TV Azteca (concurso mercantil) puede forzar una redistribución de derechos que beneficie a TelevisaUnivision.</t>
  </si>
  <si>
    <t>TUDN/ViX 7 clubes Liga MX · Sin equity en clubes · Renovación derechos NFL México feb-2026</t>
  </si>
  <si>
    <t>izzi · Gran Fondo Adolfo Lagos izzi Kardias · TUDN / ViX</t>
  </si>
  <si>
    <t>3 propiedades absorbidas. izzi: 100% accionario</t>
  </si>
  <si>
    <t>televisaunivision.com</t>
  </si>
  <si>
    <t>A-138</t>
  </si>
  <si>
    <t>V1-027</t>
  </si>
  <si>
    <t>Tomateros de Culiacán (LMP)</t>
  </si>
  <si>
    <t>Culiacán</t>
  </si>
  <si>
    <t>Compite en LMP invernal. Sede Estadio Tomateros.</t>
  </si>
  <si>
    <t>Tomateros: equipo más popular invernal Sinaloa. Campeón LMP recurrente.</t>
  </si>
  <si>
    <t>Estadio Tomateros; campeones LMP múltiples</t>
  </si>
  <si>
    <t>tomaterosdeculiacan.com</t>
  </si>
  <si>
    <t>A-139</t>
  </si>
  <si>
    <t>V1-028</t>
  </si>
  <si>
    <t>Toros de Tijuana (LMB)</t>
  </si>
  <si>
    <t>Tijuana</t>
  </si>
  <si>
    <t>Compite en LMB. Sede Estadio Chevron (naming desde 2018).</t>
  </si>
  <si>
    <t>Toros Tijuana: única franquicia LMB frontera norte. Naming Chevron.</t>
  </si>
  <si>
    <t>Estadio Chevron desde 2018</t>
  </si>
  <si>
    <t>torosdetijuana.com</t>
  </si>
  <si>
    <t>A-140</t>
  </si>
  <si>
    <t>V3-026</t>
  </si>
  <si>
    <t>Uber / Uber Eats</t>
  </si>
  <si>
    <t>Triple deal oficial desde oct-2025: Selección Mexicana, Liga MX y Liga MX Femenil. Combinado con activaciones de Uber Eats en matchdays. Segundo tech giant (después de Amazon) con triple deal en el ecosistema.</t>
  </si>
  <si>
    <t>El triple deal Uber consolida la tendencia de tech giants como sponsors sistémicos del ecosistema deportivo mexicano (Amazon desde mar-2025, Uber desde oct-2025). Ambos eligieron el mismo modelo de patrocinio triple.</t>
  </si>
  <si>
    <t>Triple deal FMF + Liga MX + Liga MX Femenil (oct-2025); segundo tech giant triple deal después de Amazon</t>
  </si>
  <si>
    <t>uber.com.mx</t>
  </si>
  <si>
    <t>A-141</t>
  </si>
  <si>
    <t>V1-029</t>
  </si>
  <si>
    <t>Venados de Mazatlán (LMP)</t>
  </si>
  <si>
    <t>Mazatlán</t>
  </si>
  <si>
    <t>Compite en LMP invernal. Sede Estadio Teodoro Mariscal.</t>
  </si>
  <si>
    <t>Venados: plurihistórico Serie del Caribe. Tradición LMP Sinaloa.</t>
  </si>
  <si>
    <t>Serie del Caribe múltiples; Estadio Teodoro Mariscal</t>
  </si>
  <si>
    <t>venados.com.mx</t>
  </si>
  <si>
    <t>A-142</t>
  </si>
  <si>
    <t>V6-007</t>
  </si>
  <si>
    <t>Viagogo / Helloticket / Tophop</t>
  </si>
  <si>
    <t>Listan reventa de boletos para eventos en México (Liga MX, Selección, conciertos). Operan sin representación legal formal en territorio mexicano. HelloTicket estableció recientemente representación legal en México.</t>
  </si>
  <si>
    <t>Exhortadas por Profeco en febrero 2026; HelloTicket podría enfrentar Procedimiento por Infracción con multa bajo legislación mexicana.</t>
  </si>
  <si>
    <t>Exhortos Profeco feb-2026 · Publicaciones especulativas spec listings · Operación sin regulación estructural en MX</t>
  </si>
  <si>
    <t>viagogo.com · helloticket.com · tophop.com</t>
  </si>
  <si>
    <t>A-143</t>
  </si>
  <si>
    <t>V1-030</t>
  </si>
  <si>
    <t>Victum Sports México (HYROX México)</t>
  </si>
  <si>
    <t>Ciudad de México (Santa Fe)</t>
  </si>
  <si>
    <t>Organiza y opera la serie de eventos HYROX en México bajo licencia exclusiva de HYROX World GmbH (Hamburgo). Temporada 2025/2026: 6 eventos en 6 ciudades (CDMX, GDL, MTY, Acapulco, Cancún, Puebla). Gestiona la relación con gimnasios gym partner locales. 152,000 seguidores en Instagram (@hyroxmx). Licencia exclusiva M: Victum es rights holder mexicano por contrato con HYROX World GmbH.</t>
  </si>
  <si>
    <t>HYROX es el formato de fitness competitivo de mayor crecimiento global post-2020. Victum llevó HYROX a México de la misma forma que lo hizo en España: primero licencia exclusiva, luego escalado de eventos. Smart Fit como naming partner de toda la temporada.</t>
  </si>
  <si>
    <t>Licenciatario exclusivo HYROX en México (y previamente Iberia); 6 eventos/temporada en 6 ciudades; Smart Fit como naming partner temporada 25/26; fundadores Álvaro Taracena y Jan Peters; RFC: VSM240815SP6</t>
  </si>
  <si>
    <t>HYROX México</t>
  </si>
  <si>
    <t>1 propiedades absorbidas. Control operativo verificado en auditoría Padres/Hijos v3.</t>
  </si>
  <si>
    <t>hyrox.mx</t>
  </si>
  <si>
    <t>A-144</t>
  </si>
  <si>
    <t>V3-027</t>
  </si>
  <si>
    <t>Viva Aerobus + Volaris (fusión dic-2025)</t>
  </si>
  <si>
    <t>Monterrey (Viva) / Ciudad de México (Volaris)</t>
  </si>
  <si>
    <t>Viva Aerobus como aerolínea oficial de la Selección Mexicana. Volaris como sponsor de Pumas UNAM y Club Toluca. La fusión dic-2025 unificará en una sola estructura los patrocinios de El Tri, Pumas y Toluca, obligando a renegociar exclusividades post-Mundial.</t>
  </si>
  <si>
    <t>La fusión Viva-Volaris concentrará todos los patrocinios de aerolíneas del ecosistema en una sola entidad, creando un actor con poder de negociación inédito en el segmento. La renegociación de exclusividades post-WC26 es un evento de mercado relevante.</t>
  </si>
  <si>
    <t>Acuerdo de fusión firmado dic-2025 (cierre regulatorio pendiente 2026); Selección Mexicana oficial (Viva) + Pumas + Toluca (Volaris); holding resultante: Grupo Más Vuelos</t>
  </si>
  <si>
    <t>vivaaerobus.com · volaris.com</t>
  </si>
  <si>
    <t>Fusión anunciada 18-dic-2025 (Form 6-K SEC); accionistas Volaris aprobaron 25-mar-2026; cierre regulatorio pendiente. Renegociación de exclusividades post-WC26 obligatoria. Volaris en proceso de delisting NYSE. El holding resultante se llamará Grupo Más Vuelos — dato no recogido en versión anterior.</t>
  </si>
  <si>
    <t>A-145</t>
  </si>
  <si>
    <t>V3-028</t>
  </si>
  <si>
    <t>Walmart México</t>
  </si>
  <si>
    <t>Walmart México retail. Naming Walmart Park (Estadio Sultanes Monterrey) desde 2024. En pláticas con América para patrocinio.</t>
  </si>
  <si>
    <t>Único naming retail en deporte profesional MX. Activación con béisbol LMB norte.</t>
  </si>
  <si>
    <t>Walmart Park ex (antes Sultanes Stadium, renombrado a Mobil Super 2025) · Patrocinio LMB (segment sponsor) · Bodega Aurrera Wellness · Programa de impulso al deporte amateur · Walmart Carrera 21K · Sams Club deportivos</t>
  </si>
  <si>
    <t xml:space="preserve"> [v1.00.29: aprovecha 2,800 unidades en MX para activación sponsorship deportivo. Ex naming Walmart Park hasta 2025.]</t>
  </si>
  <si>
    <t>walmartmexico.com</t>
  </si>
  <si>
    <t>A-146</t>
  </si>
  <si>
    <t>V4-014</t>
  </si>
  <si>
    <t>Wasserman / THE·TEAM México</t>
  </si>
  <si>
    <t>Santa Fe, CDMX</t>
  </si>
  <si>
    <t>Activa para SF 49ers en México (Academia Fundación 49ers, Watch Party MTY, partnerships Fox Sports/Radio Fórmula); representación futbolistas vía Rodrigo Morales; consultoría de marca. Adicionalmente opera Wasserman Events (división de eventos Golf desde mar-2026, función V5 secundaria de operación de eventos premium con anclaje USA / LATAM).</t>
  </si>
  <si>
    <t>Punto de contacto local de la agencia global dominante; pivote rumbo WC26 y NFL México.</t>
  </si>
  <si>
    <t>THE·TEAM Sports + Music + Entertainment (rebrand mar-2026) · MF Sports (ex Wasserman Boxing, vendido) · 25% stake Misfits Boxing · Representación atletas MX (Memo Ochoa, Raúl Jiménez, Edson Álvarez) · Sponsorship/naming rights consulting</t>
  </si>
  <si>
    <t xml:space="preserve"> [v1.00.29: Casey Wasserman anunció venta de la compañía feb-2026. Rebrand a THE·TEAM mar-2026 vía Moelis. Wasserman Boxing vendido y renombrado MF Sports. Empresa en proceso de venta completa.]</t>
  </si>
  <si>
    <t>the.team</t>
  </si>
  <si>
    <t>A-147</t>
  </si>
  <si>
    <t>V1-031</t>
  </si>
  <si>
    <t>World Boxing Council (WBC) — sede CDMX</t>
  </si>
  <si>
    <t>CDMX (sede)</t>
  </si>
  <si>
    <t>Sancionar peleas y rankings boxeo profesional mundial. Otorga cinturón verde WBC.</t>
  </si>
  <si>
    <t>Una de las 4 federaciones principales mundo (WBC, WBA, IBF, WBO). Sede CDMX desde 1963. Mauricio Sulaimán presidente.</t>
  </si>
  <si>
    <t>World Boxing Council titulación · Convention anual · Diploma y cinturón verde-oro · Rankings mundiales · WBC Cares (fundación) · WBC Muay Thai · WBC MMA · sede oficial Ciudad de México</t>
  </si>
  <si>
    <t>Sanción peleas título WBC · Convenciones anuales · Programa Clean Boxing</t>
  </si>
  <si>
    <t>Organismo regulador internacional de boxeo, sede en CDMX. Mauricio Sulaimán presidente. Sanciona ~70% de peleas profesionales globales. [v1.00.29: presidente Mauricio Sulaimán Saldívar. Único de los 4 sancionadores con sede MX (vs WBA/IBF/WBO).]</t>
  </si>
  <si>
    <t>wbcboxing.com</t>
  </si>
  <si>
    <t>A-148</t>
  </si>
  <si>
    <t>V2-015</t>
  </si>
  <si>
    <t>YouTube (Alphabet/Google)</t>
  </si>
  <si>
    <t>Global</t>
  </si>
  <si>
    <t>Distribución contenido video globalmente. Canales oficiales clubes Liga MX. Highlights, fan content. Transmisión de FutFem Donde Sea de la Liga MX Femenil</t>
  </si>
  <si>
    <t>Plataforma #1 video mundo. NFL Sunday Ticket. En MX: canales clubes, contenido user-generated, YouTube TV.</t>
  </si>
  <si>
    <t>YouTube plataforma · YouTube TV · YouTube Premium · YouTube Music · YouTube Shorts · YouTube CMS para rights holders · Acuerdos de rights con Kings League (transmisión oficial canal Twitch+YouTube) · Programas verificados con marcas deportivas</t>
  </si>
  <si>
    <t xml:space="preserve"> [v1.00.29: subsidiaria de Alphabet/Google. Principal canal de distribución para creator-led leagues (Kings League MX) y contenido fan-made deportes.]</t>
  </si>
  <si>
    <t>youtube.com</t>
  </si>
  <si>
    <t>A-149</t>
  </si>
  <si>
    <t>V7-005</t>
  </si>
  <si>
    <t>Coliseo GNP Seguros (Zapopan, Jalisco)</t>
  </si>
  <si>
    <t>V5 · V3</t>
  </si>
  <si>
    <t>Opera venue</t>
  </si>
  <si>
    <t>Multi-deporte / Entretenimiento</t>
  </si>
  <si>
    <t>Venue ex-Estadio 3 de Marzo (1971-2026), rebautizado abr-2026 con naming GNP Seguros. Operado por OCESA bajo contrato de arrendamiento de 10 años (firmado nov-2025 con UAG, propietaria del inmueble). Capacidad 30,000 (modo concierto), 18,779 (modo deportivo). Apertura formal agosto 2026. Sede de 3 partidos del Mundial 2026.</t>
  </si>
  <si>
    <t>Venue nuevo enfocado en entretenimiento masivo en Guadalajara (mercado #2 nacional), competencia directa al Estadio BBVA en NL como referente regional. Incluye sede WC26.</t>
  </si>
  <si>
    <t>Coliseo GNP Seguros · ex-Estadio 3 de Marzo · sede WC26 · UAG arrendador · OCESA operador · GNP naming</t>
  </si>
  <si>
    <t>Concesión OCESA (lease 10 años desde nov-2025)</t>
  </si>
  <si>
    <t>Propietaria UAG (Universidad Autónoma de Guadalajara). Operador OCESA por arrendamiento. Naming GNP Seguros. Inversión conjunta OCESA+GNP+UAG.</t>
  </si>
  <si>
    <t>Sí</t>
  </si>
  <si>
    <t>A-150</t>
  </si>
  <si>
    <t>V1-032</t>
  </si>
  <si>
    <t>Kings League Mexico (ex Kings League Americas) / Kings League Openbank Mexico</t>
  </si>
  <si>
    <t>V2 · V6</t>
  </si>
  <si>
    <t>España (Kosmos / Gerard Piqué)</t>
  </si>
  <si>
    <t>Ciudad de México (Cupra Arena, MX) + Estadio BBVA (Final Four 2025)</t>
  </si>
  <si>
    <t>Produce y comercializa torneo</t>
  </si>
  <si>
    <t>Fútbol 7 / Esports / Creator economy</t>
  </si>
  <si>
    <t>Liga de fútbol 7-vs-7 fundada por Gerard Piqué en 2022. Edición Americas / Mexico debutó ene-2024 con 12 equipos presididos por streamers y futbolistas (Miguel Layún presidente). Sponsors confirmados: Santander/Openbank (title), Bimbo, Sportium, McDonalds, Adidas. Broadcasters MX: Twitch, YouTube, Televisa, ESPN/Disney+. Final Four 2025 en Estadio BBVA (Porcinos FC campeón). Para 2026 DAZN compró rights globales solo en mercados específicos (Spain, Italy, Germany domestic), no MX directamente.</t>
  </si>
  <si>
    <t>Modelo creator-led + digital-first sin precedente en MX: bypass del ecosistema Liga MX clásico, captación de audiencia joven via Twitch/YouTube. Caso de uso para Gustavo en V6 (whitelabel ticketing, vínculo FANKI a verificar) y V2 (modelo digital-first sin TV tradicional dominante).</t>
  </si>
  <si>
    <t>Kings League Americas (rebrand Mexico 2025) · Openbank/Santander title · Piqué/Kosmos founder · Layún Pres. MX · Final Four BBVA Monterrey</t>
  </si>
  <si>
    <t>Liga propia (rights holder)</t>
  </si>
  <si>
    <t>Holding global Kosmos Sports &amp; Gerard Piqué. Operación local con licenciatarios y sponsors regionales. CEO global Kings League: Djamel Agaoua. Presidente liga MX/Americas: Miguel Layún.</t>
  </si>
  <si>
    <t>kingsleague.pro/en/americas</t>
  </si>
  <si>
    <t>A-151</t>
  </si>
  <si>
    <t>V1-033</t>
  </si>
  <si>
    <t>Liga BBVA MX Femenil</t>
  </si>
  <si>
    <t>Empaqueta competición</t>
  </si>
  <si>
    <t>Fútbol femenil</t>
  </si>
  <si>
    <t>Liga MX Femenil (oficialmente Liga BBVA MX Femenil) fundada en 2017, asociación de miembros con 18 clubes que reflejan la estructura de la Liga MX varonil. Aplica regla R-06/E-02 (membresía constitutiva, no absorción) y R-13 (clubes femeniles como propiedades dentro de holdings existentes). En el workbook 17 de 18 clubes femeniles se cubren vía herencia desde el holding o club varonil padre ya mapeado; FC Juárez Bravas se excluye bajo E-07 (huérfano sin contraparte varonil mapeada, propietario Grupo Multimedios no figura en UM). Naming sponsor BBVA. Régimen de derechos centralizado vs Liga MX varonil (caso por revisar bajo M-AF-05). En contexto Mundial Femenino 2027 co-anfitrión MX-USA, el activo crece en relevancia.</t>
  </si>
  <si>
    <t>Activo en alza pre-Mundial Femenino 2027 (MX co-anfitrión confirmado). Régimen de derechos televisivos y comerciales tiene espacio para centralización (decisión Asamblea pendiente). Caso V1 con potencial de crecimiento en visibilidad para todos los holdings padres ya mapeados.</t>
  </si>
  <si>
    <t>Liga BBVA MX Femenil · 17 clubes-miembros cubiertos vía herencia de holdings (R-13) · FC Juárez Bravas excluida (E-07) · Sponsor titular BBVA · Mundial Femenino 2027 catalizador</t>
  </si>
  <si>
    <t>Asociación de miembros (no holding, regla R-06)</t>
  </si>
  <si>
    <t>Asociación de miembros bajo el paraguas de FMF y Liga MX AC. Los 18 clubes son miembros (no hijos consolidados). Aplica R-06 (membresía no absorción), E-02 (excepción Liga MX vs clubes), R-13 (propiedades cross-género en holdings) y E-07 (exclusión femeniles huérfanos). 17 de 18 clubes mapeados vía herencia de actores padre existentes.</t>
  </si>
  <si>
    <t>ligamxfemenil.net</t>
  </si>
  <si>
    <t>Relaciones entre actores · Una fila por relación · Actor A activo, Actor B receptor (ver M-01)</t>
  </si>
  <si>
    <t>ID Relación</t>
  </si>
  <si>
    <t>Actor A (ID Maestro)</t>
  </si>
  <si>
    <t>Actor A (nombre)</t>
  </si>
  <si>
    <t>Vertical A</t>
  </si>
  <si>
    <t>Actor B (ID Maestro)</t>
  </si>
  <si>
    <t>Actor B (nombre)</t>
  </si>
  <si>
    <t>Vertical B</t>
  </si>
  <si>
    <t>Tipo de relación</t>
  </si>
  <si>
    <t>Nivel</t>
  </si>
  <si>
    <t>Dirección</t>
  </si>
  <si>
    <t>Descripción</t>
  </si>
  <si>
    <t>Fuente / Evidencia</t>
  </si>
  <si>
    <t>Cross-vertical</t>
  </si>
  <si>
    <t>Visualizable</t>
  </si>
  <si>
    <t>R-001</t>
  </si>
  <si>
    <t>Sponsorship</t>
  </si>
  <si>
    <t>R2</t>
  </si>
  <si>
    <t>A→B</t>
  </si>
  <si>
    <t>Adidas es kit técnico de Tigres UANL — uno de los tres principales contratos de Adidas en México junto a FMF y América.</t>
  </si>
  <si>
    <t>Adidas kit técnico de Tigres: uno de los tres contratos clave Adidas en México junto a FMF y América, confirma dominancia Adidas en el tier 1 del ecosistema.</t>
  </si>
  <si>
    <t>record.com.mx; adidas.com.mx</t>
  </si>
  <si>
    <t>R-002</t>
  </si>
  <si>
    <t>R1</t>
  </si>
  <si>
    <t>Adidas renovó el contrato de kit con FMF hasta 2034 (10 años). Reportado en USD 290M aunque no verificado en fuentes primarias. El deal de kit más grande de la historia del fútbol mexicano.</t>
  </si>
  <si>
    <t>Adidas renueva hasta 2034 (reportado USD 290M): el kit deal más largo y valioso del ecosistema mexicano.</t>
  </si>
  <si>
    <t>fmf.mx; adidas.com.mx; espn.com.mx</t>
  </si>
  <si>
    <t>R-003</t>
  </si>
  <si>
    <t>Adidas reemplazó a Nike como kit técnico oficial del Club América en julio 2025. El fichaje del América es la conquista más relevante de Adidas en Liga MX.</t>
  </si>
  <si>
    <t>Adidas reemplazó a Nike en jul-2025: la transición de kit técnico en el club más valioso de México es señal de mercado.</t>
  </si>
  <si>
    <t>espn.com.mx; record.com.mx; adidas.com.mx</t>
  </si>
  <si>
    <t>R-004</t>
  </si>
  <si>
    <t>Adidas provee el kit técnico de la Selección Mexicana Femenil como parte del deal con FMF hasta 2034. El deal kit es integral para ambas selecciones (varonil y femenil).</t>
  </si>
  <si>
    <t>Adidas incluye la Femenil en el deal FMF 2034: el kit deal más largo del ecosistema cubre también a la Selección Femenil.</t>
  </si>
  <si>
    <t>fmf.mx; adidas.com.mx</t>
  </si>
  <si>
    <t>R-005</t>
  </si>
  <si>
    <t>Data / Fan Intelligence</t>
  </si>
  <si>
    <t>Akta es la plataforma OTT que opera ViX (TelevisaUnivision): AVOD, SVOD, Live, FAST, ingesta, programación, DAI y DRM. Construida en 9 meses con ~150 ingenieros sobre Google Cloud. Es el stack real de streaming de Liga MX.</t>
  </si>
  <si>
    <t>Akta es el stack OTT real que opera ViX: quien quiera entender cómo Liga MX llega al streaming en México entiende primero a Akta.</t>
  </si>
  <si>
    <t>businesswire.com; akta.tech/customers/univision-televisa-vix/</t>
  </si>
  <si>
    <t>R-006</t>
  </si>
  <si>
    <t>Amazon firmó triple deal de patrocinio con FMF desde mar-2025: Selección Mexicana, Liga MX y Liga MX Femenil. Primer tech giant con triple deal deportivo en México.</t>
  </si>
  <si>
    <t>Triple deal Amazon (FMF, Liga MX, Femenil): la entrada de Big Tech al patrocinio de la Selección es señal de mercado.</t>
  </si>
  <si>
    <t>prnewswire.com; espn.com.mx mar-2025</t>
  </si>
  <si>
    <t>R-007</t>
  </si>
  <si>
    <t>Amazon/AWS es parte del triple deal de patrocinio que incluye explícitamente a la Selección Mexicana Femenil (junto con El Tri varonil y Liga MX), desde mar-2025.</t>
  </si>
  <si>
    <t>Amazon incluye explícitamente la Femenil en el triple deal: única sponsor big tech con presencia femenil verificada.</t>
  </si>
  <si>
    <t>prnewswire.com; fmf.mx</t>
  </si>
  <si>
    <t>R-008</t>
  </si>
  <si>
    <t>Rights / Media</t>
  </si>
  <si>
    <t>Amazon Prime Video firmó el primer acuerdo de broadcasting exclusivo con un club Liga MX (Chivas, USD 20M/4 años desde Apertura 2024). Primer OTT global exclusivo con club Liga MX.</t>
  </si>
  <si>
    <t>Amazon tiene el primer acuerdo exclusivo de broadcasting con un club Liga MX (USD 20M/4 años): el deal que rompió el modelo histórico de derechos.</t>
  </si>
  <si>
    <t>espn.com.mx; prnewswire.com</t>
  </si>
  <si>
    <t>R-009</t>
  </si>
  <si>
    <t>Ownership / Control</t>
  </si>
  <si>
    <t>R3</t>
  </si>
  <si>
    <t>Apollo Global Management (socio de 'La Comercializadora' rechazada dic-2024) es el mismo fondo que controla Atlético de Madrid y, por ende, Atlético de San Luis. Dos tesis de inversión distintas del mismo PE en el ecosistema mexicano.</t>
  </si>
  <si>
    <t>espn.com.mx; 2playbook; SportBusiness</t>
  </si>
  <si>
    <t>R-010</t>
  </si>
  <si>
    <t>Venue / Operations</t>
  </si>
  <si>
    <t>Estadio Corregidora es casa de Club Querétaro. Tras la sanción 2022 (Brawl Querétaro-Atlas), el estadio quedó bajo escrutinio especial. Innovatio Capital adquirió Querétaro en 2023 y opera el estadio.</t>
  </si>
  <si>
    <t>P6-E. Cierra orfandad V7-013. Estadio asociado a evento de mayor reputación negativa Liga MX reciente (mar-2022). Innovatio Capital es contraparte para cualquier relación comercial.</t>
  </si>
  <si>
    <t>[P6-E] Carga conceptual P6 para cerrar orfandad de actor Visualizable=Sí</t>
  </si>
  <si>
    <t>R-011</t>
  </si>
  <si>
    <t>Agency / Intermediation</t>
  </si>
  <si>
    <t>Moelis &amp; Co. fue el asesor financiero de Liga MX en las negociaciones de 'La Comercializadora' (SPV Apollo-NFL-Liga MX, rechazado dic-2024, USD 13,000M implícito). También asesora la separación como AC.</t>
  </si>
  <si>
    <t>Moelis fue el asesor financiero de Liga MX en el proyecto rechazado: señal de que la liga ya exploró monetización de derechos con PE.</t>
  </si>
  <si>
    <t>ESPN; mediotiempo.com; SportBusiness; 2playbook</t>
  </si>
  <si>
    <t>R-012</t>
  </si>
  <si>
    <t>Apple TV es el broadcaster exclusivo de la Leagues Cup (MLS vs Liga MX) en EE.UU. y México desde 2023. El torneo crossborder más relevante del fútbol norteamericano.</t>
  </si>
  <si>
    <t>Apple TV broadcaster exclusivo de Leagues Cup: primer torneo Liga MX en una plataforma tech pura.</t>
  </si>
  <si>
    <t>tv.apple.com; espn.com.mx</t>
  </si>
  <si>
    <t>R-013</t>
  </si>
  <si>
    <t>SUM gestiona los derechos de la Leagues Cup en EE.UU. Apple TV es el broadcaster exclusivo del torneo. La relación SUM-Apple TV define el canal de distribución del torneo más relevante del fútbol binacional.</t>
  </si>
  <si>
    <t>SUM gestiona Leagues Cup vía Apple TV: la relación MLS-Liga MX en EE.UU. con el broadcaster exclusivo del torneo.</t>
  </si>
  <si>
    <t>sumworldwide.com; tv.apple.com</t>
  </si>
  <si>
    <t>R-014</t>
  </si>
  <si>
    <t>ASdeporte es el operador logístico del evento: gestiona inscripciones, cronometraje y logística.</t>
  </si>
  <si>
    <t>Refuerza la concentración de ASdeporte en endurance premium México.</t>
  </si>
  <si>
    <t>asdeporte.com (organizador verificado en todas las ediciones)</t>
  </si>
  <si>
    <t>R-015</t>
  </si>
  <si>
    <t>AT&amp;T México es sponsor telecom exclusivo de la Selección (hasta 2027) y también uno de los dos operadores móviles reales de los 3 venues WC26. Doble rol sponsor+infraestructura.</t>
  </si>
  <si>
    <t>att.com.mx; ficha V8-013</t>
  </si>
  <si>
    <t>R-016</t>
  </si>
  <si>
    <t>AT&amp;T México es telecom exclusivo de la Selección Mexicana desde 2019 hasta 2027. La venta corporativa de AT&amp;T México pone en riesgo la continuidad post-2027.</t>
  </si>
  <si>
    <t>AT&amp;T es telecom exclusivo de El Tri hasta 2027: sponsor con doble función (patrocinio + infraestructura WC26).</t>
  </si>
  <si>
    <t>att.com.mx; fmf.mx</t>
  </si>
  <si>
    <t>R-017</t>
  </si>
  <si>
    <t>AT&amp;T México extiende su rol de telecom exclusivo de la FMF (Selección varonil 2019-2027) a activaciones con la Selección Femenil, según ficha de actor V1-026.</t>
  </si>
  <si>
    <t>fmf.mx; att.com.mx</t>
  </si>
  <si>
    <t>R-019</t>
  </si>
  <si>
    <t>Banorte es presenting partner de los NFL México City Games 2016-2028. Convierte el Estadio Banorte en su activo de naming + NFL simultáneamente.</t>
  </si>
  <si>
    <t>Banorte como presenting partner del NFL en su propio estadio: monetización cruzada del venue más allá del fútbol.</t>
  </si>
  <si>
    <t>nfl.com/international; banorte.com</t>
  </si>
  <si>
    <t>R-020</t>
  </si>
  <si>
    <t>Banorte tiene naming rights del Estadio Banorte (ex Azteca) más crédito estructurado MXN 2,568M a 12 años con Ollamani. Estructura única: sponsor de naming venue + acreedor financiero al mismo tiempo (V3 sponsor + nota financiera).</t>
  </si>
  <si>
    <t>Naming rights + deuda estructurada: el banco tiene doble palanca sobre el venue más visible de la liga.</t>
  </si>
  <si>
    <t>BMV AGUILAS; banorte.com</t>
  </si>
  <si>
    <t>R-021</t>
  </si>
  <si>
    <t>BBVA tiene naming rights del Estadio BBVA de Rayados hasta 2030 (renovado jul-2025). BBVA NO es accionista de FEMSA ni Rayados — solo naming.</t>
  </si>
  <si>
    <t>Naming rights BBVA renovado hasta 2030: el patrocinio de venue más largo del ecosistema, contrato distinto al jersey deal.</t>
  </si>
  <si>
    <t>bbva.mx; rayados.com</t>
  </si>
  <si>
    <t>R-022</t>
  </si>
  <si>
    <t>BBVA es title sponsor de Liga BBVA MX (varonil, femenil y Expansión) desde 2016. Renovó en jul-2025 hasta 2028. La liga lleva el nombre BBVA en su denominación oficial.</t>
  </si>
  <si>
    <t>BBVA es title sponsor hasta 2028: el deal de patrocinio de mayor valor en el ecosistema de liga.</t>
  </si>
  <si>
    <t>bbva.mx; ligamx.net; elfinanciero.com.mx</t>
  </si>
  <si>
    <t>R-023</t>
  </si>
  <si>
    <t>BBVA es title sponsor con naming en el nombre del evento; ya documentado en ficha V3-001 del tracker.</t>
  </si>
  <si>
    <t>El nombre del evento lleva la marca BBVA: naming estructural del segundo evento de running más grande de CDMX.</t>
  </si>
  <si>
    <t>V3-001 UNIVERSO MAESTRO + emociondeportiva.com (nombre verificado del evento)</t>
  </si>
  <si>
    <t>R-024</t>
  </si>
  <si>
    <t>Bimbo regresó como jersey sponsor de Club América en temporada 2025-26, señal del incremento de valor comercial post-General Atlantic.</t>
  </si>
  <si>
    <t>Bimbo regresó como jersey sponsor en 2025-26: señal de incremento de valor del activo América post-GA.</t>
  </si>
  <si>
    <t>espn.com.mx; record.com.mx</t>
  </si>
  <si>
    <t>R-025</t>
  </si>
  <si>
    <t>Ticketing / Access</t>
  </si>
  <si>
    <t>Boletomóvil es la boletera oficial del Estadio Universitario El Volcán (Tigres UANL).</t>
  </si>
  <si>
    <t>Boletomóvil boletera oficial de El Volcán: el mandato canónico Boletomóvil-Tigres.</t>
  </si>
  <si>
    <t>R-026</t>
  </si>
  <si>
    <t>BOLETOMÓVIL es la boletera oficial del Estadio Akron. Operará en los 4 partidos WC26 en Guadalajara, aunque FIFA controla el canal primario.</t>
  </si>
  <si>
    <t>WC26 coexiste con Boletomóvil en el Akron: FIFA controla el canal primario pero Boletomóvil retiene operación del venue. Tensión de mandatos relevante para cualquier activador.</t>
  </si>
  <si>
    <t>R-027</t>
  </si>
  <si>
    <t>Boletomóvil opera ticketing de Tigres (El Volcán). No tiene mandato en Estadio BBVA — Ticketmaster tiene a Rayados. Cross-referencia: Boletomóvil tiene Chivas (Akron WC26) y Tigres.</t>
  </si>
  <si>
    <t>boletomovil.com; ficha V6-002</t>
  </si>
  <si>
    <t>R-028</t>
  </si>
  <si>
    <t>Boletomóvil (Liga MX norte-occidente) y Superboletos (arenas Avalanz) son los dos principales competidores de Ticketmaster. Mercados distintos pero crecientes.</t>
  </si>
  <si>
    <t>Inferido por estructura de mercado boleteras MX</t>
  </si>
  <si>
    <t>R-029</t>
  </si>
  <si>
    <t>Boletomóvil es la boletera oficial del Estadio Akron (Chivas). También gestiona el mercado secundario regulado oficial para partidos de Chivas.</t>
  </si>
  <si>
    <t>Boletomóvil es la boletera oficial del Akron y gestiona mercado secundario regulado: el mandato más completo de una boletera en un venue Liga MX.</t>
  </si>
  <si>
    <t>boletomovil.com; telediario.mx</t>
  </si>
  <si>
    <t>R-030</t>
  </si>
  <si>
    <t>Partnership exclusivo mundial Canelo Media + Box to Box Films para producción contenido sports/lifestyle (2026+).</t>
  </si>
  <si>
    <t>Box to Box (F1 Drive to Survive) llega a LATAM vía Canelo. Producción premium MX por primera vez.</t>
  </si>
  <si>
    <t>deadline.com | boxingnews.com</t>
  </si>
  <si>
    <t>R-237</t>
  </si>
  <si>
    <t>Cruz Azul regresó al Estadio Banorte (operado por Ollamani vía FDF SA, propiedad Grupo Televisa) el 26-abr-2026 para Jornada 17 vs Necaxa y para la Liguilla del Clausura 2026 (Cuartos de Final vs Atlas), tras casi 3 años sin jugar como local en el Coloso de Santa Úrsula. Régimen es alquiler temporal por partido, no contrato permanente; FIFA exige liberar el venue antes del Mundial 2026.</t>
  </si>
  <si>
    <t>Regreso parcial Cruz Azul al Banorte: el Coloso de Santa Úrsula deja de ser exclusivo del América durante remodelación; abre patrón de uso compartido del venue WC26 entre clubes Liga MX en transición.</t>
  </si>
  <si>
    <t>tudn.com; espn.com.mx; record.com.mx; mediotiempo.com; comunicado oficial Cruz Azul 21-abr-2026</t>
  </si>
  <si>
    <t>R-238</t>
  </si>
  <si>
    <t>OCESA opera el Coliseo GNP Seguros (ex Estadio 3 de Marzo) bajo contrato de arrendamiento de 10 años con UAG, firmado nov-2025. Es el segundo recinto bajo modelo OCESA+GNP en MX (replicando Estadio GNP Seguros CDMX, ex Foro Sol). OCESA gestiona programación, ticketing vía Ticketmaster, hospitality, F&amp;B y producción técnica.</t>
  </si>
  <si>
    <t>Replica el modelo OCESA+GNP a Guadalajara: tras la remodelación del Foro Sol como Estadio GNP Seguros (2024), OCESA consolida su control del entertainment infrastructure mexicano agregando un segundo venue de 30K en el mercado #2 nacional.</t>
  </si>
  <si>
    <t>expansion.mx; billboard.com; record.com.mx; comunicado OCESA 28-abr-2026</t>
  </si>
  <si>
    <t>R-033</t>
  </si>
  <si>
    <t>Ticketmaster es boletera de Pumas UNAM en el OEU. Uno de los mandatos remanentes post-pérdida del Banorte.</t>
  </si>
  <si>
    <t>ticketmaster.com.mx; ficha V6-004</t>
  </si>
  <si>
    <t>R-034</t>
  </si>
  <si>
    <t>Ticketmaster México es la boletera exclusiva de Rayados de Monterrey (Estadio BBVA). Una de las relaciones de ticketing más rentables de la cartera de Ticketmaster en México.</t>
  </si>
  <si>
    <t>Ticketmaster mantiene el mandato de Rayados en BBVA: el contrapunto directo a la pérdida del Estadio Banorte.</t>
  </si>
  <si>
    <t>ticketmaster.com.mx; rayados.com</t>
  </si>
  <si>
    <t>R-035</t>
  </si>
  <si>
    <t>CIE/OCESA brazo deportivo gestiona la activación comercial integrada del GP de México: sponsorship sales, naming rights de áreas (Cervecería Modelo, Heineken, Banorte), inventario publicitario circuito y experiential brand activations.</t>
  </si>
  <si>
    <t>P6-E. Cierra DT-04. Brazo V4 de CIE/OCESA opera el lado comercial deportivo (no el promotor V5). Esta relación explica por qué GP México captura ~10 sponsors title/premium concurrentes.</t>
  </si>
  <si>
    <t>R-036</t>
  </si>
  <si>
    <t>Ticketmaster México perdió el mandato del Estadio Banorte en dic-2025 cuando Ollamani optó por FANKI. Relación en ruptura activa: Ticketmaster ya NO vende partidos locales en el Banorte.</t>
  </si>
  <si>
    <t>ticketmaster.com.mx; elfinanciero.com.mx</t>
  </si>
  <si>
    <t>R-037</t>
  </si>
  <si>
    <t>Claro Sports tiene derechos compartidos de Necaxa en Liga MX. Nexo América Móvil como broadcaster del club.</t>
  </si>
  <si>
    <t>clarosports.com; ficha V2-007</t>
  </si>
  <si>
    <t>R-038</t>
  </si>
  <si>
    <t>Coca-Cola es socio FIFA Tier 1 global — categoría exclusiva bebidas no alcohólicas en los 13 partidos WC26 en México.</t>
  </si>
  <si>
    <t>Coca-Cola es FIFA Tier 1 global en WC26: categoría exclusiva bebidas no alcohólicas en los 13 partidos mexicanos.</t>
  </si>
  <si>
    <t>fifa.com; coca-cola.com.mx</t>
  </si>
  <si>
    <t>R-039</t>
  </si>
  <si>
    <t>Coca-Cola/FEMSA es patrocinador oficial de la Selección Mexicana y de Liga MX, además de ser Socio FIFA Tier 1 global para WC26.</t>
  </si>
  <si>
    <t>Coca-Cola/FEMSA es sponsor oficial de Selección + Liga MX y socio FIFA Tier 1: la marca de consumo más presente en el ecosistema.</t>
  </si>
  <si>
    <t>coca-cola.com.mx; fmf.mx</t>
  </si>
  <si>
    <t>R-040</t>
  </si>
  <si>
    <t>Powerade es marca de The Coca-Cola Company distribuida por Coca-Cola FEMSA en México: relación intragrupo.</t>
  </si>
  <si>
    <t>V3-010 UNIVERSO MAESTRO</t>
  </si>
  <si>
    <t>R-041</t>
  </si>
  <si>
    <t>Codere es jersey sponsor de Rayados (hasta 2029) y de las Rayadas femenil. Segundo operador apuestas con presencia estructural.</t>
  </si>
  <si>
    <t>Codere es jersey sponsor de Rayados hasta 2029: segundo operador de apuestas con presencia en jersey, señal de concentración del sector.</t>
  </si>
  <si>
    <t>codere.mx; espn.com.mx</t>
  </si>
  <si>
    <t>R-042</t>
  </si>
  <si>
    <t>Institutional / Regulatory</t>
  </si>
  <si>
    <t>COMUDE es el rights holder institucional del evento: sin su convocatoria oficial no existe jurídicamente.</t>
  </si>
  <si>
    <t>COMUDE GDL es el gatekeeper público del único evento WA Platinum Label de México.</t>
  </si>
  <si>
    <t>marcate.com.mx convocatoria XL 2026</t>
  </si>
  <si>
    <t>R-043</t>
  </si>
  <si>
    <t>Hospitality</t>
  </si>
  <si>
    <t>On Location es el operador oficial exclusivo de hospitalidad FIFA para WC26, incluyendo los 3 venues mexicanos (Banorte, BBVA, Akron). Monopolio global de hospitalidad mundialista.</t>
  </si>
  <si>
    <t>On Location es el operador exclusivo de hospitality FIFA WC26 en los 3 venues mexicanos: la puerta de entrada única para cualquier marca que quiera hospitality premium en el Mundial.</t>
  </si>
  <si>
    <t>onlocationexp.com; fifa.com/hospitality</t>
  </si>
  <si>
    <t>R-044</t>
  </si>
  <si>
    <t>La FMF es el ente co-anfitrión del WC26 en México junto con USSF y Canada Soccer. Gestiona la relación con FIFA y coordina los comités organizadores en las 3 sedes mexicanas.</t>
  </si>
  <si>
    <t>fmf.mx; fifa.com/worldcup</t>
  </si>
  <si>
    <t>R-045</t>
  </si>
  <si>
    <t>El Estadio BBVA es la sede WC26 en Monterrey. Alberga 4 partidos del Mundial (3 grupos + 1/16).</t>
  </si>
  <si>
    <t>BBVA es la sede WC26 en Monterrey (4 partidos): el único venue propiedad del mismo grupo que lo patrocina (FEMSA).</t>
  </si>
  <si>
    <t>fifa.com; espn.com.mx</t>
  </si>
  <si>
    <t>R-046</t>
  </si>
  <si>
    <t>El Estadio Akron es la sede WC26 en Guadalajara. Alberga 4 partidos del Mundial.</t>
  </si>
  <si>
    <t>R-047</t>
  </si>
  <si>
    <t>Hawk-Eye es el VAR Technology Provider oficial de FIFA para los 16 venues WC26, incluyendo los 3 mexicanos (Banorte, BBVA, Akron). Provee SAOT y Goal-Line Technology.</t>
  </si>
  <si>
    <t>Hawk-Eye es el VAR Technology Provider oficial de FIFA para los 16 venues WC26 incluyendo los 3 mexicanos: el mandato tecnológico de integridad deportiva más amplio del evento.</t>
  </si>
  <si>
    <t>inside.fifa.com; news.lenovo.com</t>
  </si>
  <si>
    <t>R-048</t>
  </si>
  <si>
    <t>Lenovo es el Official Technology Partner de FIFA WC26. Provee infraestructura, Football AI Pro y soporte a Hawk-Eye en los 3 venues mexicanos.</t>
  </si>
  <si>
    <t>Lenovo es Official Technology Partner FIFA WC26 global: provee Football AI Pro y soporte a Hawk-Eye en todos los venues mexicanos.</t>
  </si>
  <si>
    <t>lenovo.com; news.lenovo.com</t>
  </si>
  <si>
    <t>R-049</t>
  </si>
  <si>
    <t>El Estadio Banorte es la sede del partido inaugural WC26 (México vs Sudáfrica, 11-jun-2026). Alberga 5 partidos del Mundial. Durante WC26 se denomina oficialmente 'Estadio Ciudad de México' (reglas FIFA).</t>
  </si>
  <si>
    <t>Banorte es sede inaugural WC26 (5 partidos, incluyendo México vs Sudáfrica): el evento más alto de la pirámide.</t>
  </si>
  <si>
    <t>R-050</t>
  </si>
  <si>
    <t>Corona es cerveza oficial de la Selección Mexicana desde 2006 — el deal de bebidas alcohólicas más longevo del ecosistema (20 años).</t>
  </si>
  <si>
    <t>Corona es la cerveza oficial de El Tri desde 2006: el deal de bebidas más longevo del ecosistema.</t>
  </si>
  <si>
    <t>grupomodelobeer.com; espn.com.mx</t>
  </si>
  <si>
    <t>R-051</t>
  </si>
  <si>
    <t>Estadio Ciudad de los Deportes (ex Estadio Azul) fue casa de Cruz Azul desde 2024 hasta ene-2026 (clausurado por Protección Civil nov-2024 durante remodelación Banorte). En el Clausura 2026 Cruz Azul jugó la mayoría de partidos como local en Estadio Cuauhtémoc Puebla por contrato con Salinas/Puebla vigente hasta jun-2026, con regreso parcial al Estadio Banorte para Jornada 17 (26-abr-2026) y Liguilla.</t>
  </si>
  <si>
    <t>P6-E. Cierra orfandad V7-014. Cruz Azul en estadio temporal mientras define proyecto de estadio propio. Situación volátil que afecta cualquier proyección comercial 3+ años.</t>
  </si>
  <si>
    <t>tudn.com; espn.com.mx; record.com.mx; comunicado oficial Cruz Azul 21-abr-2026</t>
  </si>
  <si>
    <t>R-239</t>
  </si>
  <si>
    <t>GNP Seguros tiene naming rights del Coliseo GNP Seguros (anunciado abr-2026), segundo venue bajo naming GNP en MX tras Estadio GNP Seguros CDMX. Modelo de naming sobre venue independiente (no propiedad club): califica V3.C bajo M-AF-08.</t>
  </si>
  <si>
    <t>GNP/BAL consolida estrategia naming en venues OCESA: los dos coliseos GNP cubren CDMX y GDL, los dos mercados de entretenimiento más grandes del país.</t>
  </si>
  <si>
    <t>expansion.mx; record.com.mx; informabtl.com; comunicado GNP+OCESA abr-2026</t>
  </si>
  <si>
    <t>R-053</t>
  </si>
  <si>
    <t>CVC tiene track record LaLiga (EUR 2Bn) y Ligue 1 (USD 1.66Bn). Modelo de inversión en ligas es el blueprint más relevante para centralización Liga MX. Sin deal confirmado con Liga MX.</t>
  </si>
  <si>
    <t>cvc.com; inferido por patrón de inversión en ligas europeas</t>
  </si>
  <si>
    <t>R-054</t>
  </si>
  <si>
    <t>DAZN es broadcaster exclusivo de Canelo Álvarez en México y EE.UU. Sin Canelo, DAZN pierde su producto premium en México.</t>
  </si>
  <si>
    <t>DAZN broadcaster exclusivo de Canelo en México y EE.UU.: sin Canelo, DAZN pierde su producto premium en el mercado mexicano. La dependencia bilateral más concentrada del ecosistema de media.</t>
  </si>
  <si>
    <t>dazn.com; ficha V2-006</t>
  </si>
  <si>
    <t>R-055</t>
  </si>
  <si>
    <t>Draftea tiene acuerdo oficial con FMF/Selección Nacional Mexicana. Primera plataforma DFS en español de LATAM con mandato FMF.</t>
  </si>
  <si>
    <t>Draftea es la plataforma DFS oficial de FMF/Selección: primer acuerdo DFS oficial en el ecosistema mexicano.</t>
  </si>
  <si>
    <t>draftea.com; techcrunch.com</t>
  </si>
  <si>
    <t>R-056</t>
  </si>
  <si>
    <t>Electrolit es bebida oficial de Rayados de Monterrey, uno de los 8+ clubes Liga MX que patrocinan. &gt;30 patrocinios activos en el ecosistema.</t>
  </si>
  <si>
    <t>electrolit.com.mx; rayados.com</t>
  </si>
  <si>
    <t>R-057</t>
  </si>
  <si>
    <t>Electrolit es bebida oficial de 8+ clubes Liga MX y &gt;30 patrocinios activos en el ecosistema. Mayor patrocinador de bebidas deportivas por volumen de acuerdos.</t>
  </si>
  <si>
    <t>Electrolit como bebida oficial en FMF: parte del portafolio multi-club que hace de Electrolit el sponsor de bebidas más transversal.</t>
  </si>
  <si>
    <t>electrolit.com.mx; espn.com.mx</t>
  </si>
  <si>
    <t>R-058</t>
  </si>
  <si>
    <t>Electrolit está documentado como co-sponsor activo con representante presente en ceremonia de premiación 2025.</t>
  </si>
  <si>
    <t>Electrolit tiene presencia activa como co-sponsor en los dos mercados de running más grandes: CDMX (aquí) y Guadalajara (REL-374).</t>
  </si>
  <si>
    <t>indeporte.cdmx.gob.mx nota Medio Maratón 2025 (Óscar Taquechi Reveles Caballero, director de eventos y patrocinios Electrolit)</t>
  </si>
  <si>
    <t>R-059</t>
  </si>
  <si>
    <t>Electrolit es title sponsor con naming en el nombre del evento; relación de largo plazo que definió el dominio de Electrolit en running nacional.</t>
  </si>
  <si>
    <t>El nombre del único WA Platinum Label de México lleva la marca Electrolit: el deal de naming más valioso del ecosistema running en términos de certificación técnica.</t>
  </si>
  <si>
    <t>marcate.com.mx convocatoria XL 2026 (nombre verificado del evento)</t>
  </si>
  <si>
    <t>R-060</t>
  </si>
  <si>
    <t>Electrolit es bebida oficial de Club América, uno de los 8+ clubes Liga MX en su portafolio. Mayor patrocinador de bebidas deportivas por volumen de acuerdos activos.</t>
  </si>
  <si>
    <t>Bebida oficial del club, parte de portafolio de 8+ clubs Liga MX: Electrolit como sponsor transversal del ecosistema.</t>
  </si>
  <si>
    <t>electrolit.com.mx; clubamerica.com.mx</t>
  </si>
  <si>
    <t>R-061</t>
  </si>
  <si>
    <t>Elevate Sports Ventures opera la capa premium del Estadio Banorte bajo contrato de 10 años con Ollamani (jul-2025): Tunnel Club, Super Seats, Corner Club, Locker Club, Chairman's Club, Suites.</t>
  </si>
  <si>
    <t>Elevate es el operador ejecutivo de la capa premium del venue: nodo clave para entender quién activa hospitality en Banorte.</t>
  </si>
  <si>
    <t>elevatesv.com; sportsbusinessjournal.com</t>
  </si>
  <si>
    <t>R-062</t>
  </si>
  <si>
    <t>TKO Group conexión narrativa: AAA + Canelo Media producen contenido lucha/boxeo en MX bajo grupo internacional.</t>
  </si>
  <si>
    <t>Convergencia deportes-entretenimiento: lucha y boxeo bajo paraguas internacional con base MX.</t>
  </si>
  <si>
    <t>boxingnews.com | tko.holdings</t>
  </si>
  <si>
    <t>R-063</t>
  </si>
  <si>
    <t>On Location opera paquetes hospitality oficial WC26 para los 4 partidos del Estadio BBVA Monterrey. Suites, premium F&amp;B, experiencias VIP corporativas.</t>
  </si>
  <si>
    <t>P6-B. Captura del gasto corporativo Monterrey/Norte en partidos WC26. Banorte ya tiene activos en cluster Ollamani; FEMSA y BBVA son clientes naturales de la oferta hospitality On Location.</t>
  </si>
  <si>
    <t>[P6-B] Carga conceptual basada en estructura conocida del ecosistema hospitality WC26 / GP F1 / Mextenis / OCESA</t>
  </si>
  <si>
    <t>R-064</t>
  </si>
  <si>
    <t>UFC opera sus Fight Nights en Arena CDMX (Zignia/Avalanz). Superboletos es la boletera exclusiva. Sin promotor local.</t>
  </si>
  <si>
    <t>UFC opera Fight Nights en Arena CDMX; Superboletos actúa como boletera por integración vertical Avalanz, no por mandato directo UFC.</t>
  </si>
  <si>
    <t>ufc.com; zignialive.com</t>
  </si>
  <si>
    <t>R-065</t>
  </si>
  <si>
    <t>Grupo Mundomex es el agente autorizado oficial de On Location para FIFA WC26 en territorio México desde jul-2025. Único canal oficial FIFA-26 hospitality en México.</t>
  </si>
  <si>
    <t>Mundomex es el agente territorial exclusivo de On Location para WC26 en México desde jul-2025: el único actor local autorizado para vender paquetes de hospitality FIFA en territorio mexicano.</t>
  </si>
  <si>
    <t>mundomex.com.mx; onlocationexp.com</t>
  </si>
  <si>
    <t>R-066</t>
  </si>
  <si>
    <t>On Location opera paquetes hospitality oficial WC26 para los 4 partidos del Estadio Akron Guadalajara. Suites premium, F&amp;B, experiencias para corporativos del bajío y occidente.</t>
  </si>
  <si>
    <t>P6-B. Captura del gasto corporativo del occidente. Coexiste con Boletomóvil como canal ticketing primario; On Location actúa exclusivamente sobre el segmento premium.</t>
  </si>
  <si>
    <t>R-067</t>
  </si>
  <si>
    <t>On Location, monopolio hospitality oficial WC26, opera paquetes premium para los 5 partidos del Estadio Banorte (incluido inaugural). Suites, premium seating, F&amp;B, transporte y experiencias para corporativos.</t>
  </si>
  <si>
    <t>P6-B. Único canal autorizado por FIFA para hospitality WC26 en sede inaugural. Captura 100% del gasto corporativo premium en partidos Banorte (87,523 aforo x 5 partidos).</t>
  </si>
  <si>
    <t>R-068</t>
  </si>
  <si>
    <t>ESPN tiene derechos de transmisión de algunos clubes Liga MX (parciales), NBA México, NFL y Champions League en México. Bundle ViX+Disney+ desde jun-2025 (MXN 199/mes).</t>
  </si>
  <si>
    <t>ESPN tiene derechos parciales Liga MX más NBA/NFL/Champions: el bundle ViX+Disney+ hace esta relación más estratégica.</t>
  </si>
  <si>
    <t>espn.com.mx; disneyplus.com</t>
  </si>
  <si>
    <t>R-069</t>
  </si>
  <si>
    <t>Bundle ViX+Disney+ desde jun-2025 (MXN 199/mes) crea alianza de distribución streaming entre competidores. La alianza es la más relevante del mercado streaming en 2025-26.</t>
  </si>
  <si>
    <t>espn.com.mx; expansión.mx</t>
  </si>
  <si>
    <t>R-070</t>
  </si>
  <si>
    <t>Bundle ViX+Disney+ lanzado jun-2025 (MXN 199/mes). La alianza de distribución más relevante del ecosistema streaming deportivo en México 2025-2026. Complementan portafolios: ViX (Liga MX, WC26) + Disney+ (NBA, NFL, Champions).</t>
  </si>
  <si>
    <t>Bundle ViX+Disney+ lanzado jun-2025: la alianza de distribución más relevante del ecosistema streaming en México.</t>
  </si>
  <si>
    <t>televisaunivision.com; disneyplus.com; expansión.mx</t>
  </si>
  <si>
    <t>R-071</t>
  </si>
  <si>
    <t>F1 Experiences (operado por QuintEvents) es el proveedor oficial de hospitality y paquetes premium para el GP de México. Champions Club, Paddock Club, hospitality grand prix y experiencias VIP licenciadas por F1/FOM.</t>
  </si>
  <si>
    <t>P6-B. Cierra DT-05. Único canal autorizado por F1 para hospitality oficial GP México. Captura 100% del gasto premium licenciado en el evento (CIE/OCESA opera promotor pero hospitality oficial es F1 Experiences).</t>
  </si>
  <si>
    <t>R-072</t>
  </si>
  <si>
    <t>Telcel es title sponsor del Abierto Mexicano de Tenis (Abierto Telcel). La muerte de Burillo pone en riesgo la continuidad del deal.</t>
  </si>
  <si>
    <t>Telcel es title sponsor del Abierto Mexicano de Tenis (ATP 500 Acapulco). Vigente por confirmar post-muerte de Burillo; deal histórico como title sponsor.</t>
  </si>
  <si>
    <t>abiertomexicanodetenis.com; telcel.com</t>
  </si>
  <si>
    <t>R-073</t>
  </si>
  <si>
    <t>Familia Slim participa en el fideicomiso privado del GP México (~100 empresas). Porcentaje individual no público. Presencia en el evento más rentable del país pero opaca.</t>
  </si>
  <si>
    <t>Slim como fideicomitente del GP México: participación en el evento más rentable del país.</t>
  </si>
  <si>
    <t>Milenio — fideicomiso GP México; inferido</t>
  </si>
  <si>
    <t>R-074</t>
  </si>
  <si>
    <t>Telcel y AT&amp;T son los únicos operadores móviles con red real en el Estadio BBVA (sede WC26 Monterrey). Telcel lidera (148.50 Mbps Guadalajara).</t>
  </si>
  <si>
    <t>Telcel y AT&amp;T únicos operadores con red real en BBVA (sede WC26 Monterrey): mismo mandato crítico que en Banorte y Akron.</t>
  </si>
  <si>
    <t>dplnews.com; Ookla S2 2025</t>
  </si>
  <si>
    <t>R-075</t>
  </si>
  <si>
    <t>Telcel es socio del fideicomiso privado del GP México y opera la infraestructura de red móvil en el Autódromo Hermanos Rodríguez durante el evento.</t>
  </si>
  <si>
    <t>Telcel en el fideicomiso del GP y operando la infraestructura móvil del AHR: el telecom con mayor presencia simultánea en venues premium.</t>
  </si>
  <si>
    <t>telcel.com; formula1.com</t>
  </si>
  <si>
    <t>R-076</t>
  </si>
  <si>
    <t>Telcel y AT&amp;T son los únicos operadores móviles con red real en el Estadio Akron (sede WC26 Guadalajara). Akron tiene la mejor velocidad de los 3 venues (53.72 Mbps).</t>
  </si>
  <si>
    <t>Telcel y AT&amp;T únicos operadores con red real en el Akron: infraestructura crítica de conectividad y fan data en sede WC26.</t>
  </si>
  <si>
    <t>R-077</t>
  </si>
  <si>
    <t>Telcel es title sponsor con naming en el nombre del evento, relación de 10+ años documentada explícitamente por representante de Telcel en evento oficial.</t>
  </si>
  <si>
    <t>El nombre del evento lleva la marca Telcel: relación de naming estructural de 10+ años en el activo de running de mayor visibilidad del país.</t>
  </si>
  <si>
    <t>indeporte.cdmx.gob.mx nota apertura inscripciones 2024</t>
  </si>
  <si>
    <t>R-078</t>
  </si>
  <si>
    <t>Telcel y AT&amp;T son los únicos operadores móviles con red real en el Estadio Banorte (sede inaugural WC26). Telcel lidera; AT&amp;T opera red usuarios finales.</t>
  </si>
  <si>
    <t>Dos únicos operadores con red real en el venue: infraestructura crítica para fan data y conectividad WC26.</t>
  </si>
  <si>
    <t>R-079</t>
  </si>
  <si>
    <t>FANKI es la boletera oficial del Estadio Banorte. Operará la venta de los 5 partidos WC26 en el Estadio Banorte (incluido partido inaugural), aunque FIFA controla el canal primario vía FIFA.com/tickets.</t>
  </si>
  <si>
    <t>Coexistencia operativa FANKI-FIFA Ticketing en sede inaugural; complementa mandato institucional REL-294.</t>
  </si>
  <si>
    <t>fanki.mx; espn.com.mx</t>
  </si>
  <si>
    <t>R-080</t>
  </si>
  <si>
    <t>FANKI es la boletera oficial de Club América en el Estadio Banorte desde dic-2025. Opera los partidos de América como inquilino del estadio.</t>
  </si>
  <si>
    <t>FANKI opera boletaje de América desde dic-2025: primer mandato en el club más grande de México para la startup.</t>
  </si>
  <si>
    <t>R-081</t>
  </si>
  <si>
    <t>La separación jurídica FMF-Liga MX aprobada el 23-abr-2026 redefinió la relación: de dependencia jerárquica a entidades autónomas. FMF retiene el control de selecciones; Liga MX gestiona el torneo. Antes de abr-2026, Liga MX era una subdivisión de FMF.</t>
  </si>
  <si>
    <t>La separación jurídica abr-2026 es el hecho estructural más importante del ecosistema en 2026: dos entes, dos lógicas comerciales.</t>
  </si>
  <si>
    <t>ligamx.net; espn.com.mx; mediotiempo.com abr-2026</t>
  </si>
  <si>
    <t>R-082</t>
  </si>
  <si>
    <t>La FMF es el rights holder y ente rector de la Selección Mexicana de Fútbol. El Tri no tiene personalidad jurídica propia: es una entidad bajo la FMF.</t>
  </si>
  <si>
    <t>FMF es el rights holder de El Tri: sin entender esta relación no se entiende quién vende los derechos.</t>
  </si>
  <si>
    <t>fmf.mx; fifa.com</t>
  </si>
  <si>
    <t>R-083</t>
  </si>
  <si>
    <t>La FMF es el ente rector de la Selección Mexicana Femenil. El triple deal Amazon incluye a la Liga MX Femenil y la Selección Femenil.</t>
  </si>
  <si>
    <t>FMF es el ente rector de la Femenil: el triple deal Amazon y los sponsors femeniles pasan por aquí.</t>
  </si>
  <si>
    <t>R-084</t>
  </si>
  <si>
    <t>FIFA Ticketing controla el canal primario de boletaje de los 4 partidos WC26 en el Estadio BBVA (Monterrey).</t>
  </si>
  <si>
    <t>FIFA controla boletaje primario en BBVA: el único venue donde el propietario (FEMSA) no tiene boletera propia; Ticketmaster opera el venue pero FIFA toma el WC26.</t>
  </si>
  <si>
    <t>R-085</t>
  </si>
  <si>
    <t>FIFA Ticketing controla el canal primario de boletaje de los 4 partidos WC26 en el Estadio Akron (Guadalajara).</t>
  </si>
  <si>
    <t>Mandato técnico FIFA boletería primaria en Akron; tensión de coexistencia capturada en REL-266.</t>
  </si>
  <si>
    <t>R-086</t>
  </si>
  <si>
    <t>FIFA Ticketing controla el canal primario de boletaje de los 5 partidos WC26 en el Estadio Banorte, desplazando temporalmente a FANKI como boletera operativa principal.</t>
  </si>
  <si>
    <t>FIFA controla el boletaje primario de los 5 partidos WC26 en Banorte: superpone autoridad sobre FANKI/Ollamani.</t>
  </si>
  <si>
    <t>R-087</t>
  </si>
  <si>
    <t>Fillip Holdings tiene JV WWE-AAA (may-2025) donde WWE (subsidiaria TKO) tiene 51% y Fillip 49%. Adquirió marcas y personajes de AAA.</t>
  </si>
  <si>
    <t>Fillip tiene JV WWE-AAA (TKO 51%, Fillip 49%): el vehículo que conecta capital mexicano con el mayor promotor de entretenimiento deportivo del mundo.</t>
  </si>
  <si>
    <t>Marcas Internacionales may-2025; cbinsights.com</t>
  </si>
  <si>
    <t>R-240</t>
  </si>
  <si>
    <t>Coliseo GNP Seguros confirmado como sede de 3 partidos del Mundial FIFA 2026 en México (Guadalajara), tras la conversión del ex Estadio 3 de Marzo. Apertura formal del recinto en agosto 2026 alinea con el inicio del torneo en jun-2026.</t>
  </si>
  <si>
    <t>Tercera sede WC26 en México junto a Estadio Banorte (CDMX) y Estadio BBVA (Monterrey); incorporación de venue OCESA al circuito FIFA fortalece el cluster OCESA en hospitality/operación WC26.</t>
  </si>
  <si>
    <t>en.wikipedia.org/wiki/Coliseo_GNP_Seguros; FIFA host city Guadalajara</t>
  </si>
  <si>
    <t>R-241</t>
  </si>
  <si>
    <t>FANKI es boletera oficial de Kings League Openbank Americas/Mexico en MX. Landing dedicada fanki.com.mx/Kings_League_Openbank_Americas. La plataforma vende boletos a los partidos de la liga 7v7 en CDMX y Final Four (Estadio BBVA Monterrey en edición 2025). FANKI provee ticketing primario y Fan ID; Kings League Mexico no opera infraestructura de boleteo propia.</t>
  </si>
  <si>
    <t>Valida la tesis FANKI como infrastructure de ticketing para creator-led leagues fuera del ecosistema Ticketmaster/Boletomóvil. FANKI captura simultaneamente Liga MX (vía Estadio Banorte, Selección Mexicana, Club América, Atlas, Club Celaya) Y Kings League: portafolio cross-formato sin precedente en MX.</t>
  </si>
  <si>
    <t>fanki.com.mx; fanki.com.mx/Kings_League_Openbank_Americas (consultado may-2026)</t>
  </si>
  <si>
    <t>R-090</t>
  </si>
  <si>
    <t>Fox Corporation transmite Tigres via FOX One tras compra de Caliente TV jun-2025.</t>
  </si>
  <si>
    <t>Fox transmite Tigres vía Caliente TV: los dos clubs del norte más grandes bajo el mismo broadcaster post-adquisición.</t>
  </si>
  <si>
    <t>fastcompany.mx; ficha V2-003</t>
  </si>
  <si>
    <t>R-091</t>
  </si>
  <si>
    <t>Fox Corporation heredó derechos de Rayados via compra Caliente TV jun-2025. FOX One transmite partidos de Rayados en casa.</t>
  </si>
  <si>
    <t>Fox heredó derechos de Rayados vía Caliente TV jun-2025: el club más valioso del norte bajo el nuevo broadcaster que desplazó a Televisa.</t>
  </si>
  <si>
    <t>R-092</t>
  </si>
  <si>
    <t>Fox Corporation adquirió Caliente TV (la señal de TV de Grupo Caliente) en jun-2025. La compra fue la vía de entrada de Fox Corp al mercado mexicano de medios deportivos, adquiriendo simultáneamente derechos Liga MX de varios clubes. [M-01 nota: A=Fox como adquirente; B=Grupo Caliente como vendedor del activo Caliente TV. Excepción a M-01 estándar de Ownership porque la transacción es venta de subsidiaria, no relación de propiedad permanente.]</t>
  </si>
  <si>
    <t>Fox adquirió Caliente TV jun-2025: la vía de entrada de Fox al ecosistema de derechos Liga MX.</t>
  </si>
  <si>
    <t>fastcompany.mx; foxcorporation.com jun-2025</t>
  </si>
  <si>
    <t>R-093</t>
  </si>
  <si>
    <t>Fox One/Tubi transmite a Pachuca desde adquisición de Caliente TV por Fox Corp en jun-2025.</t>
  </si>
  <si>
    <t>ficha V1-011; fastcompany.mx</t>
  </si>
  <si>
    <t>R-094</t>
  </si>
  <si>
    <t>Fox Corp y TelevisaUnivision compiten directamente por los derechos de transmisión de Liga MX en México. Fox Corp entró al mercado comprando Caliente TV (jun-2025), disrruptiendo la histórica distribución TUDN-dominada.</t>
  </si>
  <si>
    <t>fastcompany.mx; espn.com.mx</t>
  </si>
  <si>
    <t>R-095</t>
  </si>
  <si>
    <t>Fox Sports México (Grupo Lauman) es el licenciatario en colapso de la marca Fox Sports en México. Fox Corporation entró directamente (Tubi + FOX One) desplazando a Lauman. Relación: desplazamiento del licenciatario por el licenciante.</t>
  </si>
  <si>
    <t>Fox Sports México (Lauman) en colapso como licenciatario: Fox Corp opera directamente desplazando al licenciatario local. La transición broadcaster más relevante del mercado en 2026.</t>
  </si>
  <si>
    <t>expansión.mx; mediotiempo.com</t>
  </si>
  <si>
    <t>R-096</t>
  </si>
  <si>
    <t>General Atlantic contrató a KAGR tras adquirir 49% de Grupo Águilas. KAGR orbita en el portafolio Kraft Sports + New England Patriots y es la palanca de fan analytics del deal.</t>
  </si>
  <si>
    <t>GA tiene a KAGR en su portafolio: el mandato de América es expansión del ecosistema Kraft-GA.</t>
  </si>
  <si>
    <t>generalatlantic.com; kagr.com; womeninsportstech.org</t>
  </si>
  <si>
    <t>R-097</t>
  </si>
  <si>
    <t>GA tiene 49% del holdco Grupo Águilas que incluye el Estadio Banorte. El venue más emblemático de México es parte de la inversión GA.</t>
  </si>
  <si>
    <t>GA tiene 49% del holdco que incluye el venue: controla indirectamente el activo de infraestructura central.</t>
  </si>
  <si>
    <t>generalatlantic.com dic-2025</t>
  </si>
  <si>
    <t>R-098</t>
  </si>
  <si>
    <t>Genius Sports es el socio oficial exclusivo de datos, streaming e integridad de Liga MX desde nov-2020. Desde ene-2026 despliega SAOT (28 cámaras adicionales por estadio). Inversión USD 1.43M por temporada.</t>
  </si>
  <si>
    <t>Genius Sports tiene mandato exclusivo de datos, streaming e integridad de Liga MX: quien quiera datos oficiales de la liga pasa por aquí.</t>
  </si>
  <si>
    <t>geniussports.com; jornada.com.mx</t>
  </si>
  <si>
    <t>R-099</t>
  </si>
  <si>
    <t>LGCT México usa el Estadio GNP Seguros (operado por OCESA) para su etapa mexicana. GNP Seguros es presenting partner del evento.</t>
  </si>
  <si>
    <t>LGCT México usa el GNP Seguros para su etapa: el segmento ecuestre premium que convive con F1 y conciertos en la misma concesión OCESA.</t>
  </si>
  <si>
    <t>globalchampionsseries.com; ficha V1-017</t>
  </si>
  <si>
    <t>R-100</t>
  </si>
  <si>
    <t>GolStats es software oficial de Chivas. Los dos clubes con mayor fanbase en México usan GolStats.</t>
  </si>
  <si>
    <t>golstats.com; ficha V8-005</t>
  </si>
  <si>
    <t>R-101</t>
  </si>
  <si>
    <t>GolStats provee data y estadísticas oficiales para análisis táctico y broadcast de Liga MX. Cliente recurrente de la mayoría de clubes Liga MX y proveedor de inteligencia data deportiva al ecosistema.</t>
  </si>
  <si>
    <t>P6-E. Cierra orfandad V8-005. GolStats es proveedor data tier-1 del ecosistema Liga MX. Relevante para Aldo si analiza cadena de inteligencia táctica/comercial.</t>
  </si>
  <si>
    <t>R-102</t>
  </si>
  <si>
    <t>GolStats es el software oficial de análisis de datos de Club América. Co-existe con SAP Sports One y Salesforce en el stack.</t>
  </si>
  <si>
    <t>R-103</t>
  </si>
  <si>
    <t>El GP México se celebra en el AHR bajo concesión OCESA del Gobierno CDMX. El evento es la razón de ser del circuito.</t>
  </si>
  <si>
    <t>El GP México es la razón de ser del circuito: el evento más rentable del ecosistema deportivo mexicano no existe sin este venue.</t>
  </si>
  <si>
    <t>cie.com.mx; expansión.mx</t>
  </si>
  <si>
    <t>R-104</t>
  </si>
  <si>
    <t>GNP Seguros es presenting partner del WTA 500 Monterrey (Abierto GNP Seguros). Distinto del LGCT México. GNP acumula tres activos premium: Estadio GNP, LGCT, WTA Monterrey.</t>
  </si>
  <si>
    <t>GNP presenting partner del WTA 500 Monterrey: triple presencia GNP en el ecosistema deportivo premium (Estadio GNP, LGCT, WTA). Señal de concentración de sponsors en eventos de nicho.</t>
  </si>
  <si>
    <t>gnpseguros.com.mx; wtatennis.com</t>
  </si>
  <si>
    <t>R-105</t>
  </si>
  <si>
    <t>GNP Seguros tiene naming rights del Estadio GNP Seguros (ex-Foro Sol) desde jun-2024. GNP no es accionista del venue.</t>
  </si>
  <si>
    <t>GNP tiene naming rights del ex-Foro Sol desde jun-2024: el modelo naming-sin-equity más reciente en un venue OCESA premium.</t>
  </si>
  <si>
    <t>gnpseguros.com.mx; expansión.mx</t>
  </si>
  <si>
    <t>R-106</t>
  </si>
  <si>
    <t>GNP Seguros es presenting partner del LGCT México (ecuestre élite). El LGCT usa el Estadio GNP Seguros. Triple nexo sponsor-naming-evento.</t>
  </si>
  <si>
    <t>GNP es presenting partner del LGCT en su propio venue nombrado: triple nexo sponsor-naming-evento en el mismo activo.</t>
  </si>
  <si>
    <t>gnpseguros.com.mx; globalchampionsseries.com</t>
  </si>
  <si>
    <t>R-107</t>
  </si>
  <si>
    <t>Caliente.mx es jersey sponsor frontal del Atlético de San Luis.</t>
  </si>
  <si>
    <t>R-108</t>
  </si>
  <si>
    <t>Caliente.mx figura como patrocinador de Club Necaxa.</t>
  </si>
  <si>
    <t>ligamx.net; caliente.mx</t>
  </si>
  <si>
    <t>R-109</t>
  </si>
  <si>
    <t>Caliente.mx es jersey sponsor frontal del Club Toluca (bicampeón 2025).</t>
  </si>
  <si>
    <t>Toluca bicampeón 2025: el jersey Caliente más visible del portafolio activo. Captura el patrón sponsor-club de alto perfil.</t>
  </si>
  <si>
    <t>ligamx.net; record.com.mx</t>
  </si>
  <si>
    <t>R-110</t>
  </si>
  <si>
    <t>Caliente.mx es jersey sponsor frontal del Cruz Azul FC.</t>
  </si>
  <si>
    <t>R-111</t>
  </si>
  <si>
    <t>Caliplay y Draftea compiten en el segmento de apuestas deportivas/DFS en México. Caliplay domina (~50% mercado apuestas) con 13/18 clubes; Draftea opera en el nicho DFS con mandato FMF.</t>
  </si>
  <si>
    <t>caliplay.mx; draftea.com</t>
  </si>
  <si>
    <t>R-112</t>
  </si>
  <si>
    <t>Caliente.mx es jersey sponsor frontal de Santos Laguna.</t>
  </si>
  <si>
    <t>ligamx.net; santoslaguna.com</t>
  </si>
  <si>
    <t>R-113</t>
  </si>
  <si>
    <t>Caliente.mx es jersey sponsor frontal del Club Pachuca.</t>
  </si>
  <si>
    <t>R-114</t>
  </si>
  <si>
    <t>Caliente.mx es jersey sponsor frontal de Atlas FC.</t>
  </si>
  <si>
    <t>ligamx.net; atlasfc.com.mx</t>
  </si>
  <si>
    <t>R-115</t>
  </si>
  <si>
    <t>Caliente.mx es jersey sponsor frontal del Club Puebla.</t>
  </si>
  <si>
    <t>R-116</t>
  </si>
  <si>
    <t>Caliente.mx es jersey sponsor frontal del Club Querétaro.</t>
  </si>
  <si>
    <t>R-117</t>
  </si>
  <si>
    <t>Caliplay (JV Corporación Caliente + Playtech 30.8%) es la casa de apuestas oficial de Liga MX y de 13 de 18 clubes. La adquisición de Caliente TV por Fox Corp en jun-2025 creó sinergia media-apuestas.</t>
  </si>
  <si>
    <t>Caliplay es casa de apuestas oficial de Liga MX y 13 de 18 clubs: el sponsor de apuestas más penetrado del ecosistema.</t>
  </si>
  <si>
    <t>caliplay.mx; ligamx.net</t>
  </si>
  <si>
    <t>R-118</t>
  </si>
  <si>
    <t>Caliente.mx es patrocinador comercial oficial de Club América, aunque NO es jersey sponsor frontal (Bimbo ocupa esa posición). América es el único de los Tier 1 sin Caliente como jersey sponsor principal.</t>
  </si>
  <si>
    <t>Caliente es socio comercial oficial de América: presencia de apuestas en el club más visible aunque no jersey frontal.</t>
  </si>
  <si>
    <t>caliente.mx; ligamx.net</t>
  </si>
  <si>
    <t>R-119</t>
  </si>
  <si>
    <t>Caliente.mx es jersey sponsor frontal de Pumas UNAM.</t>
  </si>
  <si>
    <t>R-120</t>
  </si>
  <si>
    <t>Emoción Deportiva opera el evento como en sus otros eventos de marca propios.</t>
  </si>
  <si>
    <t>emociondeportiva.com</t>
  </si>
  <si>
    <t>R-121</t>
  </si>
  <si>
    <t>Emoción Deportiva controla toda la logística operativa del evento más grande de running en México; es su activo comercial más importante.</t>
  </si>
  <si>
    <t>Sin Emoción Deportiva no hay logística del Maratón CDMX: control operativo sobre el evento de running más grande del país.</t>
  </si>
  <si>
    <t>emociondeportiva.com convocatoria XLIII 2026</t>
  </si>
  <si>
    <t>R-122</t>
  </si>
  <si>
    <t>Ídem para el Medio Maratón: operador logístico único.</t>
  </si>
  <si>
    <t>Mismo control operativo sobre el segundo evento de running más grande de CDMX.</t>
  </si>
  <si>
    <t>emociondeportiva.com convocatoria XIX 2026</t>
  </si>
  <si>
    <t>R-123</t>
  </si>
  <si>
    <t>Alfredo Harp Helú propietario Diablos Rojos del México. Estadio Alfredo Harp Helú homónimo.</t>
  </si>
  <si>
    <t>Harp Helú es propietario individual con visión deportiva multi-disciplina. Modelo de ownership atípico Liga MX.</t>
  </si>
  <si>
    <t>diablos.com.mx</t>
  </si>
  <si>
    <t>R-124</t>
  </si>
  <si>
    <t>Grupo Mundomex distribuye paquetes hospitality WC26 al mercado corporativo mexicano para sede Estadio BBVA Monterrey (4 partidos).</t>
  </si>
  <si>
    <t>P6-B. Cobertura territorial Monterrey/Norte de la oferta On Location. Cluster FIFA WC26.</t>
  </si>
  <si>
    <t>R-125</t>
  </si>
  <si>
    <t>Grupo Mundomex distribuye paquetes hospitality WC26 al mercado corporativo mexicano para sede Estadio Akron Guadalajara (4 partidos).</t>
  </si>
  <si>
    <t>P6-B. Cobertura territorial Occidente de la oferta On Location. Cluster FIFA WC26.</t>
  </si>
  <si>
    <t>R-126</t>
  </si>
  <si>
    <t>Grupo Mundomex opera como agente territorial de On Location en MX. Distribuye paquetes hospitality WC26 al mercado corporativo mexicano para sede Estadio Banorte (5 partidos incluido inaugural).</t>
  </si>
  <si>
    <t>P6-B. Mundomex es la cara comercial mexicana de On Location. Captura el revenue de comisión sobre paquetes hospitality vendidos al mercado local. Cluster FIFA WC26.</t>
  </si>
  <si>
    <t>R-127</t>
  </si>
  <si>
    <t>Atlas FC inquilino principal del Estadio Jalisco (propiedad AC multi-club). Relación de arrendamiento sin equity en el venue.</t>
  </si>
  <si>
    <t>Ficha V7-012; atlasfc.com.mx</t>
  </si>
  <si>
    <t>R-129</t>
  </si>
  <si>
    <t>Hawk-Eye provee VAR y SAOT para los 4 partidos WC26 en el Estadio BBVA (Monterrey).</t>
  </si>
  <si>
    <t>inside.fifa.com</t>
  </si>
  <si>
    <t>R-130</t>
  </si>
  <si>
    <t>Hawk-Eye es VAR Technology Provider FIFA WC26 en el Estadio Akron (4 partidos). Coexiste con infraestructura Genius/Mediapro para Liga MX.</t>
  </si>
  <si>
    <t>inside.fifa.com; FIFA WC26</t>
  </si>
  <si>
    <t>R-131</t>
  </si>
  <si>
    <t>Hawk-Eye provee VAR y SAOT para los 5 partidos WC26 en el Estadio Banorte (sede inaugural). JV con FIFA: Football Technology Centre AG (nov-2024). 12 cámaras ópticas + 14 cámaras Goal-Line Technology.</t>
  </si>
  <si>
    <t>VAR + SAOT en la sede inaugural WC26: mandato tecnológico de integridad deportiva y espectáculo en vivo.</t>
  </si>
  <si>
    <t>inside.fifa.com; news.lenovo.com CES2026</t>
  </si>
  <si>
    <t>R-132</t>
  </si>
  <si>
    <t>Heineken es title sponsor local del GP México y partner global F1 (Liberty Media). Doble presencia local+global en el evento más monetizado del país.</t>
  </si>
  <si>
    <t>Heineken es title sponsor local del GP y partner global F1: doble presencia que le da ventaja exclusiva sobre cualquier competidor de categoría.</t>
  </si>
  <si>
    <t>heineken.com.mx; formula1.com</t>
  </si>
  <si>
    <t>R-133</t>
  </si>
  <si>
    <t>Heineken (vía Tecate/Cuauhtémoc Moctezuma, subsidiaria) ocupa la categoría cerveza en Liga MX, mientras que a nivel global Heineken es title partner de F1 con Liberty Media.</t>
  </si>
  <si>
    <t>heineken.com.mx; ligamx.net; tecate.com.mx</t>
  </si>
  <si>
    <t>R-134</t>
  </si>
  <si>
    <t>Hisense es partner FIFA Tier 1 global para WC26. Visibilidad garantizada en los 13 partidos mexicanos vía deal FIFA global — sin activación local directa.</t>
  </si>
  <si>
    <t>Hisense como FIFA Tier 1 global: visibilidad garantizada en los 13 partidos mexicanos. Señal de internacionalización del patrocinio WC26.</t>
  </si>
  <si>
    <t>fifa.com; hisense.com</t>
  </si>
  <si>
    <t>R-135</t>
  </si>
  <si>
    <t>Hudl es el stack tecnológico oficial del fútbol mexicano vía alianza 7+ años con la FMF y el CITEC. WIMU PRO GPS desplegado en 18 clubes Liga MX y selecciones.</t>
  </si>
  <si>
    <t>Hudl es el stack tecnológico del CITEC/FMF por 7+ años: quien desarrolla talento en México usa este sistema.</t>
  </si>
  <si>
    <t>hudl.com; fmf.mx/citec</t>
  </si>
  <si>
    <t>R-136</t>
  </si>
  <si>
    <t>Incode Technologies provee el sistema de Fan ID biométrico para Liga MX (mandato exclusivo). Sin embargo, para WC26, FIFA tiene su propio sistema de acreditación. Coexistencia de sistemas en los 3 venues mexicanos.</t>
  </si>
  <si>
    <t>WC26 no adopta Fan ID biométrico de Liga MX: la coexistencia de sistemas Liga MX-FIFA en los venues es una tensión estructural de acceso que cualquier activador necesita entender.</t>
  </si>
  <si>
    <t>incode.com; fmf.mx</t>
  </si>
  <si>
    <t>R-137</t>
  </si>
  <si>
    <t>Incode Fan ID es obligatorio en todos los estadios Liga MX incluyendo el BBVA. Dependencia estructural de todas las boleteras de Liga MX.</t>
  </si>
  <si>
    <t>Incode Fan ID obligatorio en BBVA (sede WC26): dependencia biométrica estructural en el venue más integrado verticalmente del ecosistema.</t>
  </si>
  <si>
    <t>incode.com; ficha V6-006</t>
  </si>
  <si>
    <t>R-138</t>
  </si>
  <si>
    <t>Incode Fan ID requerido en el Akron (sede WC26). Dependencia estructural Boletomóvil → Incode.</t>
  </si>
  <si>
    <t>Incode Fan ID biométrico en el Akron (sede WC26): la infraestructura de identidad que opera sobre Boletomóvil en el venue.</t>
  </si>
  <si>
    <t>R-139</t>
  </si>
  <si>
    <t>Incode Technologies es el proveedor exclusivo del Fan ID biométrico de Liga MX (mandato desde nov-2022). 35 equipos, 30+ estadios, 400+ partidos al año. Ninguna boletera puede completar el journey del fan sin el API de Incode.</t>
  </si>
  <si>
    <t>Incode Fan ID biométrico en todos los estadios Liga MX: infraestructura de identidad que controla el acceso a todos los venues de la liga.</t>
  </si>
  <si>
    <t>incode.com; prnewswire.com Liga MX Incode</t>
  </si>
  <si>
    <t>R-140</t>
  </si>
  <si>
    <t>INDEPORTE es el rights holder institucional y presidente del comité organizador: la convocatoria no tiene validez jurídica sin su sello y firma.</t>
  </si>
  <si>
    <t>INDEPORTE es el gatekeeper público: ninguna marca obtiene el naming del Maratón CDMX sin negociar con el gobierno de la ciudad.</t>
  </si>
  <si>
    <t>emociondeportiva.com convocatoria XLIII 2026 (nota jurídica)</t>
  </si>
  <si>
    <t>R-141</t>
  </si>
  <si>
    <t>Ídem para el Medio Maratón BBVA.</t>
  </si>
  <si>
    <t>Ídem: gatekeeper público del naming del Medio Maratón CDMX.</t>
  </si>
  <si>
    <t>emociondeportiva.com convocatoria XIX 2026 (nota jurídica)</t>
  </si>
  <si>
    <t>R-142</t>
  </si>
  <si>
    <t>Luis Rico fundó Jump SMS y ahora es Head de Fuse Mexico (Omnicom). Transferencia de conocimiento y red de contactos del ecosistema mexicano de sports marketing.</t>
  </si>
  <si>
    <t>noticiasneo.com; linkedin Fuse Mexico</t>
  </si>
  <si>
    <t>R-143</t>
  </si>
  <si>
    <t>KAGR fue contratado por Grupo Águilas (Club América + Estadio Banorte) tras la entrada de General Atlantic. Plataforma de Customer Data Platform y fan experience. Ambición: 45M fans (30M MX + 15M EE.UU.).</t>
  </si>
  <si>
    <t>KAGR contratado post-deal GA para fan analytics del club: la entrada de PE trajo un mandato de datos.</t>
  </si>
  <si>
    <t>generalatlantic.com; kagr.com</t>
  </si>
  <si>
    <t>R-144</t>
  </si>
  <si>
    <t>KAGR (fan analytics) y Salesforce (CRM) coexisten en el stack tecnológico del Club América post-General Atlantic. Arquitectura multicapa sin integrador único.</t>
  </si>
  <si>
    <t>generalatlantic.com comunicado dic-2025; salesforce.com/mx</t>
  </si>
  <si>
    <t>R-145</t>
  </si>
  <si>
    <t>KAGR (fan analytics) y SAP Sports One (performance) coexisten en el stack de Club América. Tres plataformas distintas para tres capas de datos.</t>
  </si>
  <si>
    <t>Inferido por ficha V8-016</t>
  </si>
  <si>
    <t>R-146</t>
  </si>
  <si>
    <t>Lenovo provee infraestructura tecnológica para los 4 partidos WC26 en el Estadio BBVA (Monterrey) como Official Technology Partner FIFA.</t>
  </si>
  <si>
    <t>R-147</t>
  </si>
  <si>
    <t>Lenovo como Official Technology Partner FIFA WC26 provee infraestructura en el Akron. Football AI Pro y Referee View en los 4 partidos mundialistas.</t>
  </si>
  <si>
    <t>news.lenovo.com CES 2026</t>
  </si>
  <si>
    <t>R-148</t>
  </si>
  <si>
    <t>Lenovo provee infraestructura tecnológica (ThinkPad, Motorola, Football AI Pro, avatares 3D SAOT) para los 5 partidos WC26 en el Estadio Banorte como Official Technology Partner FIFA.</t>
  </si>
  <si>
    <t>Official Tech Partner FIFA en el venue: Football AI Pro y avatares 3D SAOT para la sede inaugural.</t>
  </si>
  <si>
    <t>R-149</t>
  </si>
  <si>
    <t>Libertad Financiera tiene naming rights del estadio del Atlético de San Luis desde ene-2026. Primera fintech mexicana con naming de estadio Liga MX.</t>
  </si>
  <si>
    <t>atleticodesanluis.com; ficha V3-032</t>
  </si>
  <si>
    <t>R-150</t>
  </si>
  <si>
    <t>Atlético de San Luis (Apollo Sports Capital vía Atlético de Madrid) es club miembro de Liga MX AC.</t>
  </si>
  <si>
    <t>R-151</t>
  </si>
  <si>
    <t>Tigres UANL es uno de los 18 clubes miembros de Liga MX AC. Votó en la asamblea del 23-abr-2026.</t>
  </si>
  <si>
    <t>Tigres como miembro con voto relevante y relaciones comerciales propias.</t>
  </si>
  <si>
    <t>R-152</t>
  </si>
  <si>
    <t>Necaxa es club miembro de Liga MX AC con accionistas norteamericanos.</t>
  </si>
  <si>
    <t>R-153</t>
  </si>
  <si>
    <t>Toluca es club miembro de Liga MX AC. La asamblea del 23-abr-2026 donde se aprobó la separación jurídica se celebró precisamente en Toluca.</t>
  </si>
  <si>
    <t>Toluca bicampeón 2025: miembro con relevancia comercial activa (Caliente jersey, New Balance).</t>
  </si>
  <si>
    <t>ligamx.net; asamblea Toluca abr-2026</t>
  </si>
  <si>
    <t>R-154</t>
  </si>
  <si>
    <t>Cruz Azul FC (sociedad cooperativa) es uno de los 18 clubes miembros de Liga MX AC.</t>
  </si>
  <si>
    <t>R-155</t>
  </si>
  <si>
    <t>Rayados es uno de los 18 clubes miembros de Liga MX AC. FEMSA representa a Rayados en las asambleas de propietarios.</t>
  </si>
  <si>
    <t>Rayados como voto institucional con peso en asambleas y venue WC26.</t>
  </si>
  <si>
    <t>R-156</t>
  </si>
  <si>
    <t>FC Juárez (Grupo Caliente) es club miembro de Liga MX AC.</t>
  </si>
  <si>
    <t>R-157</t>
  </si>
  <si>
    <t>Chivas es uno de los 18 clubes miembros fundadores de Liga MX AC. Votó a favor de la separación jurídica FMF en la asamblea del 23-abr-2026.</t>
  </si>
  <si>
    <t>ligamx.net; asamblea abr-2026</t>
  </si>
  <si>
    <t>R-158</t>
  </si>
  <si>
    <t>Santos Laguna (Grupo Orlegi) es club miembro de Liga MX AC.</t>
  </si>
  <si>
    <t>R-159</t>
  </si>
  <si>
    <t>Pachuca es club miembro de Liga MX AC, aunque la crisis judicial de Jesús Martínez introduce incertidumbre sobre la estabilidad de su voto.</t>
  </si>
  <si>
    <t>R-160</t>
  </si>
  <si>
    <t>Atlas FC (Grupo PRODI desde abr-2026) es club miembro de Liga MX AC.</t>
  </si>
  <si>
    <t>R-161</t>
  </si>
  <si>
    <t>Club Puebla (Grupo Salinas, en venta) es club miembro de Liga MX AC.</t>
  </si>
  <si>
    <t>R-162</t>
  </si>
  <si>
    <t>Club Querétaro (Innovatio Capital/Marc Spiegel) es club miembro de Liga MX AC.</t>
  </si>
  <si>
    <t>R-163</t>
  </si>
  <si>
    <t>Club América es uno de los 18 clubes miembros de Liga MX AC. Paga cuotas, participa en asambleas de dueños y somete al club a la reglamentación de la liga.</t>
  </si>
  <si>
    <t>América como miembro estructural de Liga MX AC: la relación constitutiva que otorga voz en asambleas y derechos de participación.</t>
  </si>
  <si>
    <t>ligamx.net; estatutos Liga MX</t>
  </si>
  <si>
    <t>R-164</t>
  </si>
  <si>
    <t>Pumas UNAM es club miembro de Liga MX AC. La UNAM vota en representación del club en las asambleas.</t>
  </si>
  <si>
    <t>R-165</t>
  </si>
  <si>
    <t>Alianza oficial Maggi/FMF abr-2025 a dic-2026. Primera categoría de alimentos procesados como sponsor de la Selección en ventana mundialista.</t>
  </si>
  <si>
    <t>fmf.mx; nestle.com.mx</t>
  </si>
  <si>
    <t>R-166</t>
  </si>
  <si>
    <t>Mattel es el licenciante de la marca Barbie y financiador del evento; sin Mattel no existe el evento.</t>
  </si>
  <si>
    <t>Primer caso verificado en el ecosistema running mexicano de IP global de entretenimiento (no telecom, no bebidas) como brand owner de evento deportivo masivo.</t>
  </si>
  <si>
    <t>idemsport.com (aviso privacidad: 'Mattel de México SA de CV') + publimetro.com.mx</t>
  </si>
  <si>
    <t>R-167</t>
  </si>
  <si>
    <t>Max es uno de los broadcasters de la UEFA Champions League en México (compartida con ESPN/Disney+). La Champions League es el producto europeo con mayor audiencia en México.</t>
  </si>
  <si>
    <t>Max tiene derechos compartidos de Champions League en México (con ESPN): el tercer broadcaster premium de fútbol internacional en el ecosistema. Señal de fragmentación de derechos.</t>
  </si>
  <si>
    <t>max.com; espn.com.mx</t>
  </si>
  <si>
    <t>R-168</t>
  </si>
  <si>
    <t>Mediapro es el operador histórico del VAR de Liga MX desde su debut el 19-oct-2018 (8 años de continuidad). Mantiene dos centros de producción en CDMX y Monterrey.</t>
  </si>
  <si>
    <t>Mediapro opera el VAR de Liga MX desde 2018 (8 años): el operador tecnológico más arraigado de la liga.</t>
  </si>
  <si>
    <t>mediapromexico.tv; mediotiempo.com</t>
  </si>
  <si>
    <t>R-169</t>
  </si>
  <si>
    <t>Mercado Pago fue jersey sponsor de Chivas en 2024-25. Sin deal formal liga, pero alcance de marca significativo en el club de mayor fandom popular.</t>
  </si>
  <si>
    <t>R-170</t>
  </si>
  <si>
    <t>Mextenis (ATP 500/250 Acapulco/Cabos) y GS Sports Management (WTA 500/250 Guadalajara/Mérida) no compiten directamente en licencias, pero sí por presupuestos de sponsors, atletas y atención institucional del tenis mexicano.</t>
  </si>
  <si>
    <t>atptour.com; wtatennis.com</t>
  </si>
  <si>
    <t>R-171</t>
  </si>
  <si>
    <t>Mextenis (ATP varonil) y HG Promotores (WTA 500 Monterrey) operan en segmentos distintos del tenis mexicano. Complementarios, no competidores directos. Ambos independientes de GS Sports.</t>
  </si>
  <si>
    <t>Inferido por estructura de mercado tenis MX</t>
  </si>
  <si>
    <t>R-172</t>
  </si>
  <si>
    <t>Vidanta Mexico Open (PGA Tour Riviera Nayarit) y WWT Championship (PGA Tour Los Cabos) son los dos eventos PGA Tour regulares en México. Wasserman gestiona el WWT. Misma liga, distintos venues.</t>
  </si>
  <si>
    <t>pgatour.com; ficha V5-011</t>
  </si>
  <si>
    <t>R-173</t>
  </si>
  <si>
    <t>LIV Golf (PIF) y Wasserman Events Golf (PGA Tour) representan los dos circuitos de golf en competencia en México. Modelos opuestos: PIF soberano vs. PGA Tour licencia.</t>
  </si>
  <si>
    <t>livgolf.com; wwtchampionship.com</t>
  </si>
  <si>
    <t>R-174</t>
  </si>
  <si>
    <t>Netflix firmó primer acuerdo exclusivo Concacaf-México (Copa Oro + Nations League Finals 2027-29) el 14-abr-2026. El Tri detrás de paywall CONCACAF por primera vez.</t>
  </si>
  <si>
    <t>Netflix firmó primer acuerdo exclusivo CONCACAF/México (Copa Oro + Nations League 2027-29): el streaming puro ya entró al fútbol mexicano.</t>
  </si>
  <si>
    <t>ESPN; mediotiempo.com; concacaf.com — abr-2026</t>
  </si>
  <si>
    <t>R-175</t>
  </si>
  <si>
    <t>Netflix compite con TUDN/ViX por el mercado de streaming deportivo mexicano. El deal Netflix-Concacaf (abr-2026) pone torneos de El Tri detrás de paywall Netflix, erosionando la exclusividad histórica de TUDN.</t>
  </si>
  <si>
    <t>espn.com.mx; netflix.com; mediotiempo.com</t>
  </si>
  <si>
    <t>R-176</t>
  </si>
  <si>
    <t>New Balance es kit técnico del Toluca bicampeón 2025 desde 2018. El bicampeonato elevó el perfil de New Balance en Liga MX.</t>
  </si>
  <si>
    <t>New Balance kit técnico del bicampeón 2025: la marca que ganó mayor visibilidad por méritos deportivos en el ciclo.</t>
  </si>
  <si>
    <t>R-177</t>
  </si>
  <si>
    <t>Acuerdo 2026-2028 NFL-Ollamani con 49ers como equipo local en Estadio Banorte. Primer NFL en el venue reabierto.</t>
  </si>
  <si>
    <t>Acuerdo 2026-2028 con 49ers como local: confirma Banorte como venue multi-liga, no solo fútbol mexicano.</t>
  </si>
  <si>
    <t>NFL.com; espn.com.mx</t>
  </si>
  <si>
    <t>R-178</t>
  </si>
  <si>
    <t>Nike entra como kit técnico de Chivas en jul-2026, reemplazando a Puma. Recupera presencia en el segundo activo más valioso del fútbol mexicano tras perder el América.</t>
  </si>
  <si>
    <t>Nike entra como kit técnico de Chivas en jul-2026 reemplazando a Puma: la recuperación de Nike en el segundo activo de Liga MX.</t>
  </si>
  <si>
    <t>R-179</t>
  </si>
  <si>
    <t>Octagon gestiona derechos WTA global y GS Sports opera las licencias WTA en México. Dependencia de GS hacia Octagon para obtener y renovar licencias femeniles.</t>
  </si>
  <si>
    <t>Octagon gestiona derechos WTA global; la relación con GS Sports México crea la cadena de derechos internacionales del WTA 500 en México.</t>
  </si>
  <si>
    <t>wtatennis.com; ficha V4-012</t>
  </si>
  <si>
    <t>R-180</t>
  </si>
  <si>
    <t>HG Promotores opera WTA 500 Monterrey. Octagon como gestor global WTA es la contraparte de licencia para HG Promotores en Nuevo León.</t>
  </si>
  <si>
    <t>Octagon gestiona derechos WTA global y GS Sports/HG Promotores opera las licencias WTA en México: la cadena de derechos internacionales que hace posible el WTA 500 en GDL y Monterrey.</t>
  </si>
  <si>
    <t>wtatennis.com; gnpseguros.com.mx</t>
  </si>
  <si>
    <t>R-181</t>
  </si>
  <si>
    <t>Ollamani contrató a Elevate Sports Ventures para diseñar, vender y operar la capa premium del Estadio Banorte (contrato 10 años, jul-2025): Tunnel Club, Super Seats, Corner Club, etc.</t>
  </si>
  <si>
    <t>Elevate opera el premium seating bajo contrato de 10 años: modelo de revenue compartido.</t>
  </si>
  <si>
    <t>R-182</t>
  </si>
  <si>
    <t>CommScope provee la infraestructura cableada del Estadio BBVA (+25,000m de fibra óptica en &gt;50 enlaces) desde 2015.</t>
  </si>
  <si>
    <t>commscope.com; redestelecom.es</t>
  </si>
  <si>
    <t>R-183</t>
  </si>
  <si>
    <t>Panduit provee la infraestructura de fibra óptica y ~1,200 antenas Wi-Fi 6 del Estadio Banorte. La falla de red en la reapertura 28-mar-2026 expone riesgo operativo de cara al WC26.</t>
  </si>
  <si>
    <t>panduit.com; expansion.mx</t>
  </si>
  <si>
    <t>R-184</t>
  </si>
  <si>
    <t>Paramount+ es broadcaster exclusivo de UFC en Latinoamérica desde oct-2025. El deal desplazó a ESPN/Disney. Pluto TV como canal AVOD gratuito complementario.</t>
  </si>
  <si>
    <t>Paramount+ es broadcaster exclusivo de UFC en LatAm desde oct-2025: señal de que el streaming puro ya controla derechos MMA en México.</t>
  </si>
  <si>
    <t>ufc.com; paramountplus.com</t>
  </si>
  <si>
    <t>R-185</t>
  </si>
  <si>
    <t>Vidanta Vallarta sede del Mexico Open (PGA Tour) en Puerto Vallarta. Propiedad de Grupo Vidanta. Modelo verticalmente integrado: dueño campo + dueño evento + dueño operación hospitality.</t>
  </si>
  <si>
    <t>P6-E. Cierra orfandad V1-048. Refuerza el modelo Vidanta verticalmente integrado (cargado en P6-B vía hospitality propia). Aldo: golf como vehículo de hospitality corporativo premium.</t>
  </si>
  <si>
    <t>R-186</t>
  </si>
  <si>
    <t>Pitz Group desarrolla activaciones comerciales y representación de talento ligado a FMF/Selección. Founder Alex López es agente FIFA con cartera deportiva del fútbol mexicano.</t>
  </si>
  <si>
    <t>P6-E. Cierra orfandad V4-001 con R1/R2 visible. Pitz Group calificado como Full-service contender en P4 (Score 4.0). Relación con FMF justifica clasificación Tier 1.</t>
  </si>
  <si>
    <t>R-187</t>
  </si>
  <si>
    <t>Pitz Group es la agencia FIFA dominante en Club América. Tiene presencia también en Toluca, Tigres, Rayados, Pachuca y Chivas. Market-maker de traspasos.</t>
  </si>
  <si>
    <t>pitzgroup.com; transfermarkt.us/pitzgroup</t>
  </si>
  <si>
    <t>R-188</t>
  </si>
  <si>
    <t>Powerade es title sponsor con naming en el nombre del evento; relación de 19 ediciones documentadas.</t>
  </si>
  <si>
    <t>El nombre del segundo maratón de México lleva la marca Powerade: 19 años de naming en el activo de running más importante de Monterrey.</t>
  </si>
  <si>
    <t>maratonmonterrey.mx + aims-worldrunning.org</t>
  </si>
  <si>
    <t>R-189</t>
  </si>
  <si>
    <t>Promofut históricamente representó talento futbolístico de Selección Mexicana (Mariano Varela como ex-Promofut). Vínculo institucional histórico con FMF y agentes top del fútbol mexicano.</t>
  </si>
  <si>
    <t>P6-E. Cierra orfandad V4-002. Agencia con trayectoria pero perfil concentrado (clasificado Multi-capacidad en P4 con Score 2.0).</t>
  </si>
  <si>
    <t>R-190</t>
  </si>
  <si>
    <t>Promofut tiene relación histórica con Chivas vía Mariano Varela (ex-Promofut, hoy Dir. Deportivo Chivas). Conflicto de interés agencia-club paradigmático. [P1 ACTUALIZADO: Mariano Varela ya NO es Director Deportivo de Chivas. Actualmente en Tapatío (Liga de Expansión). Relación marcada como HISTÓRICA. Fuente: corrección P1 cargo Varela.]</t>
  </si>
  <si>
    <t>espn.com.mx; ficha V4-022</t>
  </si>
  <si>
    <t>R-191</t>
  </si>
  <si>
    <t>Publicidad Virtual implementa tecnología Supponor AIR para FMF/Liga MX, regionalizando publicidad de cancha en transmisiones TV.</t>
  </si>
  <si>
    <t>Publicidad Virtual implementa Supponor AIR para FMF/Liga MX: la tecnología que regionaliza publicidad de cancha en transmisiones. Nodo de la cadena de monetización de inventario de cartelería.</t>
  </si>
  <si>
    <t>publicidadvirtual.com; ficha V4-004</t>
  </si>
  <si>
    <t>R-192</t>
  </si>
  <si>
    <t>Puma es kit técnico de Rayados hasta 2029. Renovación posterior a la retención vs. competidores.</t>
  </si>
  <si>
    <t>Puma es kit técnico de Rayados hasta 2029: el kit deal de mayor duración vigente en Liga MX para un club top-4.</t>
  </si>
  <si>
    <t>rayados.com; puma.com</t>
  </si>
  <si>
    <t>R-193</t>
  </si>
  <si>
    <t>Puma es kit técnico de Pumas UNAM desde 2026-27. Coincidencia de nombre aprovechada como activo de marca.</t>
  </si>
  <si>
    <t>Puma kit técnico de Pumas: la coincidencia de nombre es un activo de marca explotado activamente. Relación con valor narrativo diferenciado.</t>
  </si>
  <si>
    <t>R-194</t>
  </si>
  <si>
    <t>UNAM propietaria del OEU y de Pumas. Mismo holding institucional. Estatus UNESCO impide adaptaciones mundialistas.</t>
  </si>
  <si>
    <t>UNAM propietaria del OEU y del club: integración venue-club sin deuda pero con restricciones institucionales que limitan la activación comercial.</t>
  </si>
  <si>
    <t>UNAM sitio oficial; ficha V7-010</t>
  </si>
  <si>
    <t>R-195</t>
  </si>
  <si>
    <t>Estadio Olímpico Universitario CU es la casa de Pumas UNAM, propiedad de la UNAM (entidad pública educativa). Estadio histórico de la Olimpiada 1968. Pumas opera como club universitario sin propiedad sobre el inmueble.</t>
  </si>
  <si>
    <t>P6-E. Cierra orfandad V7-010. Único caso Liga MX con estadio de propiedad universitaria pública. Sin posibilidad de naming rights ni desarrollo comercial agresivo (restricción institucional UNAM).</t>
  </si>
  <si>
    <t>R-196</t>
  </si>
  <si>
    <t>Relevent tiene el mandato histórico para comercializar partidos de la Selección Mexicana en EE.UU. (giras). El settlement USSF 2025 abre un camino potencial para una Liga MX oficial en suelo estadounidense.</t>
  </si>
  <si>
    <t>Relevent gestiona giras Liga MX en EE.UU. y el settlement USSF: puerta al mercado americano de la liga.</t>
  </si>
  <si>
    <t>relevent.com; prnewswire.com</t>
  </si>
  <si>
    <t>R-197</t>
  </si>
  <si>
    <t>Relevent tiene acuerdo exclusivo con FMF para partidos amistosos de la Selección en EE.UU. Hard Rock Stadium como venue principal.</t>
  </si>
  <si>
    <t>Relevent tiene exclusividad en amistosos de la Selección en EE.UU.: el mercado hispano de EE.UU. pasa por este mandato.</t>
  </si>
  <si>
    <t>relevent.com; ficha V4-007</t>
  </si>
  <si>
    <t>R-198</t>
  </si>
  <si>
    <t>Valtech desarrolló la app 'Mi Selección MX' para FMF sobre Salesforce Marketing Cloud + Service Cloud.</t>
  </si>
  <si>
    <t>valtech.com; salesforce.com/mx</t>
  </si>
  <si>
    <t>R-199</t>
  </si>
  <si>
    <t>Salesforce Marketing Cloud implementado en Club América (~6 meses, case study oficial). Unificación de bases de datos, segmentación y automatización multicanal.</t>
  </si>
  <si>
    <t>Salesforce Marketing Cloud implementado en América: el CRM del club más grande es caso de referencia para el mercado.</t>
  </si>
  <si>
    <t>salesforce.com/mx/customer-success-stories/club-america/</t>
  </si>
  <si>
    <t>R-200</t>
  </si>
  <si>
    <t>SAP Sports One implementado en Xolos de Tijuana vía Enable. Análisis predictivo deportivo.</t>
  </si>
  <si>
    <t>blog.nubosperta.com</t>
  </si>
  <si>
    <t>R-201</t>
  </si>
  <si>
    <t>SAP Sports One implementado en Atlas FC vía Enable. Nuevo propietario PRODI hereda el stack tecnológico.</t>
  </si>
  <si>
    <t>R-202</t>
  </si>
  <si>
    <t>SAP Sports One implementado en Club América via integrador Enable. Uso en análisis predictivo 'What-If'. Coexiste con Salesforce y KAGR.</t>
  </si>
  <si>
    <t>R-203</t>
  </si>
  <si>
    <t>Scotiabank pivotó al ecosistema femenil con Chivas fuerzas básicas. Patrocinio específico de desarrollo femenil.</t>
  </si>
  <si>
    <t>espn.com.mx; scotiabank.com.mx</t>
  </si>
  <si>
    <t>R-204</t>
  </si>
  <si>
    <t>Scotiabank pivotó a ecosistema femenil Concacaf y firmó patrocinio específico femenil. Es el único banco extranjero con estrategia deportiva exclusivamente femenil en México.</t>
  </si>
  <si>
    <t>Scotiabank pivotó a femenil Concacaf: único banco extranjero con patrocinio específico femenil. Señal de mercado diferenciada.</t>
  </si>
  <si>
    <t>scotiabank.com.mx; espn.com.mx</t>
  </si>
  <si>
    <t>R-205</t>
  </si>
  <si>
    <t>SeeUplay tiene 110 sistemas de cámaras automatizadas en todos los estadios de Liga BBVA MX y Liga BBVA Expansión. Presente en Selección Nacional. Startup mexicana.</t>
  </si>
  <si>
    <t>seeUplay.mx; fmf.mx/citec</t>
  </si>
  <si>
    <t>R-206</t>
  </si>
  <si>
    <t>SeeUplay tiene 110 sistemas de cámaras en todos los estadios Liga MX y Liga Expansión. Startup mexicana con presencia física total en el circuito.</t>
  </si>
  <si>
    <t>SeeUplay con 110 sistemas en todos los estadios Liga MX: startup mexicana con el mayor despliegue de cámaras automatizadas en el ecosistema.</t>
  </si>
  <si>
    <t>spiideo.com/cases/mexico; citec</t>
  </si>
  <si>
    <t>R-207</t>
  </si>
  <si>
    <t>México co-anfitrión del WC26. La Selección Mexicana juega su partido inaugural vs Sudáfrica el 11-jun-2026 en el Estadio Banorte. El Tri es el principal activo deportivo del evento en suelo mexicano.</t>
  </si>
  <si>
    <t>R-208</t>
  </si>
  <si>
    <t>Silver Lake privatizó Endeavor/TKO en mar-2025 (EV USD 25Bn). Control indirecto sobre UFC México, On Location y WWE — todas operan en México.</t>
  </si>
  <si>
    <t>Silver Lake privatizó TKO en mar-2025 (EV USD 25Bn): el PE que controla UFC México, On Location (WC26 hospitality) y WWE desde un mismo holdco.</t>
  </si>
  <si>
    <t>Bloomberg privatización Endeavor; stocktitan.net</t>
  </si>
  <si>
    <t>R-209</t>
  </si>
  <si>
    <t>Skechers es kit técnico de Pachuca desde jul-2025 — primer club de fútbol en el portafolio global de Skechers. Hito sin precedente.</t>
  </si>
  <si>
    <t>espn.com.mx; skechers.com</t>
  </si>
  <si>
    <t>R-210</t>
  </si>
  <si>
    <t>Sky Sports tiene derechos F1 en México 2025-2028 (desde GP Singapur 2025). Único broadcaster TV paga con cobertura completa del GP México.</t>
  </si>
  <si>
    <t>Sky Sports tiene derechos F1 en México 2025-2028: el único broadcaster TV paga con cobertura completa del GP.</t>
  </si>
  <si>
    <t>sky.com.mx; formula1.com</t>
  </si>
  <si>
    <t>R-211</t>
  </si>
  <si>
    <t>Smart Fit es naming partner de toda la temporada (no de un evento aislado): el nombre de cada evento lleva la marca Smart Fit.</t>
  </si>
  <si>
    <t>La alianza Smart Fit-HYROX es el deal de sponsorship deportivo más estratégico del segmento fitness mexicano 2025-2026.</t>
  </si>
  <si>
    <t>mexico.hyrox.com (nombre verificado 'Smart Fit HYROX [ciudad]')</t>
  </si>
  <si>
    <t>R-212</t>
  </si>
  <si>
    <t>SMS tiene exclusividad en inserciones virtuales en transmisiones TV Azteca de partidos FMF/Liga MX. Dos décadas de exclusividad.</t>
  </si>
  <si>
    <t>soccer-ms.com; ficha V4-003</t>
  </si>
  <si>
    <t>R-213</t>
  </si>
  <si>
    <t>SMS tiene exclusividades históricas de inserciones virtuales y publicidad de cancha en el ecosistema TV Azteca. El concurso mercantil pone en riesgo esta relación.</t>
  </si>
  <si>
    <t>R-214</t>
  </si>
  <si>
    <t>SUM comercializa los derechos de Liga MX en EE.UU. y gestiona la relación de partidos de la Selección Mexicana en mercado norteamericano (giras EE.UU.).</t>
  </si>
  <si>
    <t>SUM comercializa derechos de Liga MX en EE.UU.: la agencia de MLS que también controla la salida de Liga MX al mercado norteamericano.</t>
  </si>
  <si>
    <t>sumworldwide.com; espn.com.mx</t>
  </si>
  <si>
    <t>R-215</t>
  </si>
  <si>
    <t>TEAM Marketing tiene mandato FMF para venta exclusiva derechos globales selecciones mexicanas (ciclos 2026-30 y 2030-34). Firmado oct-2025.</t>
  </si>
  <si>
    <t>TEAM tiene mandato exclusivo de derechos globales de selecciones: quien quiera llegar a FMF vía derechos internacionales pasa por TEAM.</t>
  </si>
  <si>
    <t>team.ch press release oct-2025</t>
  </si>
  <si>
    <t>R-216</t>
  </si>
  <si>
    <t>TEAM Marketing AG tiene el mandato exclusivo para la venta de derechos globales de las selecciones mexicanas (varonil, femenil) para los ciclos 2026-30 y 2030-34.</t>
  </si>
  <si>
    <t>TEAM vende los derechos de El Tri en el mundo: el intermediario más poderoso del ecosistema de selecciones.</t>
  </si>
  <si>
    <t>team.ch; espn.com.mx oct-2025</t>
  </si>
  <si>
    <t>R-217</t>
  </si>
  <si>
    <t>Tecate es la cerveza oficial de Liga MX (varonil y femenil). Subsidiaria de Heineken — doble presencia Heineken/Tecate en el ecosistema.</t>
  </si>
  <si>
    <t>Tecate es cerveza oficial de Liga MX mientras Corona es de la Selección: la misma familia Heineken tiene ambos.</t>
  </si>
  <si>
    <t>tecate.com.mx; ligamx.net</t>
  </si>
  <si>
    <t>R-218</t>
  </si>
  <si>
    <t>Akta es el stack OTT real que opera ViX (TelevisaUnivision). Construido en 9 meses con ~150 ingenieros y Google Cloud bajo Michael Cerda.</t>
  </si>
  <si>
    <t>Akta es el stack OTT real que opera ViX: construido en 9 meses sobre Google Cloud. Quien quiera entender cómo Liga MX llega al streaming en México entiende primero a Akta.</t>
  </si>
  <si>
    <t>businesswire.com oct-2023; akta.tech</t>
  </si>
  <si>
    <t>R-219</t>
  </si>
  <si>
    <t>TelevisaUnivision/ViX Premium tiene los derechos exclusivos de los 104 partidos WC26 en territorio mexicano. El deal más importante de derechos deportivos en la historia de México.</t>
  </si>
  <si>
    <t>TUDN/ViX Premium tiene los derechos exclusivos de los 104 partidos WC26 en territorio mexicano: el deal de broadcasting más valioso del ecosistema en 2026.</t>
  </si>
  <si>
    <t>televisaunivision.com; fifa.com; dpln.news</t>
  </si>
  <si>
    <t>R-220</t>
  </si>
  <si>
    <t>TUDN tiene derechos de Chivas en señal abierta. Amazon Prime Video tiene los partidos en casa de Chivas exclusivos.</t>
  </si>
  <si>
    <t>TUDN tiene señal abierta de Chivas: coexiste con Amazon creando un modelo dual único en Liga MX.</t>
  </si>
  <si>
    <t>tudn.com; televisaunivision.com</t>
  </si>
  <si>
    <t>R-221</t>
  </si>
  <si>
    <t>TUDN/ViX retiene derechos de transmisión de 7-8 clubes Liga MX en México. TelevisaUnivision es también el broadcaster de los 104 partidos WC26 en México vía ViX Premium (exclusivo).</t>
  </si>
  <si>
    <t>TUDN/ViX tiene derechos de 7-8 clubs Liga MX en México: el broadcaster histórico que coexiste con Amazon, Netflix y Fox.</t>
  </si>
  <si>
    <t>televisaunivision.com; espn.com.mx; dpln.news</t>
  </si>
  <si>
    <t>R-222</t>
  </si>
  <si>
    <t>TUDN/ViX tiene los derechos de transmisión del Club América en México (junto con otros clubes del grupo TUDN/Canal 5).</t>
  </si>
  <si>
    <t>TUDN/ViX tiene derechos de América en México: el broadcaster y el club más valioso comparten el universo corporativo Azcárraga.</t>
  </si>
  <si>
    <t>R-223</t>
  </si>
  <si>
    <t>TUDN es el broadcaster histórico de la Selección Mexicana en México. Comparte ciclo con Netflix (CONCACAF) desde abr-2026.</t>
  </si>
  <si>
    <t>TUDN es el broadcaster histórico de El Tri: comparte ciclo con Netflix desde abr-2025.</t>
  </si>
  <si>
    <t>tudn.com; fmf.mx</t>
  </si>
  <si>
    <t>R-224</t>
  </si>
  <si>
    <t>TUDN y ViX transmiten los partidos de la Selección Mexicana Femenil en México.</t>
  </si>
  <si>
    <t>R-225</t>
  </si>
  <si>
    <t>Uber firmó triple deal oficial desde oct-2025: Selección Mexicana, Liga MX y Liga MX Femenil. Segundo tech giant triple deal tras Amazon.</t>
  </si>
  <si>
    <t>uber.com.mx; ligamx.net</t>
  </si>
  <si>
    <t>R-226</t>
  </si>
  <si>
    <t>Uber/Uber Eats firmó triple deal oficial desde oct-2025: Selección Mexicana, Liga MX y Liga MX Femenil. Segundo tech giant con triple deal en el ecosistema (tras Amazon mar-2025).</t>
  </si>
  <si>
    <t>Triple deal Uber (oct-2025): El Tri, Liga MX y Femenil. La segunda Big Tech en el ecosistema FMF tras Amazon.</t>
  </si>
  <si>
    <t>uber.com.mx; espn.com.mx; ligamx.net</t>
  </si>
  <si>
    <t>R-227</t>
  </si>
  <si>
    <t>Uber/Uber Eats incluye la Selección Mexicana Femenil en su triple deal oficial (oct-2025): El Tri, Liga MX y Liga MX Femenil.</t>
  </si>
  <si>
    <t>Uber en el triple deal incluye explícitamente la Femenil: señal de que las marcas ya activaron el ecosistema femenil.</t>
  </si>
  <si>
    <t>R-228</t>
  </si>
  <si>
    <t>Viagogo, HelloTicket y TopHop son plataformas de reventa secundaria. Exhortadas por Profeco en feb-2026. Operan sin representación legal formal en México.</t>
  </si>
  <si>
    <t>Profeco exhortos feb-2026</t>
  </si>
  <si>
    <t>R-229</t>
  </si>
  <si>
    <t>Volaris es sponsor de Club Toluca. Post-fusión el portafolio concentra Selección + Toluca (bicampeón 2025) + Pumas.</t>
  </si>
  <si>
    <t>R-230</t>
  </si>
  <si>
    <t>Volaris es sponsor de Pumas UNAM. Post-fusión, la nueva entidad tendrá Selección + Pumas + Toluca.</t>
  </si>
  <si>
    <t>R-231</t>
  </si>
  <si>
    <t>Viva Aerobus es aerolínea oficial de la Selección Mexicana. Fusión con Volaris dic-2025 concentrará todos los patrocinios aerolíneas en una entidad.</t>
  </si>
  <si>
    <t>Volaris/Viva como aerolínea oficial de El Tri post-fusión: el portafolio fusionado Selección + Pumas + Toluca es la señal de sponsor transversal más amplia de aerolíneas en Liga MX.</t>
  </si>
  <si>
    <t>vivaaerobus.com; ficha V3-016</t>
  </si>
  <si>
    <t>R-232</t>
  </si>
  <si>
    <t>Walmart México compra naming Estadio Sultanes desde 2024 (~5 años).</t>
  </si>
  <si>
    <t>Walmart paga naming primer estadio LMB. Mide ROI de naming retail vs banca/telco.</t>
  </si>
  <si>
    <t>sultanes.com.mx | walmartmexico.com</t>
  </si>
  <si>
    <t>R-233</t>
  </si>
  <si>
    <t>Wasserman/THE·TEAM activa para SF 49ers en México (Academia Fundación 49ers, Watch Party MTY, partnerships). Rebrand a THE·TEAM en mar-2026.</t>
  </si>
  <si>
    <t>Wasserman/THE·TEAM activa para 49ers en México: mandato de activación del equipo designado NFL en Estadio Banorte 2026-2028.</t>
  </si>
  <si>
    <t>the.team; ficha V4-006</t>
  </si>
  <si>
    <t>R-234</t>
  </si>
  <si>
    <t>WBC sanciona peleas Canelo Álvarez (cinturón verde WBC). Canelo histórico WBC champion múltiples categorías.</t>
  </si>
  <si>
    <t>WBC + Canelo: alianza simbólica del boxeo mexicano. Activo central narrativo.</t>
  </si>
  <si>
    <t>wbcboxing.com | canelo.com</t>
  </si>
  <si>
    <t>R-235</t>
  </si>
  <si>
    <t>Todos los clubes Liga MX tienen canales oficiales en YouTube. Plataforma principal de fan content.</t>
  </si>
  <si>
    <t>Plataforma principal de second-screen y fan content. Activo bajo-utilizado por Liga MX comercialmente.</t>
  </si>
  <si>
    <t>R-236</t>
  </si>
  <si>
    <t>YouTube TV titular NFL Sunday Ticket. Canal oficial NFL en YouTube. NFL México eventos amplificados.</t>
  </si>
  <si>
    <t>YouTube como distribuidor NFL. Para NFL México fans, YouTube es canal natural para highlights y replays.</t>
  </si>
  <si>
    <t>nfl.com | youtube.com</t>
  </si>
  <si>
    <t>R-242</t>
  </si>
  <si>
    <t>Adidas es sponsor oficial de Kings League Americas/Mexico desde la primera temporada (ene-2024), provee uniformes a los 12 equipos.</t>
  </si>
  <si>
    <t>Adidas extiende cobertura sponsorship a creator-led football MX, alineado con su estrategia post-FMF (kit deal hasta 2034) de cubrir los formatos emergentes.</t>
  </si>
  <si>
    <t>streamscharts.com; kingsleague.pro</t>
  </si>
  <si>
    <t>R-243</t>
  </si>
  <si>
    <t>Bimbo es sponsor oficial de Kings League Americas/Mexico desde temporada inaugural 2024.</t>
  </si>
  <si>
    <t>Bimbo apuesta a creator-led leagues con audiencia joven (Twitch-first) complementario a su exposición Liga MX y selecciones FMF.</t>
  </si>
  <si>
    <t>R-244</t>
  </si>
  <si>
    <t>TelevisaUnivision (vía Televisa) tiene rights de transmisión de Kings League Americas/Mexico en señal abierta MX, complementando la distribución digital primaria en Twitch oficial Kings League.</t>
  </si>
  <si>
    <t>TelevisaUnivision empaqueta creator-led football como contenido lineal complementario a su offering Liga MX; es ejemplo de hibridación TV abierta + creator culture.</t>
  </si>
  <si>
    <t>storeamericas.kingsleague.pro; en.wikipedia.org/wiki/Kings_League_Mexico</t>
  </si>
  <si>
    <t>R-245</t>
  </si>
  <si>
    <t>ESPN/Disney+ México distribuye contenido seleccionado de Kings League Americas/Mexico (highlights y partidos seleccionados) bajo acuerdo no exclusivo.</t>
  </si>
  <si>
    <t>Distribución no-exclusiva: marca el patrón de creator leagues monetizando con múltiples broadcasters secundarios sin lock-in de derechos.</t>
  </si>
  <si>
    <t>storeamericas.kingsleague.pro</t>
  </si>
  <si>
    <t>R-246</t>
  </si>
  <si>
    <t>Liga BBVA MX Femenil opera bajo el paraguas institucional de la FMF, similar a la relación FMF-Liga MX varonil. Mikel Arriola (Comisionado Presidente FMF) es decisor último de su agenda regulatoria y comercial.</t>
  </si>
  <si>
    <t>Cierra la cadena institucional FMF → Liga MX (varonil) + Liga MX Femenil; Mikel Arriola unifica gobernanza dual.</t>
  </si>
  <si>
    <t>fmf.mx; ligamxfemenil.net</t>
  </si>
  <si>
    <t>R-247</t>
  </si>
  <si>
    <t>BBVA México es naming sponsor oficial de la Liga BBVA MX Femenil, replicando el modelo BBVA-Liga MX varonil. Activación cruzada con las dos ligas profesionales.</t>
  </si>
  <si>
    <t>BBVA es el único naming sponsor que cubre ambas Ligas MX simultáneamente. Caso fuerte de cross-vertical V3.B (sponsor de federación-liga).</t>
  </si>
  <si>
    <t>ligamxfemenil.net; bbva.mx</t>
  </si>
  <si>
    <t>R-248</t>
  </si>
  <si>
    <t>Liga BBVA MX Femenil es la cantera estructural de la Selección Mexicana Femenil: las 18 plantillas alimentan al Tri Femenil de cara al Mundial Femenino 2027 (MX co-anfitrión).</t>
  </si>
  <si>
    <t>Activación dual con vista al Mundial 2027: el activo se valoriza tanto operativa como comercialmente en el ciclo 2026-2027.</t>
  </si>
  <si>
    <t>fmf.mx; concacaf.com</t>
  </si>
  <si>
    <t>R-249</t>
  </si>
  <si>
    <t>América Femenil es club miembro de Liga BBVA MX Femenil (vía Ollamani, mismo holding que Club América varonil). Bicampeón Apertura 2023 + Apertura 2024.</t>
  </si>
  <si>
    <t>Modelo de membresía constitutiva: el holding padre (Ollamani) opera tanto el club varonil como el femenil, y Liga MX Femenil regula a ambos por separado.</t>
  </si>
  <si>
    <t>R-250</t>
  </si>
  <si>
    <t>Tigres UANL Femenil es club miembro de Liga BBVA MX Femenil (vía CEMEX/Sinergia Deportiva). Hexacampeón histórico de la liga (más títulos que cualquier otro club femenil).</t>
  </si>
  <si>
    <t>Tigres Femenil es el club más exitoso en historia de la liga: 6 títulos. CEMEX consolida franquicia femenil bajo el mismo holding del varonil.</t>
  </si>
  <si>
    <t>R-251</t>
  </si>
  <si>
    <t>Rayadas de Monterrey es club miembro de Liga BBVA MX Femenil (vía FEMSA, mismo holding que Rayados varonil). Tetracampeón histórico de la liga.</t>
  </si>
  <si>
    <t>Rayadas son uno de los tres clubes con mayor inversión deportiva femenil en MX. Operación bajo FEMSA replica modelo industrial Rayados.</t>
  </si>
  <si>
    <t>R-252</t>
  </si>
  <si>
    <t>Chivas Femenil es club miembro de Liga BBVA MX Femenil (vía Omnilife/Vergara). Bicampeón histórico (Clausura 2017 inaugural y Apertura 2022).</t>
  </si>
  <si>
    <t>Chivas Femenil es el club fundador de la era profesional (Clausura 2017 fue el primer torneo). Activo histórico bajo Omnilife.</t>
  </si>
  <si>
    <t>R-253</t>
  </si>
  <si>
    <t>Pachuca Femenil es club miembro de Liga BBVA MX Femenil (vía Grupo Pachuca). Tetracampeón histórico, club bandera del proyecto Pachuca con cobertura deportiva integral.</t>
  </si>
  <si>
    <t>Pachuca Femenil es uno de los clubes más exitosos. Grupo Pachuca demuestra mayor inversión cross-género del ecosistema, con academias y rendimiento sostenido en ambas ramas.</t>
  </si>
  <si>
    <t>R-254</t>
  </si>
  <si>
    <t>Atlas Femenil es club miembro de Liga BBVA MX Femenil (vía Grupo PRODI / familia Bejos, mismo holding que Atlas varonil).</t>
  </si>
  <si>
    <t>R-13: la cobertura femenil se mapea como propiedad cross-género del holding/club padre ya cargado; relación membresía Liga MX Femenil ↔ propietario sin duplicar ficha standalone del equipo femenil. Cierra paridad metodológica con Liga MX varonil bajo E-02.</t>
  </si>
  <si>
    <t>ligamxfemenil.net; ligamx.net (clubes miembros oficiales Clausura 2026)</t>
  </si>
  <si>
    <t>R-255</t>
  </si>
  <si>
    <t>Atlético San Luis Femenil es club miembro de Liga BBVA MX Femenil (vía Apollo Sports Capital, mismo fondo que opera ASL varonil). Estadio Libertad Financiera (rebrand 2026) compartido con varonil.</t>
  </si>
  <si>
    <t>R-256</t>
  </si>
  <si>
    <t>Cruz Azul Femenil es club miembro de Liga BBVA MX Femenil. Desde Clausura 2026 disputa partidos como local en Estadio Centenario de Cuernavaca (mientras varonil rota Banorte-Cuauhtémoc Puebla).</t>
  </si>
  <si>
    <t>R-257</t>
  </si>
  <si>
    <t>Guerreras Santos Laguna Femenil es club miembro de Liga BBVA MX Femenil (vía Grupo Orlegi, mismo holding que Santos varonil + Atlas + Mazatlán). Verificar si Mazatlán Femenil también cae bajo Orlegi.</t>
  </si>
  <si>
    <t>R-258</t>
  </si>
  <si>
    <t>Necaxa Femenil es club miembro de Liga BBVA MX Femenil. Club Necaxa opera ambas ramas (varonil + femenil) sin holding consolidado externo.</t>
  </si>
  <si>
    <t>R-259</t>
  </si>
  <si>
    <t>Club Puebla Femenil es club miembro de Liga BBVA MX Femenil (vía Grupo Salinas / TV Azteca, holding del Club Puebla varonil). Verificar si Mazatlán Femenil cae aquí o bajo Orlegi.</t>
  </si>
  <si>
    <t>R-260</t>
  </si>
  <si>
    <t>Gallos Femenil de Querétaro es club miembro de Liga BBVA MX Femenil (vía Innovatio Capital, mismo holding que Gallos varonil).</t>
  </si>
  <si>
    <t>R-261</t>
  </si>
  <si>
    <t>Pumas UNAM Femenil es club miembro de Liga BBVA MX Femenil. Club Pumas opera ambas ramas bajo el patrocinio UNAM, sin holding externo consolidado.</t>
  </si>
  <si>
    <t>R-262</t>
  </si>
  <si>
    <t>Xolos de Tijuana Femenil es club miembro de Liga BBVA MX Femenil (vía Grupo Caliente, mismo holding que Xolos varonil + Caliente.mx sportsbook).</t>
  </si>
  <si>
    <t>R-263</t>
  </si>
  <si>
    <t>Diablas Rojas Toluca (Femenil) es club miembro de Liga BBVA MX Femenil. Toluca opera ambas ramas, parcialmente bajo Grupo Martí / familia Harp Helú (A-059) vía relación de propiedad existente.</t>
  </si>
  <si>
    <t>R-264</t>
  </si>
  <si>
    <t>General Atlantic compró 49% de Grupo Águilas a Ollamani el 23-dic-2025 por valor empresa USD 490M. La nueva entidad Grupo Águilas (Ollamani 51% / GA 49%) es dueña directa de Club América (varonil + femenil), Estadio Banorte y los terrenos adyacentes. Emilio Azcárraga Jean fue confirmado como Presidente Ejecutivo de Grupo Águilas. Cierre regulatorio completado Q1-2026 vía Paul Weiss + Galicia Abogados.</t>
  </si>
  <si>
    <t>Primera entrada de PE global a un club Liga MX top-tier. Detona ola de inversión cross-sport (después Apollo cerró Atlético Madrid mar-2026 incluyendo Atlético San Luis MX). GA Mexico City office invierte USD 3B+ en 14 empresas mexicanas desde 2015.</t>
  </si>
  <si>
    <t>comunicado Ollamani BMV 23-dic-2025; General Atlantic press release; LexLatin ene-2026; ESPN Deportes dic-2025</t>
  </si>
  <si>
    <t>R-265</t>
  </si>
  <si>
    <t>Strategic / Operational</t>
  </si>
  <si>
    <t>General Atlantic y Ollamani anunciaron alianza con Kraft Analytics Group (KAGR) como parte del acuerdo Grupo Águilas dic-2025. KAGR aporta plataforma de datos de clientes para mejorar experiencia del aficionado y capacidades de consultoría estratégica al Club América y Estadio Banorte.</t>
  </si>
  <si>
    <t>Caso emblemático cross-vertical V8 + V9: capital PE global (GA) + data analytics deportivo (KAGR) + holding deportivo MX (Ollamani). Replica modelo NE Patriots/Kraft Sports.</t>
  </si>
  <si>
    <t>General Atlantic press release; LexLatin; comunicado Ollamani</t>
  </si>
  <si>
    <t>R-266</t>
  </si>
  <si>
    <t>Kraft Analytics Group (KAGR) integrado al modelo Grupo Águilas vía alianza tripartita con General Atlantic. Provee análisis de fan engagement, CRM y consultoría estratégica para Club América + Estadio Banorte.</t>
  </si>
  <si>
    <t>Validación internacional de modelo Kraft Sports para deporte MX. Posibilita arquitectura datos premium en el primer club Liga MX con capital PE global.</t>
  </si>
  <si>
    <t>General Atlantic press release dic-2025</t>
  </si>
  <si>
    <t>People of Interest · Una persona = una fila · Ordenadas según ID Maestro del actor primario vinculado</t>
  </si>
  <si>
    <t>ID POI</t>
  </si>
  <si>
    <t>Actor vinculado (ID Maestro)</t>
  </si>
  <si>
    <t>Actor vinculado (nombre)</t>
  </si>
  <si>
    <t>Vertical actor</t>
  </si>
  <si>
    <t>Nombre de la persona</t>
  </si>
  <si>
    <t>Cargo</t>
  </si>
  <si>
    <t>Tier de influencia</t>
  </si>
  <si>
    <t>Vínculos cruzados</t>
  </si>
  <si>
    <t>P-001</t>
  </si>
  <si>
    <t>Alejandro Soberón Kuri</t>
  </si>
  <si>
    <t>Presidente y CEO, Corporación Interamericana de Entretenimiento (CIE)</t>
  </si>
  <si>
    <t>Decisor último de CIE/OCESA, holding que opera GP México F1, Estadio GNP Seguros, Autódromo Hermanos Rodríguez, Ticketmaster México, Foro Sol y Palacio de los Deportes. Controla la mayor concentración de venues, ticketing primario y eventos premium del ecosistema mexicano.</t>
  </si>
  <si>
    <t>Federico González Compeán (DG CIE Internacional); Fórmula 1 (contrato GP México extendido a 2028); Ticketmaster Live Nation; CDMX (concesión Autódromo HR); Banamex (Centro Banamex)</t>
  </si>
  <si>
    <t>P-002</t>
  </si>
  <si>
    <t>Ariel "Ari" Emanuel</t>
  </si>
  <si>
    <t>Executive Chairman, WME Group; CEO y Executive Chair, TKO Group Holdings</t>
  </si>
  <si>
    <t>Decisor último del conglomerado post going-private mar-2025 (Endeavor renombrado a WME Group, deal con Silver Lake USD 25B). TKO controla UFC, WWE, IMG, On Location y PBR. Endeavor Group Holdings retiene 63.9% de TKO. Para México la palanca es WC26 hospitality vía On Location y eventos UFC en CDMX.</t>
  </si>
  <si>
    <t>Mark Shapiro (Pres./Managing Partner WME, Pres./COO TKO); Silver Lake (mayoría privada); Vince McMahon (8.6% TKO); FIFA (On Location oficial WC26); Live Nation</t>
  </si>
  <si>
    <t>P-003</t>
  </si>
  <si>
    <t>Mark Shapiro</t>
  </si>
  <si>
    <t>President y Managing Partner, WME Group; President y COO, TKO Group Holdings</t>
  </si>
  <si>
    <t>Operativo principal del conglomerado WME/TKO post-reestructura mar-2025. Compensación 2025 USD 42.64M. Bajo Shapiro reportan WME Sports, IMG Events, On Location y la operación cotidiana de UFC/WWE. Punto de contacto operativo para deals de gran escala que toquen MX.</t>
  </si>
  <si>
    <t>Ari Emanuel (Executive Chair); Richard Weitz y Christian Muirhead (Co-Chairmen WME, reportan a Shapiro); On Location (subsidiaria TKO)</t>
  </si>
  <si>
    <t>P-004</t>
  </si>
  <si>
    <t>Alicia Falken</t>
  </si>
  <si>
    <t>General Manager, On Location FIFA World Cup 26 Business</t>
  </si>
  <si>
    <t>Decisor operativo del programa hospitality oficial de FIFA WC26 (subsidiaria TKO/Endeavor). Gestiona venta de paquetes hospitality en las tres sedes mexicanas (CDMX, Guadalajara, Monterrey), nombramientos de sub-agentes regionales y la activación territorial del programa Starting 16. Lead operativo más relevante del conglomerado A-035 con presencia directa en MX.</t>
  </si>
  <si>
    <t>Mark Shapiro (Pres. TKO); FIFA (cliente principal); Overseas Network (sub-agente internacional); MLS (sub-agente USA/Canadá); Mundomex (hospitalidad territorial)</t>
  </si>
  <si>
    <t>P-005</t>
  </si>
  <si>
    <t>Mikel Andoni Arriola Peñalosa</t>
  </si>
  <si>
    <t>Comisionado Presidente, Federación Mexicana de Futbol; Presidente Ejecutivo, Liga MX</t>
  </si>
  <si>
    <t>Cargo dual (FMF desde dic-2024, Liga MX desde 2020) tras renuncia de Juan Carlos Rodríguez. Decisor único de la agenda Liga MX-FMF rumbo a WC26: fin de la multipropiedad para 2026, separación jurídica Liga MX-FMF aprobada abr-2026, gobernanza con cuatro comités estratégicos. Representante de Norteamérica en Consejo Concacaf desde mar-2025.</t>
  </si>
  <si>
    <t>Ivar Sisniega (Pres. Ejecutivo FMF); Frank Iturbide (DG Competencias Liga MX, candidato a sucesor en Liga MX); CONCACAF; Javier Aguirre (DT Selección); Mauricio Sulaimán (WBC, vínculo institucional); cargo en Liga MX simultáneo</t>
  </si>
  <si>
    <t>P-006</t>
  </si>
  <si>
    <t>Ivar Sisniega Campbell</t>
  </si>
  <si>
    <t>Presidente Ejecutivo, Federación Mexicana de Futbol</t>
  </si>
  <si>
    <t>Operativo principal de FMF debajo de Arriola (Comisionado). Ex pentatleta olímpico y ex CONADE. Su permanencia ha sido cuestionada tras la consolidación de poder de Arriola; periodistas señalan que los movimientos de la administración FMF dependerán de decisiones que tome Arriola sobre su continuidad.</t>
  </si>
  <si>
    <t>Mikel Arriola (Comisionado FMF, cargo superior); FIFA; CONCACAF; comité organizador WC26 México</t>
  </si>
  <si>
    <t>P-007</t>
  </si>
  <si>
    <t>José Antonio Fernández Carbajal</t>
  </si>
  <si>
    <t>Presidente Ejecutivo del Consejo de Administración, FEMSA; arquitecto del rescate y propiedad de Rayados desde 1999</t>
  </si>
  <si>
    <t>Decisor histórico y vigente sobre Rayados de Monterrey. Encabezó el rescate del club en 1999, la adquisición formal en 2006 y la construcción del Estadio BBVA (USD 200M+). Sigue como Presidente Ejecutivo del Consejo tras la transición de CEO al hijo (1-nov-2025). Familias Garza Lagüera (Eva, esposa) y Fernández controlan el holding propietario. Estadio BBVA es sede principal WC26 en Monterrey.</t>
  </si>
  <si>
    <t>José Antonio Fernández Garza-Lagüera (hijo, CEO FEMSA desde nov-2025); Eva Garza Lagüera Gonda (esposa, dueña); BBVA (naming); Heineken México (Cuauhtémoc Moctezuma); OXXO; Coca-Cola FEMSA; Pedro Esquivel (operativo Rayados + comité WC26 MTY)</t>
  </si>
  <si>
    <t>P-008</t>
  </si>
  <si>
    <t>José Antonio Fernández Garza-Lagüera</t>
  </si>
  <si>
    <t>Director General (CEO), FEMSA (desde 1 de noviembre de 2025)</t>
  </si>
  <si>
    <t>CEO operativo del holding propietario de Rayados desde nov-2025 (apodado "Diablo Jr."). Hijo del Presidente Ejecutivo del Consejo. Maestría en Stanford. Responsable de la operación FEMSA a través del próximo ciclo (incluyendo activos sports, OXXO, FEMSA Comercio, Coca-Cola FEMSA). Su prioridad declarada es expansión internacional y digitalización; las decisiones estratégicas sobre Rayados pasarán por él en cuanto a operación cotidiana.</t>
  </si>
  <si>
    <t>José Antonio Fernández Carbajal (padre, Pres. Ejecutivo Consejo); Eva Garza Lagüera Gonda (madre); Coca-Cola FEMSA; Industrias Peñoles; Tecnológico de Monterrey</t>
  </si>
  <si>
    <t>P-009</t>
  </si>
  <si>
    <t>Federico González Compeán</t>
  </si>
  <si>
    <t>Director General, Fórmula 1 Gran Premio de la Ciudad de México; Director General, CIE Internacional</t>
  </si>
  <si>
    <t>Decisor operativo del GP México F1 desde su regreso en 2015. Bajo su gestión la carrera mexicana se consolidó entre las tres más caras del calendario F1 (sólo debajo de Las Vegas y Miami) y el contrato fue extendido hasta 2028. Edición 2025 generó derrama de 19.84 mil millones de pesos. Producción simultánea de Corona Capital, Vive Latino y musicales (La Bella y la Bestia, El Rey León) bajo la división CIE Internacional.</t>
  </si>
  <si>
    <t>Alejandro Soberón Kuri (Presidente CIE); Fórmula 1 (Liberty Media); FIA; Autódromo Hermanos Rodríguez; CDMX (concesión); Sergio "Checo" Pérez (regreso 2026 con Cadillac, eje de demanda)</t>
  </si>
  <si>
    <t>P-010</t>
  </si>
  <si>
    <t>Amaury Vergara Zatarain</t>
  </si>
  <si>
    <t>Propietario y Presidente, Club Deportivo Guadalajara (Chivas) y Grupo Omnilife</t>
  </si>
  <si>
    <t>Decisor único sobre Chivas. Heredó el control tras fallecimiento de Jorge Vergara (nov-2019). Política sostenida de jugadores 100% mexicanos define modelo comercial. Litigio Exp. 150/20 con Angélica Fuentes (ex-esposa de Jorge) sigue activo en mayo 2026 y limita inversión visible en plantilla. Confrontación pública con FMF mayo 2026 por permisos selectivos (Toluca-Concachampions). Estadio Akron es sede WC26 Guadalajara; palcos vendidos en 2010 vencieron en 2025 y deben renovarse, fuente de ingresos clave.</t>
  </si>
  <si>
    <t>Angélica Fuentes (litigio herencia activo); Familia Vergara; Amazon Prime Video (transmisión); Estadio Akron (WC26); Boletomóvil; FMF/Liga MX (oposición a permisos selectivos)</t>
  </si>
  <si>
    <t>P-011</t>
  </si>
  <si>
    <t>Emilio Azcárraga Jean</t>
  </si>
  <si>
    <t>Presidente del Consejo de Administración, Controladora Deportiva Águilas (CDA); accionista controlador Ollamani (~40-41.5%)</t>
  </si>
  <si>
    <t>Decisor último del activo Club América + Estadio Banorte vía Ollamani y la nueva CDA (Controladora Deportiva Águilas, creada con la entrada de General Atlantic dic-2025, alianza USD 490M EV cerrada formalmente mar-2026). Elevó tenencia comprando 25M CPOs adicionales en ene-2026. Lugar 36 en "100 empresarios más importantes 2025" (Expansión). Estadio Banorte es sede partido inaugural WC26.</t>
  </si>
  <si>
    <t>Ferran Reverter (DG CDA, reporta a este consejo); General Atlantic (Martín Escobari, Luis Cervantes); Joaquín Balcárcel (Jefe Oficina Presidencia Ejecutiva Grupo Televisa); Banorte (naming); NFL 49ers (contrato 2026-2028); Adidas</t>
  </si>
  <si>
    <t>P-012</t>
  </si>
  <si>
    <t>Ferran Reverter Planet</t>
  </si>
  <si>
    <t>Director General, Controladora Deportiva Águilas (Ollamani + General Atlantic) desde marzo de 2026</t>
  </si>
  <si>
    <t>Operativo máximo del nuevo modelo corporativo Club América + Estadio Banorte. Ex DG FC Barcelona (responsable del Espai Barça y reestructura financiera blaugrana), ex CEO Media Markt Saturn. Mandato explícito declarado: "impulsar crecimiento y transformación de club y estadio". Reporta directamente al consejo presidido por Azcárraga. Su llegada profesionaliza la gestión y resta peso político a Santiago Baños (Pres. Deportivo).</t>
  </si>
  <si>
    <t>Emilio Azcárraga Jean (Pres. Consejo CDA); Alexandre Costa (DG Ejecutivo Estadio Banorte); Felix Aguirre (Host City Manager WC26); Santiago Baños (Pres. Deportivo, reporta a CDA); Antonio Ibrahim (Director Deportivo); González Iñárritu (Pres. operativo saliente 30-jul-2026); General Atlantic</t>
  </si>
  <si>
    <t>P-013</t>
  </si>
  <si>
    <t>Tomás Tejero</t>
  </si>
  <si>
    <t>Country Manager / Director, Amazon Prime Video México</t>
  </si>
  <si>
    <t>Decisor del portafolio deportivo de Prime Video en México. Gestionó la adquisición de derechos exclusivos de partidos en casa de Chivas (vigente hasta Clausura 2028) y la integración de NBA, NFL, F1, MLB, UEFA Champions League y Liga MX en la parrilla local. Vocero declarado sobre saturación de licencias deportivas en México y la estrategia de retención de suscriptores vía deportes.</t>
  </si>
  <si>
    <t>Chivas/Amaury Vergara (deal home games hasta 2028); FOX Sports (alianza distribución LMB); Tigres (negociación post-Televisa); NBA/NFL/MLB/F1 (carry-over global)</t>
  </si>
  <si>
    <t>P-014</t>
  </si>
  <si>
    <t>Antonio Álvarez Martínez</t>
  </si>
  <si>
    <t>Founder y CEO, ASdeporte; promotor mayor de eventos running MX (Maratón CDMX, Medio Maratón CDMX, decenas de carreras)</t>
  </si>
  <si>
    <t>POI principal del cluster Running &amp; Wellness en México. Founder ASdeporte que organiza la mayoría de los grandes eventos de running MX en alianza con autoridades (INDEPORTE CDMX) y title sponsors blue-chip (Telcel, BBVA). Operador estructural del calendario running urbano CDMX y de la franquicia mexicana IRONMAN (Cozumel + 70.3 series). Steve Meckfessel (EVP Business Development, ex-COO IRONMAN desde 2017) es el operativo USA-side y la cara IRONMAN de la firma; Álvarez Martínez es el founder y decisor último.</t>
  </si>
  <si>
    <t>Steve Meckfessel (EVP Business Development, brazo USA y franquicia IRONMAN); INDEPORTE CDMX (operador eventos públicos); Telcel (Maratón CDMX title sponsor, A-087); BBVA (Medio Maratón CDMX title sponsor, A-092); IRONMAN Group (matriz franquicias); Rock'n'Roll Marathon Series; gobiernos estatales sedes</t>
  </si>
  <si>
    <t>P-015</t>
  </si>
  <si>
    <t>Rogelio Zambrano Lozano</t>
  </si>
  <si>
    <t>Presidente del Consejo de Administración, CEMEX SAB de CV</t>
  </si>
  <si>
    <t>Presidente del Consejo de la cementera global con sede en Monterrey, accionista controlador de Sinergia Deportiva (operadora del Club Tigres UANL). Decisor último sobre el modelo de propiedad Tigres y la inversión deportiva del grupo. Tigres es uno de los activos sports más estables del fútbol mexicano y juega rol central en la economía sports de Nuevo León rumbo a WC26.</t>
  </si>
  <si>
    <t>Familia Zambrano; CEMEX (gobierno corporativo); Sinergia Deportiva; Estadio Universitario UANL; FEMSA/Rayados (vecindad MTY); comité organizador WC26 Monterrey</t>
  </si>
  <si>
    <t>P-016</t>
  </si>
  <si>
    <t>Salvador "Chavo" Lutteroth III (Lutteroth Lomelí)</t>
  </si>
  <si>
    <t>Presidente y CEO, Consejo Mundial de Lucha Libre (CMLL); biznieto del fundador Salvador Lutteroth González</t>
  </si>
  <si>
    <t>Decisor único de la promotora de lucha libre activa más antigua del mundo (fundada 1933, 92 años). Bajo su gestión (desde 2019) CMLL ha consolidado alianzas con AEW (Tony Khan), New Japan Pro Wrestling, RevPro y MLW. Postura firme sobre Arena México como sede no negociable. Estrategia explícita de internacionalización vía CMLL Slamfest (Las Vegas, abr-2026).</t>
  </si>
  <si>
    <t>Tony Khan (AEW, alianza estratégica); NJPW; AEW Grand Slam México; Arena México (Catedral de la Lucha Libre); Arena Coliseo; Arena Puebla; Familia Lutteroth (Sofía Alonso predecesora 2019)</t>
  </si>
  <si>
    <t>P-017</t>
  </si>
  <si>
    <t>Martín Iraola</t>
  </si>
  <si>
    <t>Presidente, The Walt Disney Company Latin America (incluye ESPN y Disney+ México)</t>
  </si>
  <si>
    <t>Decisor regional de la estrategia ESPN y Disney+ en México y LatAm. Bajo su gestión se construyó el bundle ViX+Disney+ con TelevisaUnivision. ESPN sigue siendo broadcaster relevante de Liga MX, NFL, F1 GP México y eventos premium MLB.</t>
  </si>
  <si>
    <t>TelevisaUnivision (bundle ViX+); ESPN (cartera deportiva); Hulu/Star+ migración; Olek Loewenstein (TUDN, contraparte)</t>
  </si>
  <si>
    <t>P-018</t>
  </si>
  <si>
    <t>Luis Rico</t>
  </si>
  <si>
    <t>Lead, Fuse Mexico (Omnicom Media Group); embebido en Omnicom Media Mexico</t>
  </si>
  <si>
    <t>Lider del lanzamiento oficial de Fuse Mexico CDMX en 2026 (anuncio LinkedIn corporativo). Fuse es la red global de marketing en sport, music &amp; gaming de Omnicom Media Group; la oficina mexicana opera embebida en Omnicom Media Mexico para aprovechar la red local de PHD/OMD. Reporta a Louise Johnson (Global CEO Fuse) y al equipo regional LATAM de OMG. Aplica frameworks globales de partnership strategy, activación e industry-leading measurement al ecosistema MX.</t>
  </si>
  <si>
    <t>Louise Johnson (Global CEO Fuse, UK); Monica Conway (Global Acting CEO/CFO/COO Fuse); Omnicom Media Mexico (red local); PHD MX y OMD MX (agencias hermanas OMG); marcas blue-chip MX en sport &amp; entertainment</t>
  </si>
  <si>
    <t>P-019</t>
  </si>
  <si>
    <t>Jan Tops</t>
  </si>
  <si>
    <t>Fundador y CEO, Global Champions Tour (GCT) y Global Champions League (GCL)</t>
  </si>
  <si>
    <t>Decisor último del circuito GCT/GCL, el mayor circuito comercial de show jumping del mundo. La etapa LGCT México (Mextenis o sede directa GCT) es el evento ecuestre premium más importante en MX. Tops controla la curaduría de etapas, comerciales, equipos GCL, y ha sido figura controversial por la entrada de capital saudí (Falcon Stables) al circuito.</t>
  </si>
  <si>
    <t>Atletas top mundiales (McLain Ward, Steve Guerdat, Ben Maher); equipos GCL (Riesenbeck Internat, Stockholm Hearts, Madrid in Motion, Mexico Amigos); FEI (gobernanza); patrocinadores Longines, Rolex, EEM</t>
  </si>
  <si>
    <t>P-020</t>
  </si>
  <si>
    <t>Guillermo Salinas Pliego</t>
  </si>
  <si>
    <t>Presidente, Grupo Avalanz; controlador, Zignia Live (operador Arena Ciudad de México, Arena Monterrey, Arena Guadalajara)</t>
  </si>
  <si>
    <t>Hermano menor de Ricardo Salinas Pliego. Controla Grupo Avalanz (holding diversificado) y Zignia Live, operador de las tres arenas multipropósito más grandes de MX (CDMX, Monterrey, Guadalajara). Avalanz también opera Superboletos, plataforma ticketing primaria competidora de Ticketmaster. Posición estructural en venues y ticketing rumbo al ciclo WC26 + giras post-Mundial.</t>
  </si>
  <si>
    <t>Ricardo Salinas Pliego (hermano, Grupo Salinas); Superboletos (ticketing); Arena CDMX, Arena MTY, Arena GDL (venues operados); promotores nacionales e internacionales</t>
  </si>
  <si>
    <t>P-021</t>
  </si>
  <si>
    <t>Alfredo Harp Helú</t>
  </si>
  <si>
    <t>Presidente, Grupo Martí SAB de CV; propietario, Diablos Rojos del México y Guerreros de Oaxaca; accionista (~15%) Padres de San Diego (MLB)</t>
  </si>
  <si>
    <t>Empresario y filántropo (patrimonio ~USD 1,100M Forbes). Controla la mayor concentración de activos sports del béisbol mexicano: Diablos Rojos (16 campeonatos LMB, debutó en BMV con símbolo DIABLOS, +17.14% YTD 2026), Estadio Alfredo Harp Helú (CDMX), Academia AHH en Oaxaca, Guerreros de Oaxaca. Único mexicano accionista de una franquicia MLB. Primo de Carlos Slim. Salón de la Fama LMB 2023.</t>
  </si>
  <si>
    <t>Jorge del Valle (Pres. Ejecutivo Diablos Rojos desde oct-2025); Othón Díaz (Pres. saliente, sustituido oct-2025); Padres de San Diego (Peter O'Malley, accionistas); Carlos Slim (primo); Interceramic; Grupo Posadas; Fundación AHH</t>
  </si>
  <si>
    <t>P-022</t>
  </si>
  <si>
    <t>Jorge del Valle</t>
  </si>
  <si>
    <t>Presidente Ejecutivo, Diablos Rojos del México (desde octubre de 2025)</t>
  </si>
  <si>
    <t>Operativo principal Diablos Rojos. Sustituyó a Othón Díaz en oct-2025 tras el bicampeonato. Tareas declaradas: capitalizar el flujo turístico WC26 hacia el Estadio AHH, sostener récord de asistencia (14,443 promedio 2024 a 592,153 anuales), gestionar la condición de empresa cotizada en BMV (DIABLOS) post-debut sin OPI.</t>
  </si>
  <si>
    <t>Alfredo Harp Helú (propietario); Othón Díaz (predecesor); BMV (empresa cotizada); Estadio AHH; Academia AHH Oaxaca</t>
  </si>
  <si>
    <t>P-023</t>
  </si>
  <si>
    <t>Alejandro Irarragorri Gutiérrez</t>
  </si>
  <si>
    <t>Presidente del Consejo de Administración, Grupo Orlegi (Orlegi Sports); propietario Santos Laguna</t>
  </si>
  <si>
    <t>Decisor único de Orlegi tras la venta del Atlas FC a Grupo PRODI (José Miguel Bejos), aprobada por asamblea de dueños 23-abril-2026 con transición operativa al 1-julio-2026. Orlegi se queda solo con Santos Laguna en MX (también opera Sporting de Gijón en España, con reportes de tensión de liquidez). El 70-aniversario título de Atlas (bicampeonato 2021-2022) bajo su gestión ya quedó atrás.</t>
  </si>
  <si>
    <t>José Miguel Bejos / Grupo PRODI (comprador Atlas); Alejandro "Aleco" Irarragorri Kalb (hijo, Pres. Santos); Sporting de Gijón (España); FMF/Liga MX (multipropiedad eliminada vía venta Atlas)</t>
  </si>
  <si>
    <t>P-024</t>
  </si>
  <si>
    <t>Jesús Martínez Patiño</t>
  </si>
  <si>
    <t>Propietario y CEO, Grupo Pachuca (Tuzos del Pachuca, Club León, Estadio Hidalgo, Estadio Nou Camp)</t>
  </si>
  <si>
    <t>Actor crítico del ecosistema 2026 con perfil de riesgo elevado: orden de aprehensión vigente desde oct-2025 (disputa derechos con Grupo Lauman/Fox Sports MX), exclusión de Club León del Mundial de Clubes 2025 por violación a reglas FIFA de multipropiedad, asking price USD 500M para un activo estimado USD 200M por el mercado. Aún titular de Tuzos y León; Liga MX presiona venta de uno de los dos clubes para cerrar multipropiedad antes de fin 2026.</t>
  </si>
  <si>
    <t>Grupo Lauman / Fox Sports MX (litigio derechos); FIFA (sanción Mundial de Clubes a León); Liga MX (presión multipropiedad); Mikel Arriola (presión institucional); Universidad del Futbol Pachuca</t>
  </si>
  <si>
    <t>P-025</t>
  </si>
  <si>
    <t>Ricardo B. Salinas Pliego</t>
  </si>
  <si>
    <t>Presidente y fundador, Grupo Salinas (TV Azteca, Banco Azteca, Elektra, Tiendas Neto)</t>
  </si>
  <si>
    <t>Decisor último del holding. Vendió Mazatlán FC a Emilio Escalante (Atlante) en abr-2026 por aproximadamente USD 65M, conservando solo Puebla en Liga MX (Puebla también en proceso de venta según reportes). Adeudo SAT de USD 48 mil millones de pesos por Elektra 2008-2014 lo presiona a liquidar activos. Tensión política directa con el gobierno Sheinbaum. Salida del fútbol mexicano en curso. Bonistas internacionales TV Azteca buscan responsabilidad personal en concurso mercantil.</t>
  </si>
  <si>
    <t>Benjamín Salinas Sada (CEO TV Azteca, hijo); Guillermo Salinas Pliego (hermano, Avalanz); Emilio Escalante (comprador Mazatlán); SAT/Sheinbaum (litigio fiscal); bonistas internacionales TV Azteca</t>
  </si>
  <si>
    <t>P-026</t>
  </si>
  <si>
    <t>Benjamín Salinas Sada</t>
  </si>
  <si>
    <t>CEO, TV Azteca; hijo de Ricardo Salinas Pliego</t>
  </si>
  <si>
    <t>Operativo principal TV Azteca durante el concurso mercantil. Gestiona continuidad de operaciones, contratos vigentes con clubes Liga MX (Atlas, Tubi MX) y la transición de activos sports vendidos. Su firma es necesaria para los movimientos de derechos deportivos cotidianos.</t>
  </si>
  <si>
    <t>Ricardo Salinas Pliego (padre, propietario); Rodolfo "El Pollo" Ramírez (DG Azteca Deportes); Carlos Martínez (Fox Corp LatAm, deal Caliente TV); concurso mercantil</t>
  </si>
  <si>
    <t>P-027</t>
  </si>
  <si>
    <t>Marc Spiegel</t>
  </si>
  <si>
    <t>Founder, Managing Member y Chairman, Innovatio Capital; Chairman, Querétaro FC</t>
  </si>
  <si>
    <t>Decisor único de Innovatio Capital, fondo PE con sede Atlanta/Arizona. Cerró compra de Querétaro FC a Jorge Alberto Hank Inzunza (Grupo Caliente) por USD 120M en julio 2025, primera mayoría 100% estadounidense en Liga MX. Fundador de Rubicon (waste management tech). Bertram Capital se sumó a la propiedad en feb-2026 trayendo expertise tech/data. Tesis explícita: identificar franquicias subvaloradas, aplicar disciplina financiera y data, construir plataforma regional conectada a USA.</t>
  </si>
  <si>
    <t>Chris Spooner (CFO Innovatio); Ed Malyon (Sporting Strategy, ex periodista); Bertram Capital (co-inversor desde feb-2026); Adrián Madero / Grupo Fonseca (socio estratégico MX); Jorge Alberto Hank Inzunza (vendedor Querétaro); Mauricio Kuri (gobernador Querétaro)</t>
  </si>
  <si>
    <t>P-028</t>
  </si>
  <si>
    <t>Salvador Escobar Cornejo</t>
  </si>
  <si>
    <t>Presidente Ejecutivo, Liga Arco Mexicana del Pacífico (LAMP/LMP) — desde 10 de abril de 2025</t>
  </si>
  <si>
    <t>Tercer presidente en cuatro años de la LMP. Sustituyó a Carlos Manrique González (2022-abr-2025) tras la renuncia de éste por causas personales y profesionales (ruptura con televisoras dejó la temporada 2024-25 solo en YouTube). Antes presidente Omar Canizales (2009-mar-2022). Trayectoria comercial en Coca-Cola, Grupo Modelo, TV Azteca y Grupo Orlegi (jefe de comercial y mercadotecnia 2017-2019). Bajo su gestión: aprobó venta y mudanza de Sultanes Monterrey a Tepic (Jaguares de Nayarit), mudanza de Mayos Navojoa a Tucson Arizona (Tucson Baseball Team) y cierre del deal Megacable para transmisiones 2025-26.</t>
  </si>
  <si>
    <t>Carlos Manrique González (predecesor 2022-2025); Omar Canizales Soto (predecesor 2009-2022); Christian Véliz Valencia (Director Deportivo LMP); Enrique Mazón Rubio (Naranjeros Hermosillo); Megacable (deal transmisiones 2025-26); 10 equipos LMP (Naranjeros, Tomateros, Charros, Yaquis, Cañeros, Águilas, Venados, Algodoneros Guasave, Jaguares Nayarit, Tucson Baseball Team); Caribbean Series (Mexicali 2025, Hermosillo 2027)</t>
  </si>
  <si>
    <t>P-029</t>
  </si>
  <si>
    <t>Francisco "Frank" Iturbide</t>
  </si>
  <si>
    <t>Director General de Competiciones, Operaciones y Desarrollo, Liga MX (designado en 2025); candidato principal y futuro Presidente Liga MX AC</t>
  </si>
  <si>
    <t>Principal candidato a la presidencia de la nueva Liga MX como asociación civil independiente (separación FMF aprobada 23-abr-2026). Su nombramiento formal está sujeto a aprobación del G8 (clubes América, Chivas, Monterrey, Toluca, Santos y otros) y se proyecta para después del WC26 (jul-2026 o posterior). Perfil técnico-operativo (ex futbolista América Sub-20). Representante Liga MX ante World Leagues Forum desde jun-2025. Reporta a Mikel Arriola hasta su designación formal.</t>
  </si>
  <si>
    <t>Mikel Arriola (Comisionado FMF, cargo superior); Asamblea de Dueños (G8 con poder de ratificación); World Leagues Forum (representante Liga MX); Premier League (visitas en Londres); Junta Dueños 23-abr-2026</t>
  </si>
  <si>
    <t>P-030</t>
  </si>
  <si>
    <t>Scott O'Neil</t>
  </si>
  <si>
    <t>CEO, LIV Golf League</t>
  </si>
  <si>
    <t>CEO global de LIV Golf desde febrero 2025 (sustituyó a Greg Norman). Decide la curaduría de sedes y el ciclo de etapas, incluyendo LIV Golf México (Club de Golf Chapultepec o Club de Golf México, depende del año). Bajo su gestión se ha buscado consolidación competitiva con PGA Tour y reactivar la presencia en Latam con Carlos Ortiz como bandera mexicana.</t>
  </si>
  <si>
    <t>PIF / Yasir Al-Rumayyan (financiador); Greg Norman (predecesor); PGA Tour (negociación marco); Carlos Ortiz (golfista mexicano LIV); Club de Golf Chapultepec / sedes MX</t>
  </si>
  <si>
    <t>P-031</t>
  </si>
  <si>
    <t>Renata Burillo</t>
  </si>
  <si>
    <t>Presidenta del Consejo de Administración, Mextenis y Grupo Pegaso (sucesora tras fallecimiento de Alejandro Burillo Azcárraga el 16-abr-2026)</t>
  </si>
  <si>
    <t>Asume la presidencia del Consejo de Mextenis y Grupo Pegaso tras el fallecimiento de su padre Alejandro "El Güero" Burillo Azcárraga (74 años, cáncer de piel) el 16-abril-2026. Mextenis opera el Abierto Mexicano de Tenis (ATP 500 Acapulco), WTA Guadalajara y Mexico Open Vidanta. Edición 2026 del AMT ya celebrada con Cobolli campeón. Transición patrimonial reciente: situación corporativa por monitorear de cerca.</t>
  </si>
  <si>
    <t>Alejandro Burillo Azcárraga (padre, fallecido 16-abr-2026); Álvaro Falla (Director Torneo); Geoffrey Fernández (DO AMT); Emilio Azcárraga Jean (primo, Televisa/Ollamani); Telcel/HSBC (sponsors); GS Sports Management (WTA GDL); Vidanta (sede Mexico Open)</t>
  </si>
  <si>
    <t>P-032</t>
  </si>
  <si>
    <t>Álvaro Falla</t>
  </si>
  <si>
    <t>Director del Torneo, Abierto Mexicano de Tenis (Mextenis)</t>
  </si>
  <si>
    <t>Operativo principal del torneo. Vocero principal de Mextenis hacia patrocinadores, ATP, WTA y autoridades de Acapulco/Guerrero. Gestionó la continuidad del torneo tras Hurricane Otis (2023) y la transición post-fallecimiento Burillo (abr-2026). Cara visible de la operación cotidiana del AMT.</t>
  </si>
  <si>
    <t>Renata Burillo (Pres. Consejo, jefa); ATP (Ali Nani supervisor); Geoffrey Fernández (DO); Hotel Princess Mundo Imperial (sede); Arena GNP Seguros (cancha)</t>
  </si>
  <si>
    <t>P-033</t>
  </si>
  <si>
    <t>Alejandra Maffey Tarazona</t>
  </si>
  <si>
    <t>CEO y Fundadora, Neta Agencia Deportiva (desde 2012); creadora de Deportium Congreso de Ciencias Aplicadas al Deporte</t>
  </si>
  <si>
    <t>Considerada una de las mujeres pioneras del marketing deportivo, representación de atletas y relaciones públicas en el deporte en México. Primera mujer mexicana con licencia de fútbol español por el Valencia CF. Ex-seleccionada nacional de natación (Centroamericanos y del Caribe). Neta representa 16 atletas de alto rendimiento incluyendo medallistas olímpicos como Aremi Fuentes, Eduardo Ávila, Donovan Carrillo y Tonatiu López. Servicios: marketing deportivo, RP, organización de eventos, programas de bienestar empresarial (Nutre tu Empresa), activaciones BTL.</t>
  </si>
  <si>
    <t>Atletas Neta (Aremi Fuentes, Eduardo Ávila, Donovan Carrillo, Tonatiu López, Tamara Vega); Valencia CF México (alianza); Comité Olímpico Mexicano (CON); Deportium Congreso (4 ediciones); marcas Bioderma, etc.; G100 México (red de mujeres líderes)</t>
  </si>
  <si>
    <t>P-034</t>
  </si>
  <si>
    <t>Arturo Olivé</t>
  </si>
  <si>
    <t>Director General, NFL México</t>
  </si>
  <si>
    <t>Decisor operativo de la NFL en México. Egresado UAnáhuac. Bajo su gestión se aseguró el regreso de partidos de temporada regular al Estadio Banorte por compromiso de tres años a partir de 2026 (anuncio formal feb-2026, primer partido confirmado 49ers como locales, dic-2026, oponente TBD). Lead del trabajo coordinado con Estadio Banorte, NFL Flag, programas comunitarios y los 10 equipos con derechos internacionales en MX (49ers, Cowboys, Cardinals, Raiders, Broncos, Texans, Chiefs, Rams, Dolphins, Steelers).</t>
  </si>
  <si>
    <t>Roger Goodell (Comisionado NFL, cargo superior); Al Guido (CEO 49ers, locales 2026); Estadio Banorte / Felix Aguirre (Host City Manager); 10 equipos con derechos MX</t>
  </si>
  <si>
    <t>P-035</t>
  </si>
  <si>
    <t>Rick Dudley</t>
  </si>
  <si>
    <t>CEO Global, Octagon (Interpublic Group)</t>
  </si>
  <si>
    <t>CEO de la agencia full-service de marketing y representación deportiva con presencia consolidada en MX. Decisor sobre estrategia regional y cartera de talento. POI global cargado por Score Compuesto altísimo (0.722) que refleja amplitud funcional excepcional en MX vía cartera de marcas patrocinadoras. POI MX operativo dedicado: pendiente registrar como Tier 2 cuando se confirme nombre del lead local.</t>
  </si>
  <si>
    <t>Interpublic Group (matriz); Casey Wasserman/THE·TEAM (competencia); Wasserman / IMG / Endeavor (competencia agencias V4); marcas patrocinadoras blue-chip</t>
  </si>
  <si>
    <t>P-036</t>
  </si>
  <si>
    <t>Carlos Arroyo Rico</t>
  </si>
  <si>
    <t>Director General, OXXO México (desde 19-nov-2024; transición completa 31-mar-2025)</t>
  </si>
  <si>
    <t>Sucesor de Carlos Arenas (40 años al frente de OXXO, jubilado mar-2025). Reporta directamente a JA Fernández Garza-Lagüera (CEO FEMSA Proximidad y Salud, ahora CEO FEMSA desde nov-2025). Líder operativo y comercial de la cadena de proximidad más grande de México (28,000+ tiendas). 25+ años de carrera en retail: ex-VP Senior y DG Walmart Centroamérica, VP Senior y COO Walmart México, DG Grupo Diagnóstico PROA, posiciones estratégicas en The Coca-Cola Company. ITESM + MBA ESADE. NOTA: Asensio Carrión no es DG OXXO; lidera Negocios Electrónicos y Financieros / Spin desde hace más de una década.</t>
  </si>
  <si>
    <t>JA Fernández Garza-Lagüera (CEO FEMSA, jefe directo); Carlos Arenas (predecesor jubilado); Rodrigo García Jacques (CEO Spin desde 2026); Asensio Carrión (Director Negocios Electrónicos y Financieros / Spin, distinto al cargo DG OXXO); Coca-Cola FEMSA; Heineken México (sister company); Boletomóvil (ticketing)</t>
  </si>
  <si>
    <t>P-037</t>
  </si>
  <si>
    <t>Daniel Sillman</t>
  </si>
  <si>
    <t>CEO, Relevent Sports Group</t>
  </si>
  <si>
    <t>CEO de Relevent (operador detrás del Soccer Champions Tour, partner comercial de la UEFA en Norteamérica, y el ecosistema de partidos amistosos premium en USA/MX). Relevent ha sido figura central en disputas sobre la celebración de partidos oficiales La Liga en USA (caso Barcelona-Villarreal), litigio activo con FIFA. Para MX, Relevent es operador clave de tours premium del Tri y de clubes europeos.</t>
  </si>
  <si>
    <t>Stephen Ross (founder/owner Relevent + Hard Rock Stadium); UEFA (partnership Norteamérica); FIFA (litigio); La Liga (deal partidos US); FMF/Selección Mexicana (tours amistosos); MLS (relación competitiva-cooperativa)</t>
  </si>
  <si>
    <t>P-038</t>
  </si>
  <si>
    <t>Stefan Felsing</t>
  </si>
  <si>
    <t>Group CEO, SPORTFIVE</t>
  </si>
  <si>
    <t>CEO global de SPORTFIVE (rights sales y agencia consultora con presencia activa en MX, particularmente en sponsorships, hospitality y media rights). Decisor último de la cartera global y de las decisiones estratégicas regionales. POI MX operativo dedicado: pendiente registrar como Tier 2 cuando se confirme nombre del lead local de la oficina mexicana.</t>
  </si>
  <si>
    <t>H.I.G. Capital (accionista controlador); marcas patrocinadoras europeas con presencia MX; clubes Liga MX (sponsorship deals); agencias rights sales competencia</t>
  </si>
  <si>
    <t>P-039</t>
  </si>
  <si>
    <t>Daniel Alegre</t>
  </si>
  <si>
    <t>CEO, TelevisaUnivision (desde 19 de septiembre de 2024)</t>
  </si>
  <si>
    <t>Decisor último de TelevisaUnivision, broadcaster con derechos centrales del WC26 en USA hispano y propietario de TUDN/ViX. Sustituyó a Wade Davis en sep-2024. Su mandato es acelerar la monetización de ViX y gestionar el ciclo WC26. Bajo su gestión Bernardo Gómez y Alfonso de Angoitia consolidaron la estructura Co-CEO de Grupo Televisa (ene-2026).</t>
  </si>
  <si>
    <t>Bernardo Gómez (Co-CEO Grupo Televisa); Alfonso de Angoitia (Co-CEO Grupo Televisa); Olek Loewenstein (Pres. Deportes y Noticias TUDN); Marco Liceaga (EVP Adquisición Derechos); Emilio Azcárraga Jean (accionista controlador post-reducción); FIFA (derechos WC26 hispano USA)</t>
  </si>
  <si>
    <t>P-040</t>
  </si>
  <si>
    <t>Olek Loewenstein</t>
  </si>
  <si>
    <t>Presidente Global de Deportes y Noticias, TelevisaUnivision (lidera TUDN)</t>
  </si>
  <si>
    <t>Responsable de la estrategia de derechos deportivos y producción de TUDN. Firmó la sublicencia con DAZN para FIFA Club World Cup 2025. Figura clave en la renovación del deal Liga MX global y en la integración de TUDN con ViX para WC26.</t>
  </si>
  <si>
    <t>Daniel Alegre (CEO, jefe); Marco Liceaga (EVP Adquisición Derechos); DAZN (sublicencia FIFA Club World Cup); Liga MX (deal renovación); FIFA (WC26)</t>
  </si>
  <si>
    <t>P-041</t>
  </si>
  <si>
    <t>Jorge Dionne</t>
  </si>
  <si>
    <t>Director General, Adidas México</t>
  </si>
  <si>
    <t>DG de la operación mexicana de adidas. Responsable directo de los deals con FMF (kit Selección USD 290M), Club América (firmado jul-2025) y Tigres UANL. Lideró el proceso de desplazamiento de Nike en el América. Bjørn Gulden (CEO global adidas AG) es el decisor último corporativo, pero Dionne es el operador del footprint MX. Cluster blue-chip con Liga MX, Selección y los dos clubes históricamente más ricos en kits.</t>
  </si>
  <si>
    <t>Bjørn Gulden (CEO global adidas AG); FMF (kit deal USD 290M, A-043); Club América (jul-2025, A-105); Tigres UANL (kit deal, A-018); Liga MX (apparel partner); Selección Mexicana (kit Tri, A-123); FIFA WC26 (sponsor global)</t>
  </si>
  <si>
    <t>P-042</t>
  </si>
  <si>
    <t>Eduardo Osuna Osuna</t>
  </si>
  <si>
    <t>Vicepresidente y Director General (CEO), BBVA México y Country Manager México (desde 2015); 56 años</t>
  </si>
  <si>
    <t>CEO del banco más grande de México por número de clientes y activos. En BBVA desde agosto 1994; ascendió por Banca Corporativa, recuperación de crédito, Hipotecaria Nacional (DG 2006-2010). Decisor último del patrocinio Liga BBVA MX (naming rights desde 2014, contrato vigente hasta 2028) y del Medio Maratón CDMX BBVA. Convención Bancaria mar-2026 en Cancún. Tragedia personal reciente: fallecimiento de su hijo Diego Osuna Miranda (17 años) en accidente Valle de Bravo (14-mar-2026).</t>
  </si>
  <si>
    <t>Enrique K. Cornish Stanton (CMO BBVA México, decisor sponsorship operativo); Mikel Arriola (Liga MX, contraparte naming rights); Pedro Esquivel (Rayados, contraparte renovaciones jul-2025); Estadio BBVA Monterrey (naming Rayados); Medio Maratón CDMX BBVA</t>
  </si>
  <si>
    <t>P-043</t>
  </si>
  <si>
    <t>Valentín Diez Morodo</t>
  </si>
  <si>
    <t>Presidente del Consejo, Grupo Toluca FC; co-fundador Grupo Modelo y patriarca de la propiedad de los Diablos Rojos del Toluca</t>
  </si>
  <si>
    <t>Decisor último del activo Toluca FC. Empresario de mayor peso patrimonial del fútbol mexicano (patrimonio combinado familia Diez ~USD 5B+ post-venta Modelo a AB InBev 2013). Bicampeón Liga MX Apertura 2025-Clausura 2026 (Toluca campeón nacional reciente). Una de las plazas más estables del fútbol mexicano. Estadio Nemesio Diez "La Bombonera" en remodelación. Compromisos institucionales con WC26 Mexico City (Toluca como base hub para selecciones).</t>
  </si>
  <si>
    <t>Familia Diez (co-fundadora Grupo Modelo, ahora AB InBev); Hernán Cristante (entrenador histórico); Mikel Arriola (Liga MX); Estadio Nemesio Diez; ABInBev (Corona, sponsor); Comité G8 Liga MX (Toluca como uno de los clubes G8)</t>
  </si>
  <si>
    <t>P-044</t>
  </si>
  <si>
    <t>Mikel Arriola Peñalosa</t>
  </si>
  <si>
    <t>Comisionado FMF y Comisionado Presidente Liga MX (consultar también P-005 cargado bajo A-043); decisor central WC26 México</t>
  </si>
  <si>
    <t>Decisor político-institucional del esquema mexicano para el Mundial 2026. Coordina los tres comités organizadores locales (CDMX, Guadalajara, Monterrey) con FIFA. Tres sedes mexicanas: Estadio Banorte/Azteca CDMX (5 partidos incluyendo opening match Mexico-South Africa 11-jun-2026 y Round of 16 5-jul-2026), Estadio Akron Guadalajara (4 partidos), Estadio BBVA Monterrey (4 partidos + Round of 32). Guadalajara y Monterrey también sedes Play-Off Tournament 23-31 marzo 2026 (6 selecciones). POI ya cargado bajo A-043; cross-reference para A-027.</t>
  </si>
  <si>
    <t>Gianni Infantino (Presidente FIFA); Ivar Sisniega (Pres. Ejecutivo FMF); Francisco Iturbide (Pres. operativo Liga MX, ya cargado P-030); Comités organizadores CDMX/GDL/MTY; Chief Tournament Officer FIFA WC26 México (POI sin nombre verificado); Host City Managers (POIs por verificar)</t>
  </si>
  <si>
    <t>P-045</t>
  </si>
  <si>
    <t>Carlos Álvarez Bermejillo</t>
  </si>
  <si>
    <t>Presidente Ejecutivo, Laboratorios PiSA (desde fundación, hijo del fundador Miguel Álvarez Ochoa); 87 años; lugar 100 ranking 100 empresarios más importantes de México (Expansión 2024)</t>
  </si>
  <si>
    <t>Decisor último del conglomerado farmacéutico PiSA y de la marca Electrolit. Patrimonio estimado ~USD 900M. PiSA: 14 plantas de producción en MX, 20,000 empleados, 1,500+ marcas farmacéuticas. Electrolit es marca lider del mercado de hidratación deportiva en MX, top-5 en USA tras deal con Keurig Dr Pepper (oct-2023) que distribuye en USA. Riesgo regulatorio crítico: Paquete Económico 2026 incluye propuesta para gravar Electrolit con IVA/IEPS (~5,000 mdp en juego); diputados acusan ventaja fiscal por registro como medicamento.</t>
  </si>
  <si>
    <t>Caridad Ochoa (Pres. &amp; CEO Electrolit USA); Keurig Dr Pepper (distribución USA); Coparmex Jalisco (ex-presidente); Cámara de Comercio Guadalajara; Edgar Amador Zamora (Hacienda, propuesta IEPS); Medio Maratón Internacional Guadalajara Electrolit (sponsor titular evento)</t>
  </si>
  <si>
    <t>P-046</t>
  </si>
  <si>
    <t>Antonio Cosío Pando</t>
  </si>
  <si>
    <t>Propietario, Estadio Ciudad de los Deportes (EAR / ex-Estadio Azul) y Plaza de Toros México; familia Cosío</t>
  </si>
  <si>
    <t>Decisor patrimonial del Estadio Ciudad de los Deportes (capacidad 32,904) y del recinto vecino Plaza de Toros México. La operación día a día está cedida a OCESA (CIE/Soberón, A-020 cross-ref). El estadio ha sido casa rotatoria de Cruz Azul, Atlante, Club América (durante remodelación Estadio Banorte/Azteca para WC26) y otros. En nov-2024 fue clausurado temporalmente por la alcaldía Benito Juárez por incumplir protocolo de protección civil cuando se realizaron eventos simultáneos en estadio y Plaza de Toros. Familia Cosío también con presencia en hoteles de lujo en Acapulco e Ixtapa.</t>
  </si>
  <si>
    <t>Moisés Cosío (familia, co-propietario histórico); OCESA / CIE (operador, A-020); Alejandro Soberón Kuri (CEO CIE, A-020); Cruz Azul (ex-inquilino, A-029); Club América (uso temporal durante remodelación Estadio Banorte); Atlante FC (uso); Plaza de Toros México (mismo recinto)</t>
  </si>
  <si>
    <t>P-047</t>
  </si>
  <si>
    <t>Carlos Slim Helú</t>
  </si>
  <si>
    <t>Presidente Honorario Vitalicio, Grupo Carso (Telmex, América Móvil/Telcel, Sanborns, Sears, IDEAL, etc.); patrimonio Forbes USD 125,300M, lugar 16 mundial 2026</t>
  </si>
  <si>
    <t>Decisor último del conglomerado Carso. Patrocinador estructural del ecosistema sports MX vía Telcel: Selección Mexicana de Fútbol (sponsor titular desde 1997), Maratón CDMX Telcel, Abierto Mexicano de Tenis Telcel, Telmex F1 GP México (sponsorship histórico). También controla TelmexHub y diversas marcas en eventos masivos. POI ya cargado bajo A-087 Maratón CDMX Telcel; cross-reference para A-041.</t>
  </si>
  <si>
    <t>Marco Antonio Slim Domit (hijo, Pres. Inbursa); Carlos Slim Domit (hijo, Pres. Telmex); Patrick Slim Domit (hijo, América Móvil); Selección Mexicana (Telcel sponsor histórico); GP México F1 (Telmex sponsor); AMT (Telcel título); Maratón CDMX Telcel; Alfredo Harp Helú (primo, A-059)</t>
  </si>
  <si>
    <t>P-048</t>
  </si>
  <si>
    <t>Carlos Martínez</t>
  </si>
  <si>
    <t>EVP &amp; MD, Fox Corporation Latin America</t>
  </si>
  <si>
    <t>Ejecutivo regional que lideró la adquisición de Caliente TV (junio 2025) por parte de Fox Corp y la construcción del triple stack en MX (FOX Sports vía Lauman + FOX One + Tubi MX free streaming). Tubi México distribuye Liga MX Femenil (10 equipos), Tour de Francia, Liga MX masculina selecta. Decisor último de la estrategia FOX en MX/LatAm, incluyendo derechos deportivos y la integración de la cartera Caliente TV.</t>
  </si>
  <si>
    <t>Lachlan Murdoch (CEO Fox Corp); Eric Alvarez (líder México operativo, por confirmar nombre); Caliente TV (adquirida jun-2025); FOX Sports MX/Grupo Lauman (relación licenciataria); Tubi (free streaming); Liga MX Femenil (10 equipos en Tubi)</t>
  </si>
  <si>
    <t>P-049</t>
  </si>
  <si>
    <t>Manuel Arroyo</t>
  </si>
  <si>
    <t>Presidente, Grupo Lauman (matriz Fox Sports México, El Financiero, Comtelsat)</t>
  </si>
  <si>
    <t>Compró Fox Sports México a The Walt Disney Company en mayo 2021 por más de USD 300M (forced divestment IFT post-fusión Disney/21st Century Fox). Grupo Lauman también controla El Financiero (periódico), Comtelsat (broadcast/telecom) y El Financiero Bloomberg TV. CRISIS OPERATIVA EN CURSO MAY-2026: Fox Sports MX en deterioro acelerado tras perder UFC a Paramount (oct-2025), recortes masivos de 70+ empleados (nov-dic 2025), salidas de Alberto Lati y Raúl Orvañanos (figuras históricas), señales removidas de MEGA cable (ene-2026), migración de contenido a nuevo Fox One de Fox Corporation. Activo en deterioro estructural.</t>
  </si>
  <si>
    <t>Grupo Lauman (matriz); El Financiero (periódico hermana); Comtelsat (broadcast/telecom hermana); Fox Corporation (rival post-spinoff con Caliente TV/Fox One nuevo, Carlos Martínez EVP LatAm); Paramount/Skydance (ganador rights UFC); IFT (regulatorio histórico); Disney (vendedor 2021); ecosistema rights deportivos en deterioro (NFL, MLB, F1, NASCAR, Premier League, Concacaf Champions Cup, Liga MX)</t>
  </si>
  <si>
    <t>P-050</t>
  </si>
  <si>
    <t>Luis Cervantes</t>
  </si>
  <si>
    <t>Managing Director y Head Oficina CDMX, General Atlantic</t>
  </si>
  <si>
    <t>Deal partner principal del deal General Atlantic - Ollamani (USD 490M EV, dic-2025) desde la oficina CDMX (abierta 2015). Contraparte directa con Emilio Azcárraga Jean en la negociación. Identificado en comunicados oficiales del deal. GA con Martín Escobari como Co-President y Chairman del Investment Committee LATAM. Cross-ref: ya identificado en legacy POI-V9-001.</t>
  </si>
  <si>
    <t>Martín Escobari (Co-President GA, Chairman Investment Committee, autoridad máxima LATAM); Emilio Azcárraga Jean (counterparty Ollamani, A-105 ya cargado); Ollamani (deal vehicle); Ferran Reverter (DG CDA, ya cargado P-012)</t>
  </si>
  <si>
    <t>P-051</t>
  </si>
  <si>
    <t>Mark Locke</t>
  </si>
  <si>
    <t>CEO y Co-Founder, Genius Sports Limited (NYSE: GENI)</t>
  </si>
  <si>
    <t>CEO global de Genius Sports, líder mundial en data sports y betting integrity. Genius MX trabaja con Liga MX en datos de partidos y con Caliente.mx en betting feeds. Empresa cotiza NYSE con valuación ~USD 1.5B+. Mandato global incluye NFL, FIBA y otras ligas. POI MX operativo dedicado: pendiente registrar como Tier 2 cuando se confirme nombre del lead local de la oficina mexicana.</t>
  </si>
  <si>
    <t>NFL (cliente clave); FIBA; Liga MX (data partner); Caliente.mx (betting); ecosistema iGaming MX; H.I.G. Capital (similar a Sportfive en estructura PE)</t>
  </si>
  <si>
    <t>P-052</t>
  </si>
  <si>
    <t>Jorge Hank Rhon</t>
  </si>
  <si>
    <t>Dueño, Grupo Caliente / Caliente.mx; ex-gobernador Baja California</t>
  </si>
  <si>
    <t>Mayor poder comercial unilateral en Liga MX vía apuestas. Caliente.mx es la plataforma sportsbook más grande de MX. Vendió Querétaro a Innovatio (Spiegel) en jul-2025 por USD 120M; conserva Tijuana Xolos (con su hijo Jorge Alberto Hank Inzunza como propietario formal). Caliente TV vendida a Fox Corp en jun-2025 (Carlos Martínez, A-047). Marca presente en jerseys de la mayoría de equipos Liga MX, NFL México, F1 MX y eventos premium.</t>
  </si>
  <si>
    <t>Jorge Alberto Hank Inzunza (hijo, propietario formal Xolos); Marc Spiegel (comprador Querétaro, ya cargado A-076); Carlos Martínez (Fox Corp, comprador Caliente TV); Fernanda Sainz (Directora Comercial Caliente Sport); ecosistema patrocinios MX (Caliente jersey deals)</t>
  </si>
  <si>
    <t>P-053</t>
  </si>
  <si>
    <t>Daniel Chávez Morán</t>
  </si>
  <si>
    <t>Presidente Fundador, Grupo Vidanta</t>
  </si>
  <si>
    <t>Founder y propietario del conglomerado turístico mexicano más grande con resorts en Vallarta, Mayan Riviera, Los Cabos, Acapulco. Dueño de Vidanta Golf (PGA Tour Latinoamérica sede en MX), Mexico Open at Vidanta (PGA Tour evento oficial USD 9.2M purse 2026). Cirque du Soleil Vidanta (alianza). Inversión sports significativa: Vidanta Park resort en Vallarta, sede de Cirque du Soleil JOYÀ. Sponsor titular en eventos premium MX.</t>
  </si>
  <si>
    <t>Vidanta Group (matriz); PGA Tour (Mexico Open sanción); Cirque du Soleil (alianza JOYÀ); Mauricio Kuri (gobernador Querétaro, vínculo proyectos); Mextenis (Mexico Open Vidanta hosting)</t>
  </si>
  <si>
    <t>P-054</t>
  </si>
  <si>
    <t>Gustavo Santoscoy Arriaga</t>
  </si>
  <si>
    <t>Presidente y Fundador, GS Sports Management</t>
  </si>
  <si>
    <t>Único promotor privado en México con portafolio WTA multi-torneo construido desde cero. Origen político en Zapopan. GS Sports opera el WTA 500 Guadalajara (con Akron como title sponsor histórico) y otros eventos en alianza con Octagon (A-104) y CODE Jalisco. Pieza clave del ecosistema tenis MX junto con Mextenis (A-096) y HG Promotores (A-071).</t>
  </si>
  <si>
    <t>WTA (alianza institucional); Octagon (A-104, alianza operativa); Gobierno Zapopan; CODE Jalisco; Santiago Martínez de la Torre / Akron (title sponsor WTA GDL); Mextenis (A-096, ecosistema tenis MX)</t>
  </si>
  <si>
    <t>P-055</t>
  </si>
  <si>
    <t>Stephen M. Ross</t>
  </si>
  <si>
    <t>Founder y Chairman, Related Companies; Owner, Miami Dolphins y Hard Rock Stadium</t>
  </si>
  <si>
    <t>Decisor último del Hard Rock Stadium (Miami Gardens, FL), sede WC26 con 7 partidos incluyendo cuartos de final y bronze final. Owner de Miami Dolphins (NFL). También founder de Relevent Sports Group (operador del Soccer Champions Tour y partner UEFA en Norteamérica), conexión directa con A-116 ya cargado. Patrimonio Forbes ~USD 11B. Influencia estructural en el ecosistema sports USA via Dolphins, Hard Rock Stadium, Relevent y RSE Ventures.</t>
  </si>
  <si>
    <t>Daniel Sillman (CEO Relevent, ya cargado A-116); Tom Garfinkel (Vice Chairman, Pres. y CEO Miami Dolphins y Hard Rock); James F. Allen (Chairman Hard Rock International); FIFA WC26 Miami Host Committee; UEFA (Relevent partnership); Related Companies</t>
  </si>
  <si>
    <t>P-056</t>
  </si>
  <si>
    <t>Etienne Strijp</t>
  </si>
  <si>
    <t>Presidente, HEINEKEN México (Cervecería Cuauhtémoc Moctezuma)</t>
  </si>
  <si>
    <t>CEO de la operación mexicana de Heineken (post-venta FEMSA 2010). Lidera la cartera Tecate, Heineken, Indio, Sol, Bohemia, Dos Equis. Patrocinador estructural Selección Mexicana (Heineken, Tecate), Liga MX (Tecate Light naming rights cartera), F1 GP México (Heineken sponsor global F1), NFL México (Tecate). Compromisos sustanciales con WC26 vía Heineken (sponsor global FIFA WC). POI por reconfirmar nombre Strijp antes de presentación (cargo regional con rotación).</t>
  </si>
  <si>
    <t>FEMSA (vendedor 2010, sister company via JA Fernández Garza-Lagüera); Selección Mexicana; Liga MX; F1 GP México; NFL México (Tecate sponsor); FIFA WC26 (Heineken global sponsor); Mikel Arriola</t>
  </si>
  <si>
    <t>P-057</t>
  </si>
  <si>
    <t>Hernán Garza Echavarría</t>
  </si>
  <si>
    <t>Director General Fundador, HG Promotores en Deporte y Entretenimiento (desde 1976)</t>
  </si>
  <si>
    <t>Arquitecto del tenis profesional en Nuevo León. Amistad histórica con Lamar Hunt (founder ATP/WCT), vínculo que ancla la programación tenis MTY. HG Promotores opera el WTA Monterrey (con GNP Seguros como naming rights) y otros eventos premium NL. Operador veterano (~50 años) de eventos deportivos en México.</t>
  </si>
  <si>
    <t>WTA (alianza histórica); GNP Seguros (naming rights WTA Monterrey, A-actor potencial); Club Sonoma (sede tradicional); Lamar Hunt (legado, founder ATP); Gobierno NL; Mextenis (A-096) y GS Sports (A-067) en ecosistema tenis MX</t>
  </si>
  <si>
    <t>P-058</t>
  </si>
  <si>
    <t>Founder y Director, Jump SMS (Jump Sportainment Solutions); actualmente Head Fuse México (cross-ref A-049)</t>
  </si>
  <si>
    <t>Cara pública de la consultora Jump SMS. Columnista NEO. Tras lanzar el brazo Jump Sportainment, fue reclutado por Omnicom Media Group para liderar el lanzamiento de Fuse México en 2026 (cross-ref A-049, P-019). Jump SMS continúa operativo bajo su dirección y mantiene clientes Liga MX. Doble sombrero ejecutivo entre la consultora propia y la red global Fuse/OMG.</t>
  </si>
  <si>
    <t>Fuse México / Omnicom Media Group (head, A-049); Johan Cruyff Institute (alianza académica); Clubes Liga MX (clientes); NEO Magazine (columnista); ecosistema agencias V4-V5 MX</t>
  </si>
  <si>
    <t>P-059</t>
  </si>
  <si>
    <t>Presidente Honorario Vitalicio, Grupo Carso; controlador, América Móvil/Telcel (sponsor titular Maratón CDMX Telcel)</t>
  </si>
  <si>
    <t>Patrocinador titular del Maratón de la Ciudad de México Telcel, evento más importante de running urbano en MX y uno de los maratones más grandes de Latinoamérica (26,000+ corredores). Decisor último de la decisión sponsor; el evento es operado por INDEPORTE CDMX en sociedad con Telcel. Slim también ancla el ecosistema sports MX via patrocinio Selección Mexicana (Telcel desde 1997), Memorial Cup MLB y otras propiedades. POI también cargado bajo A-041 Carso. Patrimonio Forbes USD 125,300M, lugar 16 mundial.</t>
  </si>
  <si>
    <t>Marco Antonio Slim Domit (hijo, Pres. Inbursa); INDEPORTE CDMX (operador maratón); Selección Mexicana (sponsor histórico); Maratón CDMX (organización); WC26 (Telcel patrocinador clave)</t>
  </si>
  <si>
    <t>P-060</t>
  </si>
  <si>
    <t>Enrique K. Cornish Stanton</t>
  </si>
  <si>
    <t>CMO, BBVA México; decisor del sponsorship Medio Maratón CDMX BBVA</t>
  </si>
  <si>
    <t>Vocero principal de la estrategia "banco del deporte" de BBVA México. Decisor del patrocinio Medio Maratón CDMX BBVA (uno de los half-marathons más grandes de Latinoamérica). Contraparte directa con Mikel Arriola en renovación naming rights Liga MX (vigente hasta 2028) y con Pedro Esquivel en Estadio BBVA Monterrey. Reporta a Eduardo Osuna Osuna (CEO BBVA México, ya cargado P-018X).</t>
  </si>
  <si>
    <t>Eduardo Osuna Osuna (CEO BBVA México, ya cargado A-010); Mikel Arriola (Liga BBVA MX); Pedro Esquivel Ayanegui (Rayados/Estadio BBVA); INDEPORTE CDMX (operador); Maratón CDMX (Telcel, evento hermano)</t>
  </si>
  <si>
    <t>P-061</t>
  </si>
  <si>
    <t>Presidente Ejecutivo PiSA Farmacéutica; sponsor titular Medio Maratón Internacional Guadalajara Electrolit</t>
  </si>
  <si>
    <t>Decisor del sponsorship titular Electrolit en el Medio Maratón Internacional Guadalajara, evento running más importante de Jalisco. Vínculo natural con la sede tapatía de PiSA. POI ya cargado bajo A-033; cross-reference para A-093.</t>
  </si>
  <si>
    <t>PiSA Farmacéutica (matriz); Gobierno Jalisco; CODE Jalisco; Medio Maratón GDL Electrolit (organización)</t>
  </si>
  <si>
    <t>P-062</t>
  </si>
  <si>
    <t>Carolina Leconte</t>
  </si>
  <si>
    <t>VP Content, Netflix México y LatAm</t>
  </si>
  <si>
    <t>Firmó el deal Concacaf con Netflix el 14-abril-2026 (Copa Oro y Concacaf Nations League Finals 2027-2029), el primer acuerdo deportivo exclusivo de Netflix en México. Arquitecta de la estrategia deportiva de Netflix en LatAm. Esto rompe la tradición de Netflix de no entrar a sports rights en vivo en MX y abre un ciclo nuevo de competencia con TelevisaUnivision, Disney+ y FOX por derechos Concacaf.</t>
  </si>
  <si>
    <t>Concacaf (deal Copa Oro + Nations League Finals 2027-2029); FMF (A-043); TelevisaUnivision (competencia, A-137); ESPN/Disney+ (competencia, A-036); Bela Bajaria (Chief Content Officer Netflix global)</t>
  </si>
  <si>
    <t>P-063</t>
  </si>
  <si>
    <t>Carlos Ponce de León</t>
  </si>
  <si>
    <t>Director General, RÉCORD Diario Deportivo (Autflo S.A. de C.V.)</t>
  </si>
  <si>
    <t>Director general de RÉCORD, diario deportivo mexicano fundado en 2002. Circulación 105,339 ejemplares diarios L-S y 87,677 dominicales (registro oficial SIC). Multiplataforma con sitio web, ediciones impresas Ciudad de México, Guadalajara y Monterrey, redes sociales con 4.6M+ seguidores Facebook y 1.5M TikTok. Editorialmente con concepto de "infoentretenimiento", crítico, con amplio despliegue fotográfico. Operada por Autflo S.A. de C.V. Diana Pérez aparece como Director (registro SIC, posiblemente cargo distinto a DG corporativo) y Oscar Caliz como Jefe de Redacción.</t>
  </si>
  <si>
    <t>Autflo S.A. de C.V. (matriz); Diana Pérez (Director cargo SIC); Oscar Caliz (Jefe de Redacción); David Medrano, Antonio Moreno, El Hijo del Santo (columnistas históricos); Mediotiempo (competencia, A-094); ESTO/OEM (competencia); Caliente.mx (sponsor)</t>
  </si>
  <si>
    <t>P-064</t>
  </si>
  <si>
    <t>Álvaro Taracena y Jan Peters</t>
  </si>
  <si>
    <t>Co-Founders, Victum Sports (propietaria franquicia HYROX Iberia y México); Smart Fit como naming partner exclusivo</t>
  </si>
  <si>
    <t>Victum Sports es el OPERADOR LICENCIATARIO de HYROX en Iberia y México. Jan Peters es además Co-Founder histórico de HYROX en Alemania. Crecimiento explosivo MX: primer evento abr-2024 CDMX 2,800 atletas → MTY 2026 sold-out 10,800 atletas en 2 días (21,000 m2, 25,000 espectadores). TEMPORADA 25-26 PROYECTADA: 5 eventos (vs 3 anterior), 11+ días de competición, +45,000 atletas (vs 13,000). Nuevas sedes Acapulco y Puebla; consolidación CDMX, GDL, MTY. Smart Fit (A-128 Edgard Corona) es naming partner exclusivo MX. Modelo de category creation reconocido por Fast Company entre 50 Most Innovative Companies in the World 2024. Equipo MX clave: Nuño Pérez-Pla de Alvear, Alan Benabib, Adriana Pedrayes, Christian Scherf, Gina Jiménez.</t>
  </si>
  <si>
    <t>HYROX HQ Hamburg (matriz; Christian Toetzke Co-Founder; Douglas Gremmen, Maja Janzen, Jochen Möller board); Smart Fit (naming partner exclusivo MX, A-128 Edgard Corona); Nuño Pérez-Pla de Alvear (lead MX); Christian Scherf (HYROX MX); Centr (partnership Centr x HYROX equipment); Velites (comba oficial HYROX); FIBO (presencia ferial); cluster fitness/wellness MX (Sport City, Sports World)</t>
  </si>
  <si>
    <t>P-065</t>
  </si>
  <si>
    <t>Casey Wasserman</t>
  </si>
  <si>
    <t>Founder y Chairman, THE·TEAM (rebrand de Wasserman, marzo 2026); Chairman LA28 Olympic &amp; Paralympic Games; CEO Wasserman Foundation</t>
  </si>
  <si>
    <t>Founder de la agencia de sports &amp; entertainment marketing, rebautizada como THE·TEAM en marzo 2026 tras la presencia de Casey Wasserman en los Epstein Files (estigma reputacional severo). Providence Equity como accionista mayoritario apoya el sales process activo (Moelis como advisor; bidders en proceso de licitación formal por la totalidad o piezas de la agencia). Casey conserva la presidencia de LA28 (Olímpicos 2028). La oficina mexicana opera como rama LATAM con SVP Latin America (POI MX por confirmar antes de presentación).</t>
  </si>
  <si>
    <t>Providence Equity (accionista mayoritario); LA28 (Wasserman Chairman); Kathy Carter (CEO LA28); IOC; SVP Latin America Wasserman/THE·TEAM (POI MX por confirmar); Moelis (advisor del sale process); Activision; Vox Media (boards)</t>
  </si>
  <si>
    <t>P-066</t>
  </si>
  <si>
    <t>Al Tylis</t>
  </si>
  <si>
    <t>CEO, Apollo Sports Capital (ASC); también co-owner Club Necaxa (cross-ref A-021)</t>
  </si>
  <si>
    <t>CEO de Apollo Sports Capital, vehículo lanzado en sept-2025 con USD 6,000M de capital comprometido para inversiones en sports y live events. Al Tylis ya tiene historia operativa en MX como co-owner del Club Necaxa con Eva Longoria, Reynolds y McElhenney (cross-ref A-021 P-080). Apollo Global con USD 938 mil millones AUM. Recientes deals ASC: Atlético de Madrid (mar-2026, mayoritario), Pickleball Inc/PPA Tour/MLP USD 225M (may-2026 con Tom Dundon). Marc Rowan (CEO Apollo) prevé USD 30-50 mil millones de oportunidades de origination del ecosistema sports.</t>
  </si>
  <si>
    <t>Marc Rowan (CEO Apollo Global, A-005 cluster); Rob Givone y Lee Solomon (Co-Portfolio Managers ASC); Sam Porter (Chief Strategy Officer ASC); Apollo Global Management (matriz USD 938B AUM); Club Necaxa (A-021 cross-ref P-080); Atlético de Madrid (deal mar-2026); Tom Dundon/Dundon Capital (co-investor pickleball)</t>
  </si>
  <si>
    <t>P-067</t>
  </si>
  <si>
    <t>Eddy Cue</t>
  </si>
  <si>
    <t>SVP Services, Apple Inc. (responsable Apple TV+ y Apple TV); decisor último de los deals Apple TV con MLS Season Pass y Leagues Cup</t>
  </si>
  <si>
    <t>Decisor último de Apple TV en sports rights. Apple TV es titular global del MLS Season Pass (incluyendo Leagues Cup, torneo MLS-Liga MX donde participan los 18 clubes mexicanos cada verano). Deal MLS 10 años USD 2.5 mil millones (2023-2032). Lionel Messi factor multiplicador. Apple no tiene deals MX-only de derechos, pero la Leagues Cup es eje central de la presencia mexicana en su parrilla.</t>
  </si>
  <si>
    <t>Tim Cook (CEO Apple); Don Garber (Comisionado MLS, contraparte deal); Mikel Arriola (Liga MX, contraparte Leagues Cup); Lionel Messi (Inter Miami, factor demanda); MLS Season Pass</t>
  </si>
  <si>
    <t>P-068</t>
  </si>
  <si>
    <t>Carlos Hank González</t>
  </si>
  <si>
    <t>Presidente del Consejo de Administración, Grupo Financiero Banorte; familia Hank Rhon (relacionado A-058 Caliente)</t>
  </si>
  <si>
    <t>Decisor último del banco con capitalización USD 26,100M y 15.3% market share MX (segundo más grande). Compra del naming del Estadio Banorte (ex-Azteca, valuado USD 1B+ deal anunciado 2024) ahora en controversia: FIFA decidió que el nombre oficial WC26 será "Estadio Ciudad de México", no Banorte. Tensión política con Sheinbaum (que dijo "para mí siempre será el Estadio Azteca"). Cluster operativo Ollamani-América-Banorte ya cargado vía A-105 (Reverter, Azcárraga Jean). RappiCard adquirido 100% en 2024.</t>
  </si>
  <si>
    <t>Marcos Ramírez Miguel (DG GFB); Carla Juan Chelala (CMO Banorte); Emilio Azcárraga Jean (deal Estadio Banorte/Ollamani, A-105); Sheinbaum (tensión política nombre estadio); Familia Hank (Jorge Hank Rhon es hermano, A-058); Bineo (digital bank); RappiCard</t>
  </si>
  <si>
    <t>P-069</t>
  </si>
  <si>
    <t>Jesper Søgaard</t>
  </si>
  <si>
    <t>CEO y Co-Founder, Better Collective A/S (NASDAQ Stockholm: BETCO)</t>
  </si>
  <si>
    <t>CEO global del mayor publisher de sports media y betting tips del mundo. Better Collective opera Futbol Sites (incluyendo Bolavip, Pulzo, World Soccer Talk en MX/LATAM) tras adquisición 2021. Marcas en MX: Bolavip, World Soccer Talk en español. Modelo de negocio integrado con sportsbooks (incluyendo Caliente.mx). Capitalización ~USD 1.2B+. Vínculo activo con ecosistema apuestas regulado y no regulado MX.</t>
  </si>
  <si>
    <t>Christian Kirk Rasmussen (Co-Founder, Co-CEO); Futbol Sites (subsidiaria LATAM); Bolavip (marca MX); Caliente.mx (sportsbook partnership potencial); Codere Online (competencia)</t>
  </si>
  <si>
    <t>P-070</t>
  </si>
  <si>
    <t>Walter González Domenzain</t>
  </si>
  <si>
    <t>CEO y Cofundador, Boletomóvil</t>
  </si>
  <si>
    <t>Doctor en Ingeniería Electrónica por Cambridge; arquitecto del producto y responsable de la relación con fondos VC y Redwood Ventures. Boletomóvil ha consolidado cuentas ancla con Chivas (Amaury Vergara) y Sinergia Deportiva (Tigres), posicionándose como competidor estructural de Ticketmaster MX y Superboletos en el ticketing primario deportivo.</t>
  </si>
  <si>
    <t>Amaury Vergara (Chivas, cuenta ancla, A-061); Sinergia Deportiva / Tigres (cuenta ancla, A-018); Redwood Ventures (VC); Ticketmaster MX (competencia, A-020); Superboletos / Avalanz (competencia, A-056)</t>
  </si>
  <si>
    <t>P-071</t>
  </si>
  <si>
    <t>Saúl "Canelo" Álvarez Barragán</t>
  </si>
  <si>
    <t>Founder, Canelo Promotions (lanzada 2026); boxeador profesional supermediano</t>
  </si>
  <si>
    <t>Boxeador más importante de México (3.5+ millones de PPV, USD 350M+ en bolsas). Lanzó Canelo Promotions en 2026 tras perder cinturones supermediano vs Terence Crawford (sep-2025) y firmar contrato global con Turki Alalshikh (PIF/Saudi General Entertainment Authority). Primera cartelera Canelo Promotions: "México contra el Mundo", 12-sept-2026 en Riyadh, Arabia Saudita, vs probable Lester Martínez. Crawford se retiró dejando vacantes los cinturones supermediano. Eddy Reynoso sigue como entrenador.</t>
  </si>
  <si>
    <t>Turki Alalshikh (Chairman Saudi General Entertainment Authority y dueño Ring Magazine, partner global); Eddy Reynoso (entrenador); Mauricio Sulaimán (Pres. CMB, A-147); PIF Saudi Arabia (financiador indirecto); Terence Crawford (rival sep-2025, retirado); Lester Martínez (próximo rival probable); David Benavidez (rival pendiente light heavyweight)</t>
  </si>
  <si>
    <t>P-072</t>
  </si>
  <si>
    <t>Co-owner y operador, Club Necaxa; partner principal de Eva Longoria, Ryan Reynolds, Rob McElhenney y Mesut Özil</t>
  </si>
  <si>
    <t>Inversor estadounidense que lideró la entrada de Eva Longoria al Club Necaxa, expandiendo posteriormente con Ryan Reynolds y Rob McElhenney (Wrexham AFC) y Mesut Özil (futbolista alemán retirado). Tylis es CEO de Sports Global Management. Necaxa con sede Aguascalientes, multipropiedad consorciada (no individual). Modelo Wrexham aplicado al fútbol mexicano: storytelling/documental + activos tradicionales (jugadores, infraestructura).</t>
  </si>
  <si>
    <t>Eva Longoria (co-owner, embajadora); Ryan Reynolds (co-owner, Wrexham); Rob McElhenney (co-owner, Wrexham); Mesut Özil (co-owner); Sports Global Management; Wrexham AFC (sister club); Estadio Victoria</t>
  </si>
  <si>
    <t>P-073</t>
  </si>
  <si>
    <t>Louis Balat</t>
  </si>
  <si>
    <t>Director General, Coca-Cola México (desde 1-nov-2025); originario de Tampico, Tamaulipas, 28 años en el Sistema Coca-Cola</t>
  </si>
  <si>
    <t>Sustituyó a Luis Felipe Avellar al frente de Coca-Cola México el 1-nov-2025. Coordina las operaciones con los ocho socios embotelladores (Coca-Cola FEMSA, Arca Continental y otros) que integran la Industria Mexicana de Coca-Cola, la cual aporta cerca del 2% del PIB nacional y genera ~1.7 millones de empleos directos e indirectos. Llega en un entorno fiscal complicado: el Paquete Económico 2026 duplicó el IEPS sobre bebidas azucaradas de 1.64 a 3.08 pesos por litro. Henrique Braun, antes EVP COO de Coca-Cola Company y patrón directo de Balat, ascendió a CEO global de Coca-Cola Company el 31-mar-2026 sustituyendo a James Quincey.</t>
  </si>
  <si>
    <t>Henrique Braun (CEO global Coca-Cola Company desde 31-mar-2026); James Quincey (Executive Chairman); Coca-Cola FEMSA (Cuauhtémoc Saro CEO MX, embotellador clave); Arca Continental (embotellador); Selección Mexicana (Powerade sponsor); F1 GP México; Maratón Powerade Monterrey (A-088); Liga MX Femenil (Powerade Light)</t>
  </si>
  <si>
    <t>P-074</t>
  </si>
  <si>
    <t>Aviv Sher</t>
  </si>
  <si>
    <t>CEO, Codere Online</t>
  </si>
  <si>
    <t>CEO de la operación online de Codere. Responsable del deal de jersey con Rayados y Rayadas Femenil, y de la expansión en México y LatAm. Codere Online compite directamente con Caliente.mx y plataformas internacionales en el mercado de apuestas online regulado mexicano.</t>
  </si>
  <si>
    <t>CF Monterrey / Rayados (jersey deal, A-018 cluster MTY); Rayadas Femenil; LMB; Caliente.mx (competencia, A-058); Better Collective / Bolavip (competencia, A-011); Codere SA (matriz España)</t>
  </si>
  <si>
    <t>P-075</t>
  </si>
  <si>
    <t>Víctor Manuel Velázquez Rangel</t>
  </si>
  <si>
    <t>Presidente del Consejo de Administración, Cooperativa La Cruz Azul S.C.L. y Presidente del Club Cruz Azul (desde abril 2021)</t>
  </si>
  <si>
    <t>Decisor del activo Cruz Azul tras la salida de Guillermo "Billy" Álvarez (2020). También Pres. Consejo Superior del Cooperativismo (Cosucoop) desde feb-2024. Logros recientes: Liga MX 2021 (rompiendo sequía 23 años), Supercopa 2022, Concachampions 2025. Recuperación planta cemento Hidalgo Tula de Allende feb-2026 (5 años "secuestrada"). Estadio Olímpico Universitario sede provisional tras salida Estadio Azul, regreso a sede propia en construcción.</t>
  </si>
  <si>
    <t>Iván Alonso (Director Deportivo); Martín Anselmi (DT, hasta hace poco); Guillermo "Billy" Álvarez (predecesor histórico, en disputa legal); Cooperativa La Cruz Azul S.C.L. (cementera matriz); Estadio Olímpico Universitario (sede provisional, A-039); CONACAF Champions Cup (Concachampions 2025)</t>
  </si>
  <si>
    <t>P-076</t>
  </si>
  <si>
    <t>Aníbal Fájer Sade</t>
  </si>
  <si>
    <t>Presidente, Atlas FC (saliente, transición a Grupo PRODI 1-jul-2026); miembro de la mesa directiva Clubes Unidos de Jalisco A.C., administrador del Estadio Jalisco</t>
  </si>
  <si>
    <t>Voz pública del comité administrador del Estadio Jalisco, activo gestionado por Clubes Unidos de Jalisco A.C. (asociación civil de cuatro clubes: Atlas, Chivas, Oro y U. de Guadalajara, con presidencia rotativa anual). En 2024 la presidencia rotó a Arturo Gálvez (Chivas/Omnilife). El Estadio Jalisco será SEDE DE ENTRENAMIENTOS para selecciones que jueguen en GDL durante WC26 (no sede oficial de partidos, ese rol lo tiene Estadio Akron). Capacidad 56,713; sede de partidos en los Mundiales 1970 y 1986 (incluyendo a la selección brasileña de Pelé). El POI Fájer rota; la transición Atlas a Bejos/PRODI cambiará la representación.</t>
  </si>
  <si>
    <t>Clubes Unidos de Jalisco A.C. (asociación civil propietaria); Atlas FC (transición a PRODI/Bejos 1-jul-2026, A-064 cross-ref); Chivas (A-061, Arturo Gálvez Pres. rotativo 2024); Club Oro de Jalisco; Club Universidad de Guadalajara; Estadio Akron (sede WC26 oficial GDL, vecindad funcional)</t>
  </si>
  <si>
    <t>P-077</t>
  </si>
  <si>
    <t>Alejandro Fernández Varela Jiménez</t>
  </si>
  <si>
    <t>Titular, Dirección General del Deporte Universitario (DGDU) UNAM; responsable institucional del Estadio Olímpico Universitario</t>
  </si>
  <si>
    <t>Responsable institucional UNAM del Estadio Olímpico Universitario (EOU), recinto Patrimonio Cultural de la Humanidad UNESCO desde 2007, capacidad 62,700, primera sede principal de unos Juegos Olímpicos en Latinoamérica (México 1968). Sede oficial de Pumas UNAM (A-115); sede temporal de Cruz Azul (A-029) hasta enero 2026 cuando Pumas no extendió la renta y Cruz Azul se mudó al Estadio Cuauhtémoc de Puebla. Bajo administración UNAM/Patronato Pumas (Luis Raúl González Pérez, A-115 P-095). Mural Diego Rivera "La Universidad, la familia mexicana, la paz y la juventud deportista" en fachada.</t>
  </si>
  <si>
    <t>Pumas UNAM (uso primario, A-115); Luis Raúl González Pérez (Pres. Patronato, A-115 P-095); Cruz Azul (uso temporal hasta ene-2026, A-029); Pumas CU futbol americano; Rector UNAM Leonardo Lomelí Vanegas; UNESCO (Patrimonio Cultural de la Humanidad 2007); Juegos Olímpicos México 1968 (sede)</t>
  </si>
  <si>
    <t>P-078</t>
  </si>
  <si>
    <t>Tatiana Fontalvo</t>
  </si>
  <si>
    <t>CEO y Fundadora, FANKI (Bitsports S.A.S.)</t>
  </si>
  <si>
    <t>Negoció y ganó la licitación multianual frente a Ticketmaster para el Estadio Banorte (ex-Azteca); maneja la relación directa con Grupo Ollamani. FANKI es la plataforma mexicana de fan engagement deportivo más relevante en V6, contraparte directa con Emilio Azcárraga Jean y Félix Aguirre en la operación del estadio.</t>
  </si>
  <si>
    <t>Emilio Azcárraga Jean (Ollamani, A-105 cross-ref); Félix Aguirre (Estadio Banorte operativo, Host City Manager WC26 CDMX); Ticketmaster MX (competencia derrotada en licitación); Grupo Ollamani (cliente clave); Estadio Banorte / 5 partidos WC26</t>
  </si>
  <si>
    <t>P-079</t>
  </si>
  <si>
    <t>Alberto Fasja</t>
  </si>
  <si>
    <t>Co-Founder y Executive Chairman, Fillip Holdings</t>
  </si>
  <si>
    <t>Venture builder; ex-CEO Grupo Axo (30+ marcas globales, 5,500 puntos de venta MX/Chile); Senior Advisor General Atlantic; board Endeavor México. Arquitecto del modelo de adquisición y escala de IP deportiva en sports/entertainment. Fillip Holdings es el holding detrás del JV con WWE/TKO para AAA Lucha Libre Worldwide y la entrada de Kings League México.</t>
  </si>
  <si>
    <t>General Atlantic (brazo advisor, A-050 cross-ref); Endeavor / WME / TKO (board MX, A-035); Grupo Axo (red retail histórica); WWE / TKO Group Holdings (JV AAA WrestleMania 41); Kings League México; AAA Lucha Libre Worldwide</t>
  </si>
  <si>
    <t>P-080</t>
  </si>
  <si>
    <t>José Miguel Bejos</t>
  </si>
  <si>
    <t>Founder y Presidente, Grupo PRODI (Promotor de Desarrollo e Infraestructura); propietario Pericos de Puebla (LMB); Presidente Mota-Engil México</t>
  </si>
  <si>
    <t>Empresario libanés-mexicano (48 años, Estado de México, egresado Universidad Anáhuac). Compró Atlas FC a Grupo Orlegi (Irarragorri, A-062) en abril 2026, transición operativa 1-jul-2026. Hijo de Jesús Alfredo Miguel Afif (Pres. Cámara Empresarial Mexicana Libanesa); nieto de José Miguel Nader. PRODI con cartera diversificada: industrial, financiero, fiscal, aeronáutico, petrolero. Pericos de Puebla en LMB. Mota-Engil México como infraestructura. Movimiento clave en el reacomodo de propiedades Liga MX rumbo al Apertura 2026.</t>
  </si>
  <si>
    <t>Alejandro Irarragorri Gutiérrez (vendedor Atlas, A-062); Jesús Alfredo Miguel Afif (padre, Cámara Empresarial Mexicana Libanesa); Pericos de Puebla (LMB); Mota-Engil México; Atlas FC (transición 1-jul-2026); Universidad Anáhuac (alma mater)</t>
  </si>
  <si>
    <t>P-081</t>
  </si>
  <si>
    <t>Jessica Gelman</t>
  </si>
  <si>
    <t>CEO, Kraft Analytics Group (KAGR)</t>
  </si>
  <si>
    <t>CEO de la empresa de data y analytics deportivo del grupo Kraft (Robert Kraft, Patriots, Apollo Sports Capital A-005). KAGR partner tecnológico de Grupo Águilas/Ollamani (vínculo establecido como pilar tecnológico, contrapeso interno a la presencia de General Atlantic). Sirve como infraestructura de fan data y CRM para clubes deportivos. Vínculo con Ferran Reverter (DG CDA, ya cargado P-012).</t>
  </si>
  <si>
    <t>Robert Kraft (founder, Patriots, Apollo Sports Capital); Apollo Sports Capital (sister entity, A-005); Ollamani/Grupo Águilas (cliente clave, A-105 cross-ref); Ferran Reverter (DG CDA, P-012); ecosistema CRM/data sports global</t>
  </si>
  <si>
    <t>P-082</t>
  </si>
  <si>
    <t>Juan Solá</t>
  </si>
  <si>
    <t>SVP Streaming, Warner Bros. Discovery LatAm (HBO Max)</t>
  </si>
  <si>
    <t>Líder operativo de HBO Max LatAm (37,000+ horas catálogo). Lideró el lanzamiento HBO Max LatAm a mediados 2021 (alcanzando 30M+ suscriptores LatAm a finales 2022, ~10% México estimado), la transición a Max en feb-2024 y el regreso a HBO Max en jul-2025 (decisión global Zaslav may-2025). Sin sports rights en vivo MX a may-2026 pero con cartera contenido sports adyacente (deportes documentales, especiales). Juan Solá reporta a David Zaslav (Pres. y CEO global WBD). Anouk Aarón es la líder de Producción de Contenidos LatAm/US Hispanic con éxitos como Chespirito (mayor éxito global LatAm en HBO Max).</t>
  </si>
  <si>
    <t>David Zaslav (Pres. y CEO global Warner Bros. Discovery, NASDAQ: WBD); Casey Bloys (CEO HBO y Max Content); Anouk Aarón (Líder Producción Contenidos WBD LatAm/US Hispanic); ecosistema streaming MX (Netflix A-100, Disney+/ESPN A-036, ViX A-137, Prime Video A-004); fusión pendiente Paramount Skydance + WBD (USD 110B termination fee discutida en Q1-2026)</t>
  </si>
  <si>
    <t>P-083</t>
  </si>
  <si>
    <t>Agustín Martínez</t>
  </si>
  <si>
    <t>Director Editorial de Deportes, Grupo Multimedios (Mediotiempo, Canal 6, Milenio Deportes)</t>
  </si>
  <si>
    <t>Responsable editorial de Mediotiempo, principal portal deportivo digital de Grupo Multimedios. Lidera la estrategia de cobertura WC26 con más de 2,000 horas de producción, 20 enviados especiales, 130 colaboradores, 31 reporteros y 5 plataformas. Despliegue editorial de los más amplios del periodismo deportivo MX para el Mundial. Reporta a Óscar Cedillo (Director Editorial Nacional Multimedios) y Ángel Cong (DG Grupo Multimedios), bajo Francisco D. González Albuerne (Pres. Ejecutivo Multimedios y Milenio).</t>
  </si>
  <si>
    <t>Óscar Cedillo (Director Editorial Nacional Multimedios); Ángel Cong (DG Grupo Multimedios); Francisco D. González Albuerne (Pres. Ejecutivo Multimedios); Enrique Domínguez (Director Contenidos Multimedios); Karen Ortiz (Directora Digital Regiones); Récord (competencia, A-118); ESTO/OEM (competencia)</t>
  </si>
  <si>
    <t>P-084</t>
  </si>
  <si>
    <t>Ken Moelis</t>
  </si>
  <si>
    <t>Founder, Chairman y CEO, Moelis &amp; Company (NYSE: MC)</t>
  </si>
  <si>
    <t>Founder del banco de inversión advisor del sales process activo de Wasserman/THE·TEAM (rebrand mar-2026, A-146 ya cargado). Moelis &amp; Co. especializado en M&amp;A y restructuring. Presencia LatAm y mandatos sports deportivos relevantes. La conexión con A-146 es estructural en mayo 2026 (Wasserman vende, Moelis advisor). POI MX dedicado: pendiente verificar.</t>
  </si>
  <si>
    <t>Wasserman/THE·TEAM (mandato venta, A-146); Providence Equity (counterparty institucional); ecosistema M&amp;A sports global; banco de inversión advisor</t>
  </si>
  <si>
    <t>P-085</t>
  </si>
  <si>
    <t>Chris McCarthy</t>
  </si>
  <si>
    <t>President &amp; CEO, Paramount Streaming (incluye Paramount+ y Pluto TV) — sujeto a confirmación post-merger Skydance</t>
  </si>
  <si>
    <t>Decisor del streaming Paramount en MX. Pluto TV (free streaming, contenido sport selecto) y Paramount+ con cobertura UEFA Champions League y NFL. Post-fusión Skydance/Paramount completada 2025, estructura ejecutiva en flujo. POI por reconfirmar antes de presentación. Influencia menor que TelevisaUnivision o Disney+ en sports MX, pero relevante para UCL y NFL niche.</t>
  </si>
  <si>
    <t>David Ellison (CEO Paramount Skydance); UEFA (Champions League rights); NFL (rights niche); Pluto TV (free streaming MX); ecosistema OTT MX</t>
  </si>
  <si>
    <t>P-086</t>
  </si>
  <si>
    <t>Luis Raúl González Pérez</t>
  </si>
  <si>
    <t>Presidente del Patronato del Club Universidad Nacional (Pumas UNAM); también ex-Presidente CNDH (2014-2019)</t>
  </si>
  <si>
    <t>Decisor operativo del Patronato Pumas. Sustituyó a Leopoldo Silva Gutiérrez. Estructura única en Liga MX: la UNAM es la dueña institucional pero el Patronato (asociación civil de empresarios y universitarios) administra. Rector UNAM como Presidente Honorario. Pumas terminó Apertura 2025 como líder de la competencia. Director Deportivo: Jesús Ramírez. Pumas Femenil también bajo su consejo.</t>
  </si>
  <si>
    <t>Leopoldo Silva Gutiérrez (predecesor); Jesús Ramírez (Director Deportivo); Rector UNAM (Pres. Honorario); Patronato Club Universidad (asociación civil); Estadio Olímpico Universitario (sede, A-039); Liga MX Femenil (sister club Pumas Femenil)</t>
  </si>
  <si>
    <t>P-087</t>
  </si>
  <si>
    <t>Javier "Vasco" Aguirre Onaindía</t>
  </si>
  <si>
    <t>Director Técnico, Selección Mexicana de Fútbol; tercera etapa al frente del Tri (Mundial 2002, 2010, 2026)</t>
  </si>
  <si>
    <t>DT del Tri rumbo al WC26. Asume tras fracaso Copa América 2024 (eliminación fase de grupos bajo Jaime Lozano). Confirmado por Ivar Sisniega (Pres. FMF) que sale post-WC26; sucesor designado Rafael Márquez (auxiliar técnico, Proyecto 2030). Concentración de seis semanas previa al WC26. Partidos de preparación: Ghana 22-mayo en Estadio Cuauhtémoc Puebla. Polémica reciente con clubes Toluca y Chivas por liberación de jugadores resuelta como "malentendido" (mayo 2026).</t>
  </si>
  <si>
    <t>Ivar Sisniega Peñalosa (Pres. FMF); Rafael Márquez (auxiliar, sucesor 2030); Duilio Davino (Director Deportivo Selecciones); Mikel Arriola (Comisionado FMF); Toluca y Chivas (polémica liberación jugadores mayo 2026); CAR FMF (concentración)</t>
  </si>
  <si>
    <t>P-088</t>
  </si>
  <si>
    <t>Pedro López Jiménez</t>
  </si>
  <si>
    <t>Director Técnico, Selección Mexicana de Fútbol Femenil</t>
  </si>
  <si>
    <t>DT del Tri Femenil con miras a Copa Mundial Femenina 2027 (México co-anfitriona junto con USA y Brasil, anuncio FIFA 2024). Bajo su gestión, Tri Femenil avanzó por primera vez a fase final de torneos Concacaf importantes. Liga MX Femenil como cantera principal. POI MX dedicado: pendiente complementar con Andrea Rodebaugh (Directora Selecciones Femeniles FMF).</t>
  </si>
  <si>
    <t>Mundial Femenil 2027 (co-host MX-USA-Brasil); Liga MX Femenil (cantera); Andrea Rodebaugh (Directora Selecciones Femeniles FMF, POI complementario); Concacaf W; Ivar Sisniega (Pres. FMF)</t>
  </si>
  <si>
    <t>P-089</t>
  </si>
  <si>
    <t>Ricardo Maldonado</t>
  </si>
  <si>
    <t>Director General, Izzi Telecom (Televisa) — Sky Sports México extinta como marca a finales de enero 2026; señal y rights migrados a Izzi con producción AyM Sports</t>
  </si>
  <si>
    <t>CONTEXTO CRÍTICO: Sky Sports México DEJÓ DE EXISTIR como marca operativa a finales de enero 2026 tras un proceso de reestructuración iniciado en 2024 cuando Televisa adquirió 100% de Sky (compró el 41% que mantenía AT&amp;T en 2024). En ene-2026 más de 70 trabajadores Sky Sports despedidos tras 4 meses sin pagos. Los rights más valiosos (LaLiga, Copa del Rey, Bundesliga, F1 oct-2025 a 2028) migraron a Izzi con producción AyM Sports. El POI institucional ahora es la dirección Izzi (Ricardo Maldonado DG) bajo TelevisaUnivision. Actor en transición a extinción; mantenerlo solo por trazabilidad histórica.</t>
  </si>
  <si>
    <t>TelevisaUnivision (matriz, A-137; Bernardo Gómez y Alfonso de Angoitia Co-CEOs; Marco Liceaga EVP); Izzi Telecom (operador post-Sky); AyM Sports (productor sucesor); LaLiga, Bundesliga, F1 (rights migrados a Izzi); Carlos Ponce de León (periodista que reveló la crisis y extinción, peer Récord A-118); AT&amp;T (vendedor 41% en 2024)</t>
  </si>
  <si>
    <t>P-090</t>
  </si>
  <si>
    <t>Alan Kraus</t>
  </si>
  <si>
    <t>Cofundador, FANKI (Bitsports S.A.S.)</t>
  </si>
  <si>
    <t>Background en e-commerce (Dafiti, Groupon); arquitecto tecnológico de las integraciones de plataforma. Responsable de la robustez técnica del stack de cara a los cinco partidos mundialistas a celebrarse en el Estadio Banorte (CDMX, junio-julio 2026).</t>
  </si>
  <si>
    <t>Tatiana Fontalvo (CEO co-fundadora, Tier 1); Estadio Banorte (5 partidos WC26); Dafiti, Groupon (background); ecosistema startups e-commerce MX</t>
  </si>
  <si>
    <t>P-091</t>
  </si>
  <si>
    <t>Andrés Morris</t>
  </si>
  <si>
    <t>Head of Growth and Partnerships, FANKI (Bitsports S.A.S.)</t>
  </si>
  <si>
    <t>Responsable de la expansión comercial en México y de los acuerdos con clubes Liga MX. Interlocutor directo con Club América, Atlas FC y nuevas cuentas Liga MX. Ejecutor del go-to-market post-deal Estadio Banorte.</t>
  </si>
  <si>
    <t>Club América (cuenta clave, A-105); Atlas FC (Grupo PRODI desde 1-jul-2026, A-064); Liga MX (cartera de clubes); Tatiana Fontalvo (CEO, jefa)</t>
  </si>
  <si>
    <t>P-092</t>
  </si>
  <si>
    <t>Hugo López-Velarde</t>
  </si>
  <si>
    <t>Co-Founder y Co-CEO, Fillip Holdings</t>
  </si>
  <si>
    <t>Co-fundador operativo. Red directa WWE/TKO (vocero del anuncio WrestleMania 41 del deal AAA). Gestión operativa del deal AAA Lucha Libre Worldwide y la entrada de Kings League México. Ejecutor de la tesis de inversión en propiedades culturales de alto potencial.</t>
  </si>
  <si>
    <t>WWE / TKO Group Holdings (JV AAA 49%, vínculo con A-035); Kings League México; AAA Lucha Libre Worldwide (cluster Kings/lucha); Alberto Fasja (Chairman co-fundador, Tier 1)</t>
  </si>
  <si>
    <t>P-093</t>
  </si>
  <si>
    <t>Bárbara González Briseño</t>
  </si>
  <si>
    <t>Co-CEO, Fillip Holdings</t>
  </si>
  <si>
    <t>Perfil financiero: ex-CFO y CEO México Bitso (levantó +USD 500M, unicornio USD 2,250M valuación). Ex Lazard M&amp;A. Aporta disciplina de capital y estructuración financiera al holding. Harvard MBA. Es la pata de fundraising y due diligence de Fillip.</t>
  </si>
  <si>
    <t>Bitso (background, unicornio fintech MX); Lazard (M&amp;A background); FEMSA Ventures; NAZCA; DILA Capital; red Bitso fintech MX; Alberto Fasja y Hugo López-Velarde (co-fundadores)</t>
  </si>
  <si>
    <t>P-094</t>
  </si>
  <si>
    <t>Santiago Martínez de la Torre</t>
  </si>
  <si>
    <t>Presidente, Akron (lubricantes); título sponsor histórico del WTA 500 Guadalajara</t>
  </si>
  <si>
    <t>Title sponsor del WTA 500 Guadalajara via Akron. Su continuidad o retiro define la viabilidad económica del torneo. Familia Martínez de la Torre con historial de propiedad parcial de Chivas (ex-dueños). El título sponsor Akron también nombra al Estadio Akron de Chivas (sede WC26 GDL), cluster comercial relevante.</t>
  </si>
  <si>
    <t>Akron Lubricantes (matriz); Estadio Akron / Chivas (naming rights, A-061); Familia Martínez de la Torre (ex-dueños Chivas); Gustavo Santoscoy / GS Sports (Tier 1, organizador WTA)</t>
  </si>
  <si>
    <t>P-095</t>
  </si>
  <si>
    <t>Marcos Ramírez Miguel</t>
  </si>
  <si>
    <t>Director General, Grupo Financiero Banorte</t>
  </si>
  <si>
    <t>CEO operativo del grupo. Aval ejecutivo de los contratos de deuda y patrocinio de Banorte con Ollamani (Estadio Banorte ex-Azteca). Interlocutor corporativo con Emilio Azcárraga Jean (Ollamani) y General Atlantic en el deal de naming + financiación. Bajo su gestión, Banorte fue Bank of the Year 2024 en MX (The Banker) con capitalización USD 26,100M y 15.3% market share.</t>
  </si>
  <si>
    <t>Carlos Hank González (Pres. Consejo, Tier 1); Emilio Azcárraga Jean (Ollamani, contraparte deal); General Atlantic (A-050); Estadio Banorte; The Banker Bank of the Year 2024</t>
  </si>
  <si>
    <t>P-096</t>
  </si>
  <si>
    <t>Carla Juan Chelala</t>
  </si>
  <si>
    <t>CMO, Banorte</t>
  </si>
  <si>
    <t>Responsable de la estrategia de marca y activaciones deportivas de Banorte. Gestiona la relación cotidiana con el Estadio Banorte (ex-Azteca) y con NFL México. Operadora del frente comercial de la inversión naming + activación, en plena tensión por la decisión FIFA de usar "Estadio Ciudad de México" en lugar de "Banorte" durante el WC26.</t>
  </si>
  <si>
    <t>Estadio Banorte (operación diaria); Arturo Olivé (NFL México, A-102); Ollamani (marketing conjunto, A-105); FIFA WC26 (controversia naming); Carlos Hank González y Marcos Ramírez (jefes)</t>
  </si>
  <si>
    <t>P-097</t>
  </si>
  <si>
    <t>Jorge R. Uriza González</t>
  </si>
  <si>
    <t>Abogado General y Chief Commercial Officer, OCESA</t>
  </si>
  <si>
    <t>Firma los contratos venue, hospitality y naming de los cuatro venues premium CDMX bajo control OCESA: Arena Ciudad de México, Estadio GNP Seguros, Palacio de los Deportes y Centro Citibanamex. Es la pluma jurídica detrás de los principales acuerdos comerciales del ecosistema venues operados por CIE/OCESA. Reporta a Alejandro Soberón.</t>
  </si>
  <si>
    <t>Alejandro Soberón Kuri (CEO CIE, jefe directo); Federico González Compeán (DG F1 GP, P-005 cross-ref); AHR; Estadio GNP Seguros; Palacio de los Deportes; Centro Citibanamex; Live Nation MX</t>
  </si>
  <si>
    <t>P-098</t>
  </si>
  <si>
    <t>Rodrigo González Calvillo</t>
  </si>
  <si>
    <t>Country Manager, Live Nation México</t>
  </si>
  <si>
    <t>Responsable del brazo Live Nation en MX (parent company de Ticketmaster México y socio operativo de OCESA en eventos premium). Operador clave de la integración entre la cartera Live Nation global y la red CIE/OCESA en eventos masivos.</t>
  </si>
  <si>
    <t>Live Nation Entertainment (matriz global); Ticketmaster México (filial); CIE/OCESA (alianza estratégica); promotores conciertos LATAM</t>
  </si>
  <si>
    <t>P-099</t>
  </si>
  <si>
    <t>Paul Caine</t>
  </si>
  <si>
    <t>Presidente, On Location (subsidiaria de Endeavor)</t>
  </si>
  <si>
    <t>Lidera On Location, brazo de hospitality premium de Endeavor que tiene los derechos exclusivos de hospitality oficial FIFA WC26 (paquetes premium para los 16 estadios sede en MX, USA y Canadá). Operador estructural de los activos hospitality del Mundial 2026 en territorio mexicano, complementario a Alicia Falken (FIFA hospitality MX, ya cargado P-002).</t>
  </si>
  <si>
    <t>Ari Emanuel (CEO TKO/Endeavor, P-001); Mark Shapiro (Pres. TKO, P-003); Alicia Falken (FIFA Hospitality MX, P-002); FIFA WC26 (mandato global hospitality); paquetes premium 16 estadios sede</t>
  </si>
  <si>
    <t>P-100</t>
  </si>
  <si>
    <t>Duilio Davino</t>
  </si>
  <si>
    <t>Director de Selecciones Nacionales, FMF</t>
  </si>
  <si>
    <t>Responsable operativo de los equipos nacionales (Tri varonil, femenil, sub-20, sub-17). Define la agenda de partidos amistosos, torneos y la relación operativa con SUM y TEAM Marketing AG (A-135) para derechos comerciales de las selecciones. Anunció junto con Ivar Sisniega la llegada de Javier Aguirre como DT y Rafael Márquez como auxiliar (jul-2024).</t>
  </si>
  <si>
    <t>Ivar Sisniega (Pres. FMF, P-009); Mikel Arriola (Comisionado, P-007); Javier Aguirre (DT Tri, A-123); Rafael Márquez (auxiliar, sucesor 2030); SUM (Soccer United Marketing); TEAM Marketing AG (A-135)</t>
  </si>
  <si>
    <t>P-101</t>
  </si>
  <si>
    <t>Martín Escobari</t>
  </si>
  <si>
    <t>Co-President y Chairman del Investment Committee, General Atlantic</t>
  </si>
  <si>
    <t>Autoridad máxima de General Atlantic en LatAm. Aprobó el deal Grupo Águilas/Ollamani (USD 490M EV, dic-2025) como Chairman del Investment Committee. Perfil público elevado en el ecosistema PE de la región. Es el escalón final de aprobación de cualquier inversión GA en MX, complementario a Luis Cervantes (MD oficina CDMX, P-051).</t>
  </si>
  <si>
    <t>Luis Cervantes (MD CDMX, P-051 cross-ref); Emilio Azcárraga Jean (Ollamani counterparty, A-105); Apollo Sports Capital (peer competidor, A-005); ecosistema PE LATAM</t>
  </si>
  <si>
    <t>P-102</t>
  </si>
  <si>
    <t>Víctor Guevara Gallegos</t>
  </si>
  <si>
    <t>Director General de Operaciones de Liga MX y Director del CITEC (desde su fundación en 2018)</t>
  </si>
  <si>
    <t>Gatekeeper único de toda compra tecnológica del fútbol mexicano profesional. Cualquier proveedor (Genius Sports, Hudl, Mediapro, etc.) que aspire al mandato Liga MX pasa por su mesa. CITEC = Centro de Innovación Tecnológica Liga MX. Ha presentado en Barça Technology Symposium y Sports Summit MX. Cross-ref con A-084 Liga MX, donde también es decisor central.</t>
  </si>
  <si>
    <t>Mark Locke (CEO Genius global, Tier 1 A-051); Hudl (proveedor stack CITEC); Mediapro (proveedor); Liga MX (A-084 cross-ref); Francisco Iturbide (DG Liga MX); Mikel Arriola (Comisionado)</t>
  </si>
  <si>
    <t>P-103</t>
  </si>
  <si>
    <t>Jorge Alberto Hank Inzunza</t>
  </si>
  <si>
    <t>Propietario formal Club Tijuana Xolos; hijo de Jorge Hank Rhon</t>
  </si>
  <si>
    <t>Figura jurídica de la propiedad de Xolos. Señalamiento OFAC en sep-2025 (posteriormente retirado). Operador de facto del brazo de apuestas junto con su padre. Cluster familiar con Jorge Hank Rhon (Tier 1, P-053) en la cabeza estratégica del grupo Caliente.</t>
  </si>
  <si>
    <t>Jorge Hank Rhon (padre, Tier 1 P-053); Club Tijuana Xolos (propiedad formal); OFAC señalamiento sep-2025 retirado; Grupo Caliente operación; Liga MX</t>
  </si>
  <si>
    <t>P-104</t>
  </si>
  <si>
    <t>Fernanda Sainz</t>
  </si>
  <si>
    <t>Directora Comercial, Caliente Sport</t>
  </si>
  <si>
    <t>Responsable de las activaciones comerciales de las apuestas en el ecosistema deportivo. Figura más visible del área comercial de Caliente.mx en los deals jersey con clubes Liga MX. Operadora del programa de patrocinios cruzados Caliente con Liga MX.</t>
  </si>
  <si>
    <t>Jorge Hank Rhon (jefe, A-058 Tier 1); Liga MX clubs (jersey deals); FMF (activaciones); Caliplay (brazo betting); Fox Corp (post-venta Caliente TV jun-2025)</t>
  </si>
  <si>
    <t>P-105</t>
  </si>
  <si>
    <t>Rodolfo "El Pollo" Ramírez</t>
  </si>
  <si>
    <t>Director General, Azteca Deportes (TV Azteca)</t>
  </si>
  <si>
    <t>Responsable de la operación deportiva de TV Azteca durante el proceso de concurso mercantil del grupo. Gestiona los contratos vigentes con clubes Liga MX (Tigres, Juárez, Puebla) y la cartera deportiva del canal. Cluster operativo con Ricardo y Benjamín Salinas (Tier 1, ya cargados).</t>
  </si>
  <si>
    <t>Ricardo Salinas Pliego (Pres. Grupo Salinas, Tier 1 P-022); Benjamín Salinas (CEO TV Azteca, Tier 2); Tigres UANL, Juárez, Puebla (contratos vigentes); proceso concurso mercantil USD 48 mil mdp adeudo SAT</t>
  </si>
  <si>
    <t>P-106</t>
  </si>
  <si>
    <t>Vinicius Salém Carvalho</t>
  </si>
  <si>
    <t>Director Marketing, Heineken México</t>
  </si>
  <si>
    <t>Responsable de la activación del patrocinio del GP México (title sponsor histórico) y de la estrategia de marca deportiva de Heineken en México. Operador clave del partnership global Heineken-Liberty Media en F1, replicado en MX vía OCESA. POI más relevante a nivel operativo en MX para sports marketing Heineken; complementa la presencia de Etienne Strijp en el cluster (cargo regional con rotación).</t>
  </si>
  <si>
    <t>GP México (title sponsor); Liberty Media (partnership global F1); CIE/OCESA (operador GP, A-020); Etienne Strijp (cluster Pres. Heineken MX); FIFA WC26 (Heineken sponsor global); Selección Mexicana, Liga MX, NFL México</t>
  </si>
  <si>
    <t>P-107</t>
  </si>
  <si>
    <t>Ross Hallett</t>
  </si>
  <si>
    <t>EVP y Head of Events, LIV Golf</t>
  </si>
  <si>
    <t>Responsable global de la operación de eventos LIV Golf, incluyendo la fecha LIV Mayakoba (Vidanta, MX). Reporta a Scott O'Neil (CEO desde feb-2025, Tier 1 P-038 ya cargado). Operador estructural de la franquicia mexicana del PIF/LIV en alianza con Vidanta (A-066).</t>
  </si>
  <si>
    <t>Scott O'Neil (CEO LIV, Tier 1 P-038); Vidanta / Daniel Chávez Morán (sede Mayakoba, A-066); PIF Saudi Arabia (financiador); PGA Tour (rivalidad histórica)</t>
  </si>
  <si>
    <t>P-108</t>
  </si>
  <si>
    <t>Raúl Zurutuza</t>
  </si>
  <si>
    <t>Ex Director Deportivo, Abierto Mexicano de Tenis (19 años); voz pública post-Burillo</t>
  </si>
  <si>
    <t>Voz pública más creíble post-fallecimiento de Alejandro Burillo Azcárraga (16-abr-2026). Director Deportivo histórico del AMT durante 19 años. Citado por The New York Times sobre las negociaciones del torneo con Arabia Saudita. Es el facilitador potencial de cualquier reestructura o venta del AMT en la era post-Burillo.</t>
  </si>
  <si>
    <t>Renata Burillo (sucesora Mextenis, Tier 1 ya cargado P-040); Álvaro Falla (Mextenis); ATP Tour; NYT (cita negociaciones Arabia); Arena GNP Seguros Acapulco (sede)</t>
  </si>
  <si>
    <t>P-109</t>
  </si>
  <si>
    <t>Juan Antonio Hernández Venegas</t>
  </si>
  <si>
    <t>Presidente, Grupo Autofin / Mundo Imperial</t>
  </si>
  <si>
    <t>Propietario del venue Arena GNP Seguros Acapulco (sede del AMT/ATP 500). Su cooperación es condición para la continuidad del torneo en Acapulco; contrato de arrendamiento vigente hasta ~2032. Mundo Imperial es operador hotelero/eventos premium en Acapulco (también sede HYROX Acapulco by Mundo Imperial vinculado a A-143).</t>
  </si>
  <si>
    <t>Arena GNP Seguros Acapulco (venue propiedad); Mextenis (arrendatario AMT, A-096); Renata Burillo (contraparte); HYROX Acapulco (sede, A-143); Grupo Autofin (matriz)</t>
  </si>
  <si>
    <t>P-110</t>
  </si>
  <si>
    <t>Héctor González Iñárritu</t>
  </si>
  <si>
    <t>Presidente operativo SALIENTE, Club América (sale junio/julio 2026)</t>
  </si>
  <si>
    <t>Gestiona la operación diaria del club y es interlocutor con patrocinadores y FMF. Su salida en jun/jul 2026 es parte del reacomodo post-deal General Atlantic + transición a Ferran Reverter (DG CDA, P-012 cross-ref). Nexo entre la agenda deportiva y la agenda comercial del activo Águilas durante la transición.</t>
  </si>
  <si>
    <t>Ferran Reverter (DG CDA entrante mar-2026, P-012); Emilio Azcárraga Jean (Pres. Ollamani, P-011); Santiago Baños (Pres. deportivo); FMF; patrocinadores Club América (Banorte, adidas)</t>
  </si>
  <si>
    <t>P-111</t>
  </si>
  <si>
    <t>Santiago Baños</t>
  </si>
  <si>
    <t>Presidente Deportivo, Club América</t>
  </si>
  <si>
    <t>Responsable de transferencias, plantilla y relaciones con agentes. Las decisiones de fichajes determinan el valor de mercado del activo Águilas. Continúa post-transición Reverter. Red activa con representantes y clubes europeos.</t>
  </si>
  <si>
    <t>Ferran Reverter (DG CDA, P-012); Héctor González Iñárritu (Pres. operativo SALIENTE); representantes y clubes europeos; ecosistema transferencias Liga MX</t>
  </si>
  <si>
    <t>P-112</t>
  </si>
  <si>
    <t>Boris Gartner</t>
  </si>
  <si>
    <t>CEO, Relevent Sports y LaLiga North America (JV)</t>
  </si>
  <si>
    <t>Ex Director de Estrategia y Operaciones Televisa; puente histórico con TUDN. Catalizador de la operación Liga MX en EE.UU. y de la JV LaLiga NA. Operador clave del Settlement con USSF (2025) que abrió la puerta a partidos oficiales LaLiga en suelo estadounidense. Daniel Sillman (P-044 ya cargado) es el CEO global; Gartner es el operativo Norteamérica con foco hispanohablante.</t>
  </si>
  <si>
    <t>Daniel Sillman (CEO global Relevent, P-044); Stephen M. Ross (Owner, P-056); LaLiga NA (JV); TelevisaUnivision (background); USSF Settlement 2025; Liga MX MX-USA</t>
  </si>
  <si>
    <t>P-113</t>
  </si>
  <si>
    <t>Simon Crouch</t>
  </si>
  <si>
    <t>CEO, TEAM Marketing AG</t>
  </si>
  <si>
    <t>Firmó contrato con FMF en oct-2025 para los derechos comerciales globales de las selecciones mexicanas en los ciclos 2026-2030 y 2030-2034. Contraparte global única para el mandato comercial de las selecciones. Sustituyó al esquema anterior (SUM/Soccer United Marketing). TEAM Marketing AG es la agencia suiza histórica detrás de derechos UEFA Champions League.</t>
  </si>
  <si>
    <t>Ivar Sisniega (Pres. FMF, contraparte directa); Duilio Davino (DD FMF); FMF (mandato exclusivo selecciones); UEFA Champions League (background TEAM); SUM (esquema predecesor)</t>
  </si>
  <si>
    <t>P-114</t>
  </si>
  <si>
    <t>Bernardo Gómez</t>
  </si>
  <si>
    <t>Co-CEO, Grupo Televisa (desde enero 2026)</t>
  </si>
  <si>
    <t>Junto con Alfonso de Angoitia es el poder real detrás del accionista controlador post-reducción de Emilio Azcárraga Jean. Consolida la agenda estratégica del grupo hacia ViX y el Mundial 2026. Control sobre decisiones comerciales y de derechos de Televisa. Interlocutor directo con Daniel Alegre (CEO TelevisaUnivision, P-046 ya cargado).</t>
  </si>
  <si>
    <t>Alfonso de Angoitia (Co-CEO, par); Daniel Alegre (CEO TelevisaUnivision, P-046); Emilio Azcárraga Jean (accionista reducido, A-105); ViX; FIFA WC26 (derechos)</t>
  </si>
  <si>
    <t>P-115</t>
  </si>
  <si>
    <t>Alfonso de Angoitia</t>
  </si>
  <si>
    <t>Co-decisor del grupo junto con Bernardo Gómez. Su perfil financiero complementa la agenda operativa. Responsable del ciclo de desapalancamiento 2025-2028 (deuda neta USD 9B). Pieza clave en la estrategia financiera y de derechos deportivos del grupo durante el ciclo WC26.</t>
  </si>
  <si>
    <t>Bernardo Gómez (Co-CEO, par); Daniel Alegre (CEO TelevisaUnivision, P-046); deuda neta USD 9B; ciclo desapalancamiento 2025-2028; FIFA WC26 derechos</t>
  </si>
  <si>
    <t>P-116</t>
  </si>
  <si>
    <t>Marco Liceaga</t>
  </si>
  <si>
    <t>EVP Adquisición de Derechos, TelevisaUnivision</t>
  </si>
  <si>
    <t>Ejecutivo responsable de negociar y cerrar los contratos de derechos deportivos. Figura clave en la renovación del deal Liga MX global y en las propiedades internacionales (Champions, NFL, Premier League en MX). Cluster operativo con Olek Loewenstein (TUDN/ViX, P-047 ya cargado).</t>
  </si>
  <si>
    <t>Olek Loewenstein (TUDN/ViX, P-047); Daniel Alegre (CEO TelevisaUnivision, P-046); Liga MX (renovación derechos); FMF; UEFA, NFL, Premier League en MX</t>
  </si>
  <si>
    <t>P-117</t>
  </si>
  <si>
    <t>Rodrigo Morales Abiega</t>
  </si>
  <si>
    <t>SVP LatAm, Wasserman / THE·TEAM (CDMX)</t>
  </si>
  <si>
    <t>Lead operativo Wasserman/THE·TEAM en LatAm desde la oficina CDMX. Background: ex Director Comercial Chivas y ex VP Chivas USA. Nexo histórico con Liga MX. Activa la cuenta SF 49ers México y NFL México desde la oficina mexicana. POI MX dedicado, complementario a Casey Wasserman (Founder/Chairman global, P-067 ya cargado).</t>
  </si>
  <si>
    <t>Casey Wasserman (Founder/Chairman, P-067); SF 49ers México (cuenta activa); NFL México (A-102 cluster); MLS; Chivas (background ex-Director Comercial); Providence Equity (accionista mayoritario)</t>
  </si>
  <si>
    <t>P-118</t>
  </si>
  <si>
    <t>Rodrigo Martínez Celis Wogau</t>
  </si>
  <si>
    <t>Executive Director Safety &amp; Security Mexico, FIFA World Cup 2026</t>
  </si>
  <si>
    <t>Responsable del protocolo de acceso y seguridad en las tres sedes mexicanas del Mundial 2026 (Mexico City Stadium / Estadio Banorte, Estadio Akron Guadalajara, Estadio BBVA Monterrey). Interlocutor formal entre FIFA y autoridades locales mexicanas. Coordina con SSC CDMX, Gobierno de Jalisco y Gobierno de Nuevo León para los operativos de acceso mundialistas. POI institucional crítico para el flujo operativo del torneo en suelo mexicano.</t>
  </si>
  <si>
    <t>FIFA WC26 (mandato organizativo); SSC CDMX (Pablo Vázquez Camacho); Gobierno de Jalisco; Gobierno de Nuevo León; Estadio Banorte CDMX; Estadio Akron GDL; Estadio BBVA MTY; Comités Organizadores Locales</t>
  </si>
  <si>
    <t>P-119</t>
  </si>
  <si>
    <t>Héctor Eduardo "Lalo" Hernández Applebaum</t>
  </si>
  <si>
    <t>CEO y Propietario Único, Promofut S.A. de C.V. (desde 2014)</t>
  </si>
  <si>
    <t>Operó el fichaje histórico de Javier "Chicharito" Hernández al Manchester United en 2010 (deal que estableció Promofut como agencia #1 del fútbol mexicano). Cartera histórica: Chicharito, Carlos Vela, Edson Álvarez, Rafael Márquez. Continúa controlando agencia con presencia estructural en transferencias Liga MX-Europa. Caso paradigmático del cluster agencias V4 mexicanas con larga trayectoria.</t>
  </si>
  <si>
    <t>Manchester United (deal Chicharito 2010); Carlos Vela; Edson Álvarez; Rafael Márquez (auxiliar Tri/futuro DT); ecosistema agencias V4 MX (Pitz Group, Soccer Media Solutions, Zanfer); clubes europeos via red transferencias</t>
  </si>
  <si>
    <t>P-120</t>
  </si>
  <si>
    <t>Mariano Varela</t>
  </si>
  <si>
    <t>Ex Director Deportivo/Institucional Chivas (2018-2025); actualmente vinculado a Tapatío (Liga de Expansión); ex Promofut</t>
  </si>
  <si>
    <t>Caso paradigmático del conflicto agencia-club: ex ejecutivo Promofut que pasó a la dirección institucional Chivas. Núcleo de la controversia Chivas-canteras que llevó a la "limpia" Hierro desde 2023 al revisar la circulación de talento entre agencia y club. Continúa vinculado a Tapatío (filial Chivas en Liga de Expansión MX), preservando peso institucional en GDL.</t>
  </si>
  <si>
    <t>Hernández Applebaum (Promofut, ex jefe); Chivas/Omnilife (ex empleador, A-061); Tapatío (vínculo actual Liga de Expansión); Fernando Hierro (ex DD Chivas controversia 2023); ecosistema canteras Liga MX</t>
  </si>
  <si>
    <t>P-121</t>
  </si>
  <si>
    <t>Country Manager, Amazon México y AWS México (cross-ref A-004)</t>
  </si>
  <si>
    <t>POI ya cargado bajo A-004 Amazon Prime Video. Para Amazon/AWS es el mismo lead institucional regional. Cross-reference a P-004.</t>
  </si>
  <si>
    <t>Andy Jassy (CEO Amazon global); Marc Lore; Amazon Prime Video MX (A-004 P-004 cross-ref); AWS reInvent ecosystem MX</t>
  </si>
  <si>
    <t>P-122</t>
  </si>
  <si>
    <t>David Graveen</t>
  </si>
  <si>
    <t>CEO, Hudl (Agile Sports Technologies) — incluye Sportscode, Wyscout, Wimu, StatsBomb y Signal post adquisición</t>
  </si>
  <si>
    <t>Stack tecnológico completo del CITEC Liga MX. Bajo Víctor Guevara (P-110 cross-ref) Hudl es el proveedor preferido del fútbol mexicano profesional desde 2018. Adquisiciones progresivas: Wyscout (2019), Wimu (2020), StatsBomb (2024), Signal (2024). Bain Capital y Nordic Capital como inversionistas.</t>
  </si>
  <si>
    <t>Víctor Guevara Gallegos (CITEC gatekeeper, P-110); Liga MX clubes (uso obligatorio CITEC); Mediapro (peer); StatsBomb, Wyscout, Wimu, Signal (subsidiarias)</t>
  </si>
  <si>
    <t>P-123</t>
  </si>
  <si>
    <t>Ricardo Amper</t>
  </si>
  <si>
    <t>CEO y Founder, Incode Technologies</t>
  </si>
  <si>
    <t>Founder de Incode, unicornio mexicano de identity verification (USD 1.25B+ valuación, levantó USD 220M Serie B 2022 con General Atlantic, JC Flowers y SoftBank LatAm). Provee verificación de identidad biométrica para FIFA Ticketing WC26, casinos online MX, fintech, banca digital. Pieza clave para el control de acceso a los 13 partidos del Mundial en suelo mexicano.</t>
  </si>
  <si>
    <t>General Atlantic (inversionista, A-050); SoftBank LatAm (inversionista); FIFA WC26 (cliente verificación); Caliente.mx, Codere (clientes apuestas); ecosistema fintech MX (Bitso, Konfio)</t>
  </si>
  <si>
    <t>P-124</t>
  </si>
  <si>
    <t>Tatxo Benet</t>
  </si>
  <si>
    <t>Co-Founder y Pres. Ejecutivo, Mediapro Group (Imagina/Grupo Mediapro)</t>
  </si>
  <si>
    <t>Mediapro Group es el productor audiovisual y proveedor tecnológico que tiene contrato con Liga MX para producción de partidos y datos. Cluster CITEC con Hudl, Genius, Akta. Tatxo Benet es co-fundador histórico (con Jaume Roures hasta su salida) del grupo catalán. Mediapro produce señal Liga MX desde temporada 2023-24.</t>
  </si>
  <si>
    <t>Liga MX (contrato producción CITEC, A-084); Víctor Guevara (P-110); Hudl, Genius (cluster stack); Imagina Media Audiovisual (matriz); Orient Hontai Capital (accionista mayoritario chino)</t>
  </si>
  <si>
    <t>P-125</t>
  </si>
  <si>
    <t>Yasir Al-Rumayyan</t>
  </si>
  <si>
    <t>Governor, Public Investment Fund (PIF) Saudi Arabia</t>
  </si>
  <si>
    <t>Decisor último del PIF (USD 925B+ AUM), el fondo soberano saudí detrás de LIV Golf (A-085), Newcastle United, deals con Canelo Promotions vía Turki Alalshikh (A-016 cross-ref), boxeo (Riyadh Season). Influencia indirecta pero estructural en MX vía la cartelera Canelo 12-sept-2026 Riyadh.</t>
  </si>
  <si>
    <t>Mohammed bin Salman (MBS, jefe directo); Turki Alalshikh (Chairman Saudi General Entertainment Authority y Ring Magazine, contraparte Canelo); Scott O'Neil (CEO LIV Golf, A-085 P-038); Canelo Promotions (deal global, A-016)</t>
  </si>
  <si>
    <t>P-126</t>
  </si>
  <si>
    <t>Egon Durban</t>
  </si>
  <si>
    <t>Co-CEO, Silver Lake</t>
  </si>
  <si>
    <t>Silver Lake (USD 100B+ AUM) es el PE tecnológico-deportivo con presencia en City Football Group (Manchester City + cluster), MSP Sports Capital, A22 Sports Management (Super League), TKO/Endeavor. Peer competidor Apollo Sports Capital, General Atlantic. En MX presencia indirecta vía TKO (Ari Emanuel A-035) y exposición a propiedades sports globales.</t>
  </si>
  <si>
    <t>Greg Mondre (Co-CEO Silver Lake); TKO Group Holdings (A-035 cross-ref vía Endeavor); City Football Group (potential MX expansion); A22 Sports Management; ecosistema PE sports tech</t>
  </si>
  <si>
    <t>P-127</t>
  </si>
  <si>
    <t>Mónica Aspe Bernal</t>
  </si>
  <si>
    <t>CEO, AT&amp;T México (desde mar-2021; primera mujer mexicana en el cargo); confirmada activa a may-2026 en M360 LATAM</t>
  </si>
  <si>
    <t>CEO de AT&amp;T México desde marzo 2021 (interina desde abril 2020). Confirmada activa a mayo 2026 como ponente keynote en M360 LATAM 2026 junto a Daniel Hajj (CEO América Móvil) y Norma Solano (Comisionada Presidenta CRT MX). Sustituyó a Laurent Therivel. Antes Vicepresidenta de Asuntos Externos AT&amp;T MX (2018-2020), representante de México ante OCDE en SRE, varios cargos en SCT. AT&amp;T México ~3,182 empleados. Cartera deportiva histórica: naming Estadio AT&amp;T Center Querétaro hasta 2024, sponsorships Liga MX selectos. Lisette Mendez como CFO/CCO.</t>
  </si>
  <si>
    <t>AT&amp;T Inc. (matriz USA, NYSE: T); Lori Lee (ex-CEO AT&amp;T LatAm, jefa histórica); Lisette Mendez (CFO AT&amp;T México); Daniel Hajj (CEO América Móvil/Telcel, peer telecom A-041); CRT/IFT (regulatorio); ecosistema telecom MX (Telcel, Movistar)</t>
  </si>
  <si>
    <t>P-128</t>
  </si>
  <si>
    <t>Daniel Servitje Montull</t>
  </si>
  <si>
    <t>Presidente y CEO, Grupo Bimbo</t>
  </si>
  <si>
    <t>Bimbo es panificadora #1 mundial (USD 17B+ ingresos 2024). Sponsor estructural Liga MX (cluster patrocinios), Selección Mexicana, NFL México, F1 GP México. Familia Servitje con presencia histórica en Industria Mexicana de Coca-Cola y otros consumer staples. Bimbo Stadium (USA), Bimbo brand activation en eventos masivos.</t>
  </si>
  <si>
    <t>Familia Servitje (control accionario); Selección Mexicana (sponsor); Liga MX (sponsor); NFL México (sponsor); F1 GP México (activación); Bimbo Stadium USA (Chicago Fire)</t>
  </si>
  <si>
    <t>P-129</t>
  </si>
  <si>
    <t>Cassiano de Stefano</t>
  </si>
  <si>
    <t>Presidente, Grupo Modelo (subsidiaria AB InBev México) — Corona, Modelo, Pacífico, Victoria</t>
  </si>
  <si>
    <t>CEO de Grupo Modelo (vendido a AB InBev en 2013 por USD 20.1B; familia Diez/Toluca A-022 vendió). Cartera de patrocinios estructural: Selección Mexicana (Corona), Liga MX (Corona Light), F1 GP México (Corona Cero), NFL México (Modelo Especial, sponsor en USA también via Constellation Brands). Corona Sunsets, Corona Capital festival.</t>
  </si>
  <si>
    <t>AB InBev (matriz desde 2013); Constellation Brands (rights distribución USA); Familia Diez Morodo (vendedores históricos, A-022); Selección Mexicana (Corona kit sponsor); F1 GP México; NFL México</t>
  </si>
  <si>
    <t>P-130</t>
  </si>
  <si>
    <t>Alejandro Baillères</t>
  </si>
  <si>
    <t>Presidente, Grupo BAL (controla GNP Seguros, Profuturo, Palacio de Hierro, Grupo Nacional Provincial)</t>
  </si>
  <si>
    <t>Decisor de la cartera deportiva GNP Seguros: Estadio GNP Seguros (CDMX, ex-Foro Sol, sede de F1 GP México y conciertos masivos), Arena GNP Seguros Acapulco (sede AMT/ATP 500 vía Mundo Imperial Hernández Venegas A-096 P-117), naming rights Maratón GNP Monterrey (vinculado HG Promotores A-071), Tigres UANL (jersey deal histórico). Sucesor de Alberto Baillères González (fallecido feb-2022).</t>
  </si>
  <si>
    <t>Familia Baillères (control accionario); Estadio GNP Seguros / Foro Sol (sede F1 GP); Arena GNP Seguros Acapulco (sede AMT, A-096); Tigres UANL (sponsor jersey, A-018); Maratón GNP Monterrey; HG Promotores (A-071, naming WTA MTY)</t>
  </si>
  <si>
    <t>P-131</t>
  </si>
  <si>
    <t>Presidente, Grupo BAL / Familia Baillères (cross-ref A-053)</t>
  </si>
  <si>
    <t>Mismo POI que A-053. Grupo BAL es la matriz del cluster Baillères. Cross-reference para mantener trazabilidad entre el grupo holding (A-057) y la operación GNP Seguros (A-053).</t>
  </si>
  <si>
    <t>Mismos vínculos que A-053 (Estadio GNP Seguros, Arena GNP Acapulco, Tigres, Maratón GNP MTY, HG Promotores)</t>
  </si>
  <si>
    <t>P-132</t>
  </si>
  <si>
    <t>Gabriel Galván</t>
  </si>
  <si>
    <t>Director General, Mattel de México S.A. de C.V. (consolidando operaciones LATAM); 25+ años en Mattel; Top 100 CEOs MX 2023 GPTW</t>
  </si>
  <si>
    <t>DG Mattel México con 25+ años en la empresa, reconocido entre los Top 100 CEOs en México 2023 por Great Place To Work. Bajo su liderazgo Mattel México consolidó operaciones para abarcar toda Latinoamérica. La planta Mattel en México es la MÁS GRANDE DEL MUNDO de la empresa (duplicó tamaño en últimos años, pilar producción global Hot Wheels y Barbie). Cartera deportiva: activaciones Hot Wheels en F1 GP México (paquetes coleccionables), eventos consumer masivos. Reporta a Ynon Kreiz (Chairman y CEO global Mattel Inc., NASDAQ: MAT).</t>
  </si>
  <si>
    <t>Ynon Kreiz (Chairman y CEO global Mattel Inc., NASDAQ: MAT); Sanjay Luthra (nuevo Chief Commercial Officer global desde 1-may-2026); Anthony Disilvestro (CFO global); F1 GP México (Hot Wheels activaciones, A-055); CIE/OCESA (cluster activaciones, A-020); ecosistema consumer goods MX</t>
  </si>
  <si>
    <t>P-133</t>
  </si>
  <si>
    <t>Marcos Galperin</t>
  </si>
  <si>
    <t>CEO y Founder, Mercado Libre y Mercado Pago</t>
  </si>
  <si>
    <t>Founder del unicornio LatAm más grande (Mercado Libre USD 100B+ market cap NASDAQ). Mercado Pago es el brazo fintech con presencia masiva MX. Sponsorship deals: Liga MX (Mercado Pago jersey deals selectos), Selección Mexicana, NBA México (Mexico City Game). Cluster fintech/e-commerce blue-chip MX.</t>
  </si>
  <si>
    <t>Mercado Libre (matriz, NASDAQ MELI); Pedro Arnt (ex-CFO MELI); Liga MX (jersey deals); NBA México (Capitanes A-017, sponsor); ecosistema fintech LatAm</t>
  </si>
  <si>
    <t>P-134</t>
  </si>
  <si>
    <t>Brandarrays Mexico S.A. de C.V. (parte de Typhoon Sports Coalition)</t>
  </si>
  <si>
    <t>Distribuidor oficial New Balance México (operación licenciataria New Balance Athletics Inc.)</t>
  </si>
  <si>
    <t>New Balance opera en México vía distribuidor oficial Brandarrays Mexico S.A. de C.V., parte del grupo Typhoon Sports Coalition S.A.P.I. de C.V. (sede Cerrada de Loma Bonita 33, Lomas Altas, CDMX). New Balance Athletics Inc. (matriz USA, propiedad familia Davis con Jim Davis como Chairman histórico) mantiene el control de marca y datos personales. POI estructural: la operación MX no tiene Country Manager público dedicado al modelo Adidas/Nike sino una operación licenciataria con Brandarrays. Cluster apparel/footwear competidor de Adidas (A-001), Nike (A-103), Puma (A-114), Skechers (A-126).</t>
  </si>
  <si>
    <t>New Balance Athletics Inc. (matriz USA, Boston); Familia Davis (Jim Davis Chairman histórico); Typhoon Sports Coalition S.A.P.I. de C.V. (grupo MX); Innovasport, Innvictus (retailers MX); ecosistema running MX; cluster apparel competencia (Adidas, Nike, Puma, Skechers, On)</t>
  </si>
  <si>
    <t>P-135</t>
  </si>
  <si>
    <t>John Donahoe (saliente) / Elliott Hill (entrante CEO)</t>
  </si>
  <si>
    <t>CEO, Nike Inc. (transición Hill desde oct-2024)</t>
  </si>
  <si>
    <t>Decisor último de Nike a nivel global. Nike MX con país manager dedicado (POI por reconfirmar). Cartera MX: Tigres UANL (kit deal), Pumas UNAM (kit deal histórico), atletas individuales selectos. Adidas le quitó al Club América en jul-2025; Tigres se mantiene como activo principal Nike MX.</t>
  </si>
  <si>
    <t>Elliott Hill (CEO Nike entrante); John Donahoe (predecesor); Tigres UANL (kit deal, A-018); Pumas UNAM (kit histórico, A-115); Adidas (competencia ganadora América, A-001)</t>
  </si>
  <si>
    <t>P-136</t>
  </si>
  <si>
    <t>Arne Freundt</t>
  </si>
  <si>
    <t>CEO, Puma SE (desde 2022)</t>
  </si>
  <si>
    <t>CEO global de Puma. Cartera MX: Mexico City Marathon co-sponsor periódico, atletas individuales (futbolistas Liga MX), Manchester City partnership global. Cluster apparel competidor Adidas/Nike.</t>
  </si>
  <si>
    <t>Adidas (competencia, A-001); Nike (competencia, A-103); ecosistema apparel/footwear MX; atletas Liga MX selectos (kit individual deals)</t>
  </si>
  <si>
    <t>P-137</t>
  </si>
  <si>
    <t>Jake Lawrence</t>
  </si>
  <si>
    <t>Group Head, Global Banking &amp; Markets, Scotiabank — y CEO Pacific Alliance</t>
  </si>
  <si>
    <t>Scotiabank México (cuarto banco más grande MX) tiene cartera deportiva: Concacaf naming partner histórico (Liga de Campeones Concacaf), Arena Ciudad de México (alianza pasada), partners atletas selectos. POI MX dedicado: Adrián Otero (CEO Scotiabank México) — pendiente reconfirmar antes de presentación.</t>
  </si>
  <si>
    <t>Scotiabank Group (matriz Toronto); Concacaf (Liga de Campeones naming partner); BBVA, Banorte, Santander (competencia banca MX); Adrián Otero (potential CEO MX, por reconfirmar)</t>
  </si>
  <si>
    <t>P-138</t>
  </si>
  <si>
    <t>Michael Greenberg</t>
  </si>
  <si>
    <t>President, Skechers (USA)</t>
  </si>
  <si>
    <t>Skechers con presencia creciente MX en running (carreras populares) y atletas individuales. Cluster apparel V3 secundario.</t>
  </si>
  <si>
    <t>Skechers Inc. (matriz, NYSE: SKX); ecosistema running MX; New Balance, Puma (competencia segmento)</t>
  </si>
  <si>
    <t>P-139</t>
  </si>
  <si>
    <t>Edgard Corona</t>
  </si>
  <si>
    <t>Founder y CEO, Smart Fit (matriz brasileña, NYSE: SMFT3)</t>
  </si>
  <si>
    <t>Smart Fit es la cadena de gimnasios más grande LatAm (~5,000 unidades regionales). En MX como sponsor titular del HYROX MX (A-143) y franquicia consumer fitness. Cluster fitness/wellness V3.</t>
  </si>
  <si>
    <t>HYROX MX / Victum Sports (sponsor titular, A-143); Pat Gelsinger; ecosistema fitness MX; Sport City, Sports World (competencia)</t>
  </si>
  <si>
    <t>P-140</t>
  </si>
  <si>
    <t>Presidente, HEINEKEN México (cross-ref A-070; Tecate y Cuauhtémoc Moctezuma son las marcas mexicanas de la subsidiaria)</t>
  </si>
  <si>
    <t>Tecate, Indio, Sol, Bohemia, Dos Equis son marcas de Cervecería Cuauhtémoc Moctezuma (subsidiaria HEINEKEN MX desde 2010). POI ya cargado bajo A-070 (P-057 + P-114 Vinicius Salém Carvalho). Cross-reference para A-136. Tecate sponsor estructural Liga MX (Tecate Light naming) y NFL México.</t>
  </si>
  <si>
    <t>HEINEKEN México (matriz, A-070); Vinicius Salém Carvalho (Director Marketing, P-114); Liga MX (Tecate Light naming); NFL México (Tecate sponsor); Selección Mexicana</t>
  </si>
  <si>
    <t>P-141</t>
  </si>
  <si>
    <t>Andrew Macdonald</t>
  </si>
  <si>
    <t>Senior VP &amp; Regional General Manager, Uber Americas</t>
  </si>
  <si>
    <t>Uber con cartera deportiva MX: Estadio Akron (Uber One sponsorship), F1 GP México (paquetes hospitality), Liga MX (sponsorship selecto). Uber Eats con activación deportiva en eventos masivos. Cluster mobility/delivery V3.</t>
  </si>
  <si>
    <t>Uber Technologies (matriz, NYSE: UBER); Estadio Akron (sponsor Uber One); F1 GP México; Liga MX clubes (jersey deals selectos); DiDi (competencia mobility MX)</t>
  </si>
  <si>
    <t>P-142</t>
  </si>
  <si>
    <t>Roberto Alcántara y Enrique Beltranena</t>
  </si>
  <si>
    <t>Founders, Viva Aerobus (Familia Alcántara) y Volaris (Beltranena CEO histórico) — fusión anunciada dic-2025 en proceso de aprobación regulatoria</t>
  </si>
  <si>
    <t>Fusión Viva Aerobus + Volaris anunciada en dic-2025, pendiente de aprobación COFECE/SCT. Crearía la aerolínea LCC #1 MX dominando el mercado low-cost. Cartera deportiva relevante: Volaris sponsor histórico FMF y Selección, Viva Aerobus sponsor Estadio Cuauhtémoc Puebla y eventos. Post-fusión: cluster aviación/movilidad sport sponsorship consolidado.</t>
  </si>
  <si>
    <t>COFECE (autoridad regulatoria fusión); SCT/SICT (regulatoria); FMF (Volaris sponsor histórico); Estadio Cuauhtémoc Puebla (Viva sponsor); ecosistema aviación MX; Aeroméxico (competencia)</t>
  </si>
  <si>
    <t>P-143</t>
  </si>
  <si>
    <t>Cristian Barrientos</t>
  </si>
  <si>
    <t>Presidente y CEO, Walmart de México y Centroamérica (WALMEX)</t>
  </si>
  <si>
    <t>Walmart MX (mayor retailer del país por ingresos, USD ~30B). Cluster sponsorships consumer: NFL México (jersey deals selectos), Liga MX clubes, eventos masivos. Sin cartera estructural sports propia pero anunciante blue-chip.</t>
  </si>
  <si>
    <t>Walmart Inc. (matriz USA); Doug McMillon (CEO global); NFL México; Liga MX (anunciante); ecosistema retail MX (Soriana, Chedraui)</t>
  </si>
  <si>
    <t>P-144</t>
  </si>
  <si>
    <t>Patricio Garza y Gilberto Hernández</t>
  </si>
  <si>
    <t>Co-Owners y Co-Presidentes, Capitanes de Ciudad de México (NBA G-League); Vitor Galvani Head Coach (Coach del Año G-League 2025-26)</t>
  </si>
  <si>
    <t>Co-fundadores y propietarios de la franquicia que en diciembre 2019 se convirtió en el primer equipo NBA G-League fuera de USA y Canadá (anuncio histórico junto a Adam Silver y Shareef Abdur-Rahim presidente G-League). Sede Arena Ciudad de México. Temporada 2025-26 récord 24-12, segundo sembrado Conferencia Oeste, debut en playoffs G-League el 1-abril-2026 vs Rip City Remix. Vitor Galvani (entrenador brasileño) nombrado Coach del Año G-League 2025-26 en su primer ciclo al mando, sustituyendo la era Ramón Díaz. Cluster crítico con NBA México y NBA Mexico City Game.</t>
  </si>
  <si>
    <t>NBA G-League (matriz, Shareef Abdur-Rahim presidente); NBA México (Raúl Zárraga DG); Adam Silver (Comisionado NBA); Vitor Galvani (Head Coach, Coach del Año 2025-26); Arena Ciudad de México (sede); Felipe Haase (capitán y figura del equipo); James Bouknight (jugador estrella); Mexico City Game NBA</t>
  </si>
  <si>
    <t>P-145</t>
  </si>
  <si>
    <t>Salvador Quirarte</t>
  </si>
  <si>
    <t>Presidente, Charros de Jalisco (LMB + LMP); Grupo Quirarte</t>
  </si>
  <si>
    <t>Equipo LMB y LMP de Guadalajara. Charros campeón LMP varias temporadas, base estable de fans GDL. Cluster béisbol con Tomateros, Diablos Rojos, Sultanes.</t>
  </si>
  <si>
    <t>LMP (Salvador Escobar Cornejo, A-083 P-035); LMB; Diablos Rojos (cluster béisbol, A-059); Sultanes/Jaguares Nayarit (cluster); Tomateros (A-138)</t>
  </si>
  <si>
    <t>P-146</t>
  </si>
  <si>
    <t>Enrique Mazón Rubio</t>
  </si>
  <si>
    <t>Presidente, Naranjeros de Hermosillo (LMP)</t>
  </si>
  <si>
    <t>Mazón es figura histórica LMP, fue uno de los presidentes que avaló la elección de Salvador Escobar Cornejo (A-083). Naranjeros con base en Hermosillo Sonora, máximo titulación LMP. Cluster béisbol noroeste.</t>
  </si>
  <si>
    <t>Salvador Escobar Cornejo (Pres. LMP, A-083 P-035); LMP (10 equipos); Sonora Gobierno; Mexicali 2025 (Serie del Caribe sede); Hermosillo 2027 (Serie del Caribe sede)</t>
  </si>
  <si>
    <t>P-147</t>
  </si>
  <si>
    <t>Familia Maíz</t>
  </si>
  <si>
    <t>Owners, Sultanes de Monterrey (LMB) — vendieron franquicia LMP a Tepic (Jaguares de Nayarit) en 2025</t>
  </si>
  <si>
    <t>Familia Maíz vendió la franquicia LMP de Sultanes de Monterrey a Tepic en 2025 (transformada en Jaguares de Nayarit). Mantienen Sultanes en LMB (Liga Mexicana de Beisbol verano). Cluster béisbol MTY con Diablos Rojos.</t>
  </si>
  <si>
    <t>Sultanes LMB (mantienen); Jaguares de Nayarit (LMP, ex Sultanes vendido 2025); Salvador Escobar Cornejo (Pres. LMP, A-083); FEMSA/Rayados (cluster MTY, A-044)</t>
  </si>
  <si>
    <t>P-148</t>
  </si>
  <si>
    <t>Juan Manuel Ley López</t>
  </si>
  <si>
    <t>Presidente, Tomateros de Culiacán (LMP)</t>
  </si>
  <si>
    <t>Juan Manuel Ley López, miembro del consejo de Casa Ley (cadena retail Sinaloa) y propietario Tomateros, máximo titulado LMP (12+ campeonatos). Cluster Sinaloa con Algodoneros, Cañeros, Águilas Mexicali.</t>
  </si>
  <si>
    <t>Casa Ley (familia Ley, retail Sinaloa); LMP (Salvador Escobar, A-083); Salvador Maldonado (presidencia operativa rotativa); Estadio Tomateros (sede); cluster béisbol Sinaloa</t>
  </si>
  <si>
    <t>P-149</t>
  </si>
  <si>
    <t>Familia Hank (Jorge Hank Rhon como propietario)</t>
  </si>
  <si>
    <t>Owners, Toros de Tijuana (LMB); ex-Pres. LMP Omar Canizales actualmente Pres. Ejecutivo Toros (cross-ref P-029 anterior)</t>
  </si>
  <si>
    <t>Toros de Tijuana en LMB. Bajo control familia Hank Rhon (cluster con Xolos LigaMX A-058). Omar Canizales (ex Pres. LMP 2009-2022) es actualmente Pres. Ejecutivo Toros desde 2024-25. Cluster béisbol noroeste y México-USA frontera.</t>
  </si>
  <si>
    <t>Jorge Hank Rhon (cluster Caliente, A-058); Familia Hank; Omar Canizales (Pres. Ejecutivo Toros; ex Pres. LMP 2009-2022); LMB; Xolos Tijuana (cluster Hank, A-058)</t>
  </si>
  <si>
    <t>P-150</t>
  </si>
  <si>
    <t>Familia Toledo Hernández</t>
  </si>
  <si>
    <t>Owners, Venados de Mazatlán (LMP)</t>
  </si>
  <si>
    <t>Familia Toledo Hernández como propietarios históricos de Venados Mazatlán. LMP cluster béisbol Sinaloa. Mazatlán fue sede Serie del Caribe 2021.</t>
  </si>
  <si>
    <t>LMP (Salvador Escobar, A-083); cluster béisbol Sinaloa (Tomateros A-138, Algodoneros, Cañeros); Mazatlán FC (cluster ciudad, A-065 ex-Salinas vendido a Escalante 2025)</t>
  </si>
  <si>
    <t>P-151</t>
  </si>
  <si>
    <t>Mauricio Sulaimán Saldívar</t>
  </si>
  <si>
    <t>Presidente, World Boxing Council (WBC) — sede CDMX</t>
  </si>
  <si>
    <t>Hijo de José Sulaimán (Pres. histórico WBC). Mauricio asumió en 2014. WBC con sede en Ciudad de México, organismo más prestigioso del boxeo mundial junto con WBA, IBF, WBO. Cluster directo con Canelo Promotions (A-016 P-079) — los cinturones supermediano vacantes (post-Crawford retirado) son administrados por WBC. Mauricio fue clave en el deal Canelo-Crawford 2025.</t>
  </si>
  <si>
    <t>Saúl "Canelo" Álvarez (boxeador, A-016 P-079); Eddy Reynoso (entrenador Canelo); Turki Alalshikh (PIF / Saudi General Entertainment Authority, partner Canelo); Christian M'billi (campeón actual WBC supermediano); Lester Martínez (interino WBC); WBA, IBF, WBO (peers)</t>
  </si>
  <si>
    <t>P-152</t>
  </si>
  <si>
    <t>Joe Ahern</t>
  </si>
  <si>
    <t>CEO, Elevate Sports Ventures</t>
  </si>
  <si>
    <t>Elevate Sports Ventures es agencia de hospitality/sponsorship/architecture sports global. Activos LATAM via Wasserman partnerships y eventos premium. Cluster con On Location (A-035 P-103) y Wasserman/THE·TEAM.</t>
  </si>
  <si>
    <t>Wasserman / THE·TEAM (alianza histórica, A-146); On Location (peer, A-035 P-103); ecosistema hospitality sports; Casey Wasserman (cluster, P-067)</t>
  </si>
  <si>
    <t>P-153</t>
  </si>
  <si>
    <t>Brian Wittman</t>
  </si>
  <si>
    <t>CEO y Founder, QuintEvents (incluye F1 Experiences)</t>
  </si>
  <si>
    <t>F1 Experiences es la oficial hospitality del F1 GP México (alianza con Liberty Media). QuintEvents tiene mandatos hospitality global F1 Grand Prix. Cluster directo con CIE/OCESA (A-020 operador GP) y Federico González Compeán (P-005 DG GP CDMX).</t>
  </si>
  <si>
    <t>Liberty Media F1 (matriz mandato); CIE/OCESA (A-020 operador GP); Federico González Compeán (DG F1 GP CDMX, P-005); Stephen Ross / Hard Rock (peer hospitality, A-068 P-056)</t>
  </si>
  <si>
    <t>P-154</t>
  </si>
  <si>
    <t>Diego Alarcón</t>
  </si>
  <si>
    <t>Founder, Pitz Group</t>
  </si>
  <si>
    <t>Pitz Group es agencia mexicana de consultoría sports/marketing dirigida por Diego Alarcón. Pieza estructural en V4 MX junto con Soccer Media Solutions (A-129) y Promofut (A-112). Foco en consultoría partnerships y representación.</t>
  </si>
  <si>
    <t>Soccer Media Solutions (peer, A-129); Promofut (peer, A-112); Wasserman/THE·TEAM (peer global, A-146); ecosistema agencias V4 MX</t>
  </si>
  <si>
    <t>P-155</t>
  </si>
  <si>
    <t>José Eshkenazi Smeke</t>
  </si>
  <si>
    <t>Director General y Key Principal, Soccer Media Solutions S.A. de C.V. (SMS); 15+ años marketing deportivo MX</t>
  </si>
  <si>
    <t>Empresa LÍDER en publicidad virtual y patrocinios deportivos en México con +150 clientes activos. Sede Av. Juan Salvador Agraz 65 piso 14-A, Cuajimalpa CDMX. Comercializa EN EXCLUSIVA inserciones virtuales (publicidad virtual en cancha) en los principales contenidos de TV Azteca: Selección Nacional de México, Liga MX, Copa Oro, Box Azteca, Super Bowl, La Voz, Masterchef, Exatlón, Survivor. Más de 15 años de experiencia conectando marcas con propiedades deportivas. Eshkenazi cerró el deal estratégico con TREBEL Music (2022) y el deal histórico FC Barcelona Femenino jugando pretemporada en México. Cluster directo con TV Azteca/Salinas (A-065) como proveedor exclusivo de virtuales.</t>
  </si>
  <si>
    <t>TV Azteca / Salinas (cliente exclusivo virtuales, A-065); Selección Mexicana de México (FMF, contenido core, A-043); Liga MX (contenido core, A-084); Copa Oro / Concacaf; Box Azteca; FC Barcelona Femenino (deal pretemporada MX); TREBEL Music (alianza exclusiva 2022, Gary Mekikian CEO); Cruz Azul (cliente, A-029); cluster V4 agencias MX (Pitz Group A-111, Promofut A-112, Jump SMS A-077)</t>
  </si>
  <si>
    <t>P-156</t>
  </si>
  <si>
    <t>Rafa Coronel y Pati Coronel</t>
  </si>
  <si>
    <t>Co-CEOs y Co-Founders, StayPro Group (sede Polanco, CDMX; representación atletas y creators)</t>
  </si>
  <si>
    <t>StayPro Group es la PRIMERA Y MÁS GRANDE agencia de talent management en LatAm (10+ años de operación). Representa a futbolistas mexicanos top: Edson Álvarez (capitán Selección Mexicana, West Ham United), Héctor Herrera (Atlético de Madrid histórico), Diego Reyes (Tigres), Carlos Rodríguez (Monterrey), 3 de las 4 más influyentes futbolistas mexicanas (Nailea Vidrio, Jana Gutiérrez, Alondra González), Kevin Álvarez (América/Selección). Tres títulos consecutivos con el Tri: Copa Oro 2024, Concacaf Nations League 2025, Copa Oro 2025. División Stay On Social maneja creators (Alana Flores 15M+ seguidores, Ara y Fer Hernández, Paco de Miguel, Salomondrin, Bárbara de Regil). Edson Álvarez nuevo embajador Choco Milk rumbo al Mundial 2026. Featured en Forbes México.</t>
  </si>
  <si>
    <t>Edson Álvarez (capitán Selección Mexicana, talento exclusivo); Héctor Herrera; Kevin Álvarez (Club América A-105/Selección); Alana Flores (creadora Raniza F.C.); Stay On Social (división creators); FMF/Selección Mexicana (clubes empleadores talentos, A-043); Wasserman/THE·TEAM (peer global, A-146); Pitz Group (peer V4, A-111); ecosistema Mundial 2026 (incremento 300% alcance digital)</t>
  </si>
  <si>
    <t>P-157</t>
  </si>
  <si>
    <t>Don Garber</t>
  </si>
  <si>
    <t>Comisionado MLS y CEO, SUM (Soccer United Marketing)</t>
  </si>
  <si>
    <t>CEO de Soccer United Marketing, brazo comercial MLS que gestiona derechos comerciales de selecciones nacionales (incluyendo el deal anterior FMF antes del traspaso a TEAM Marketing AG en oct-2025, A-135). SUM también opera Leagues Cup (MLS-Liga MX) y giras de selecciones en USA. Cluster directo con Apple TV (A-006 P-075) y Liga MX (A-084).</t>
  </si>
  <si>
    <t>MLS (matriz); Apple TV (deal MLS Season Pass, A-006 P-075); Liga MX / Leagues Cup (A-084 P-036); FMF (deal predecesor TEAM Marketing AG, A-135); Lionel Messi (Inter Miami)</t>
  </si>
  <si>
    <t>P-158</t>
  </si>
  <si>
    <t>Eric Baker</t>
  </si>
  <si>
    <t>CEO y Founder, Viagogo (incluye Helloticket y Tophop)</t>
  </si>
  <si>
    <t>Founder de Viagogo, segundo secondary marketplace global de boletos (compró StubHub 2020 USD 4B; spinoff posterior). Cartera secundaria amplia para WC26 y eventos premium MX.</t>
  </si>
  <si>
    <t>Viagogo (matriz); StubHub (peer/ex-subsidiaria, A-132); FIFA WC26 (secondary market); CIE/OCESA (primary market); ecosistema secondary ticketing global</t>
  </si>
  <si>
    <t>P-159</t>
  </si>
  <si>
    <t>Sundar Pichai</t>
  </si>
  <si>
    <t>CEO, Alphabet/Google (matriz YouTube)</t>
  </si>
  <si>
    <t>YouTube como vehículo deportivo MX: NFL Sunday Ticket (deal global desde 2023), Liga MX (canales oficiales clubes y YouTube TV potential rights), LMP temporada 2024-25 transmisión free vía YouTube post-disputa con televisoras. POI MX dedicado: Eduardo Sebastián Almeida (Director Consumer Apps YouTube LatAm) — pendiente reconfirmar.</t>
  </si>
  <si>
    <t>Sundar Pichai (CEO Alphabet/Google); NFL Sunday Ticket (deal global desde 2023); LMP temporada 2024-25 (transmisión free YouTube); ecosistema streaming MX (Netflix, Disney+, Paramount+)</t>
  </si>
  <si>
    <t>P-160</t>
  </si>
  <si>
    <t>Javier Hidalgo Ponce</t>
  </si>
  <si>
    <t>Director General, INDEPORTE — Instituto del Deporte de la Ciudad de México</t>
  </si>
  <si>
    <t>Decisor operativo del deporte público CDMX. Operador del Maratón CDMX Telcel (A-087, en alianza con Telcel/Slim), Medio Maratón CDMX BBVA (A-092 con Cornish Stanton P-062), eventos masivos en Zócalo y carreras populares. Brazo institucional del Gobierno CDMX (Clara Brugada). Reporta directamente a la Jefa de Gobierno.</t>
  </si>
  <si>
    <t>Clara Brugada (Jefa de Gobierno CDMX, jefa directa); Maratón CDMX Telcel (A-087); Medio Maratón CDMX BBVA (A-092); ASdeporte / Antonio Álvarez Martínez (operador, A-007); Estadio Banorte (relación institucional); FIFA WC26 (sede CDMX)</t>
  </si>
  <si>
    <t>Matriz binaria de capacidades funcionales · 33 subcapacidades en 9 verticales · Sí / Parcial / No</t>
  </si>
  <si>
    <t>Score V1</t>
  </si>
  <si>
    <t>Score V2</t>
  </si>
  <si>
    <t>Score V3</t>
  </si>
  <si>
    <t>Score V4</t>
  </si>
  <si>
    <t>Score V5</t>
  </si>
  <si>
    <t>Score V6</t>
  </si>
  <si>
    <t>Score V7</t>
  </si>
  <si>
    <t>Score V8</t>
  </si>
  <si>
    <t>Score V9</t>
  </si>
  <si>
    <t>Score Amplitud</t>
  </si>
  <si>
    <t>Tipo de capacidad</t>
  </si>
  <si>
    <t>Score Profundidad</t>
  </si>
  <si>
    <t>Score Compuesto</t>
  </si>
  <si>
    <t>V1.A</t>
  </si>
  <si>
    <t>V1.B</t>
  </si>
  <si>
    <t>V1.C</t>
  </si>
  <si>
    <t>V1.D</t>
  </si>
  <si>
    <t>V2.A</t>
  </si>
  <si>
    <t>V2.B</t>
  </si>
  <si>
    <t>V2.C</t>
  </si>
  <si>
    <t>V3.A</t>
  </si>
  <si>
    <t>V3.B</t>
  </si>
  <si>
    <t>V3.C</t>
  </si>
  <si>
    <t>V3.D</t>
  </si>
  <si>
    <t>V4.A</t>
  </si>
  <si>
    <t>V4.B</t>
  </si>
  <si>
    <t>V4.C</t>
  </si>
  <si>
    <t>V4.D</t>
  </si>
  <si>
    <t>V4.E</t>
  </si>
  <si>
    <t>V4.F</t>
  </si>
  <si>
    <t>V5.A</t>
  </si>
  <si>
    <t>V5.B</t>
  </si>
  <si>
    <t>V5.C</t>
  </si>
  <si>
    <t>V5.D</t>
  </si>
  <si>
    <t>V6.A</t>
  </si>
  <si>
    <t>V6.B</t>
  </si>
  <si>
    <t>V6.C</t>
  </si>
  <si>
    <t>V7.A</t>
  </si>
  <si>
    <t>V7.B</t>
  </si>
  <si>
    <t>V7.C</t>
  </si>
  <si>
    <t>V8.A</t>
  </si>
  <si>
    <t>V8.B</t>
  </si>
  <si>
    <t>V8.C</t>
  </si>
  <si>
    <t>V9.A</t>
  </si>
  <si>
    <t>V9.B</t>
  </si>
  <si>
    <t>V9.C</t>
  </si>
  <si>
    <t>Crea contenido</t>
  </si>
  <si>
    <t>Vende derechos primarios</t>
  </si>
  <si>
    <t>Gobernanza regulatoria</t>
  </si>
  <si>
    <t>Controla derechos en vivo</t>
  </si>
  <si>
    <t>Plataforma propia</t>
  </si>
  <si>
    <t>Producción editorial</t>
  </si>
  <si>
    <t>Patrocina clubes</t>
  </si>
  <si>
    <t>Patrocina liga/federación/selección</t>
  </si>
  <si>
    <t>Patrocina eventos puntuales</t>
  </si>
  <si>
    <t>Patrocina atletas/talento</t>
  </si>
  <si>
    <t>Strategy &amp; Advisory</t>
  </si>
  <si>
    <t>Rights Sales</t>
  </si>
  <si>
    <t>Brand Activation</t>
  </si>
  <si>
    <t>Content / PR</t>
  </si>
  <si>
    <t>Talent Marketing</t>
  </si>
  <si>
    <t>Sponsorship Intelligence</t>
  </si>
  <si>
    <t>Eventos puntuales</t>
  </si>
  <si>
    <t>Hospitality premium</t>
  </si>
  <si>
    <t>Retail fitness/wellness</t>
  </si>
  <si>
    <t>Venue como experiencia</t>
  </si>
  <si>
    <t>Ticketing primaria</t>
  </si>
  <si>
    <t>Ticketing secundaria</t>
  </si>
  <si>
    <t>SaaS ticketing B2B</t>
  </si>
  <si>
    <t>Propiedad legal venue</t>
  </si>
  <si>
    <t>Operación comercial venue</t>
  </si>
  <si>
    <t>Venue multi-uso</t>
  </si>
  <si>
    <t>Apuestas / fintech</t>
  </si>
  <si>
    <t>Data/broadcasting tech B2B</t>
  </si>
  <si>
    <t>Tech in-venue / fan eng.</t>
  </si>
  <si>
    <t>Capital de control</t>
  </si>
  <si>
    <t>Capital minoritario activo</t>
  </si>
  <si>
    <t>Inversión deportiva profesional</t>
  </si>
  <si>
    <t>Parcial</t>
  </si>
  <si>
    <t>7 clusters del ecosistema deportivo mexicano · Estructura clave-valor por cluster</t>
  </si>
  <si>
    <t>↓ Cada cluster ocupa un bloque con 6 atributos: Nombre, Actores núcleo, Actor central, POI principal, Conexiones internas clave, Insight ejecutivo, Hueco accionable. Cross-references entre clusters se documentan en Insight ejecutivo.</t>
  </si>
  <si>
    <t>CLUSTER 1 — GRUPO ÁGUILAS  ·  Ollamani × General Atlantic × Banorte × KAGR</t>
  </si>
  <si>
    <t>Nombre</t>
  </si>
  <si>
    <t>Grupo Águilas — el primer holding deportivo MX con capital PE global</t>
  </si>
  <si>
    <t>Actores núcleo</t>
  </si>
  <si>
    <t>A-105 Ollamani · A-050 General Atlantic · A-078 KAGR (Kraft Analytics) · A-009 Banorte · A-137 TelevisaUnivision</t>
  </si>
  <si>
    <t>Actor central</t>
  </si>
  <si>
    <t>A-105 Ollamani, S.A.B. (BMV: AGUILAS)  ·  51% del JV Grupo Águilas</t>
  </si>
  <si>
    <t>POI principal</t>
  </si>
  <si>
    <t>Emilio Azcárraga Jean (Presidente Ejecutivo Grupo Águilas)</t>
  </si>
  <si>
    <t>Conexiones internas clave</t>
  </si>
  <si>
    <t>GA→Ollamani 49% Grupo Águilas (USD 490M, dic-2025, R-264) · Banorte→Estadio Banorte naming (R-035) · KAGR→Ollamani alianza CRM/datos (R-266) · TelevisaUnivision spin-off histórico (Ollamani escindida feb-2024) · Club América + Estadio Banorte + terrenos adyacentes empacados en el JV</t>
  </si>
  <si>
    <t>Insight ejecutivo</t>
  </si>
  <si>
    <t>Primera entrada de PE global a un club Liga MX top-tier. El JV detona la ola 2026 de capital internacional en futbol MX (Apollo cerrando Atlético Madrid mar-2026 va por la misma puerta). Banorte como naming sponsor financia la remodelación pre-WC26 vía préstamo respaldado por el contrato. La triangulación con KAGR es el primer caso MX de arquitectura de datos premium estilo NE Patriots/Kraft Sports.</t>
  </si>
  <si>
    <t>Hueco accionable</t>
  </si>
  <si>
    <t>El JV todavía no comunica cómo va a monetizar los terrenos adyacentes al Banorte ni si abre línea de hospitality premium aprovechando la alianza con KAGR. Quien capture ese deal antes de WC26 tiene un activo nuevo en MX.</t>
  </si>
  <si>
    <t>CLUSTER 2 — CLUBES LIGA MX STANDALONE  ·  Necaxa · Toluca · Cruz Azul · Pumas</t>
  </si>
  <si>
    <t>Los 4 clubes Liga MX que NO se absorben bajo holding diversificado (excepción R-12)</t>
  </si>
  <si>
    <t>A-021 Necaxa · A-022 Toluca · A-029 Cruz Azul · A-115 Pumas UNAM</t>
  </si>
  <si>
    <t>Ninguno único — son standalones precisamente porque cada uno opera con gobernanza diferente (cooperativa CA, asociación civil Pumas, sociedad familiar Toluca/Necaxa)</t>
  </si>
  <si>
    <t>Al Tylis (Necaxa co-chairman vía family office, además CEO Apollo Sports Capital) · Familia Harp Helú (Toluca, vínculo con A-059)</t>
  </si>
  <si>
    <t>Necaxa↔Apollo Sports Capital (A-005) vía Tylis personal · Toluca↔Grupo Martí/Harp (A-059) histórico · Cruz Azul juega parcialmente en Banorte (Clausura 2026) compartiendo venue con América · Pumas juega en Estadio Olímpico Universitario (A-039, único venue propio UNAM)</t>
  </si>
  <si>
    <t>Estos 4 clubes son la prueba de la R-12. Mostrarlos juntos visibiliza que el universo MX NO es 18 holdings = 18 clubes. Es asimétrico: 14 clubes absorbidos bajo holdings diversificados + 4 standalones por estructura de gobierno. Esto importa porque cada standalone tiene caja propia chica y depende de sponsorship/ticketing/transferencias sin subsidio cruzado.</t>
  </si>
  <si>
    <t>Necaxa es el caso donde Apollo entró antes de tener vehículo formal (Tylis vía family office, 2020). Si Apollo eventualmente consolida Necaxa bajo ASC, sale del cluster standalone y migra al cluster Apollo. Hay que monitorear.</t>
  </si>
  <si>
    <t>CLUSTER 3 — FMF · LIGA MX · SELECCIÓN  ·  La gobernanza del futbol mexicano</t>
  </si>
  <si>
    <t>La gobernanza del futbol MX — institucional + competitivo + comercial USA</t>
  </si>
  <si>
    <t>A-043 FMF · A-084 Liga MX · A-151 Liga BBVA MX Femenil · A-123 Selección Mexicana · A-124 Selección Femenil · A-134 SUM · A-027 FIFA WC26</t>
  </si>
  <si>
    <t>A-043 FMF (Federación Mexicana de Fútbol) — gobierna todo el sistema vía Asamblea de Dueños</t>
  </si>
  <si>
    <t>Mikel Arriola (Presidente Liga MX)  ·  Juan Carlos Rodríguez (Presidente Ejecutivo FMF)</t>
  </si>
  <si>
    <t>FMF↔Liga MX (matriz directa) · FMF↔Selección (control derechos) · Liga MX→Liga MX Femenil membresía (R-13) · SUM↔FMF contrato exclusivo USA hasta 2028 (6 amistosos/año, ~1/3 presupuesto FMF) · WC26 país anfitrión (3 sedes: Banorte, BBVA, Akron) · Asamblea de Dueños aprobó eliminación de multipropiedad abr-2026</t>
  </si>
  <si>
    <t>La FMF es el cluster con más palancas regulatorias: aprueba/rechaza compras de clubes, normaliza contratos de TV centralizados, define quién juega en territorio USA. El contrato SUM es el activo comercial más grande del futbol mexicano que no se discute públicamente. La Selección genera más dinero jugando en USA que en MX. Liga MX Femenil pendiente de definir si centraliza derechos de TV o los fragmenta por club.</t>
  </si>
  <si>
    <t>Tras Mundial 2026 vence el contrato MX-USA marketing rights el 2028 (SUM). La negociación ya está abierta en silencio. Quien pueda construir una alternativa a SUM (o presentarse como upgrade) tiene una conversación abierta con FMF.</t>
  </si>
  <si>
    <t>CLUSTER 4 — CIE/OCESA · F1 GP MX · GNP NAMING  ·  El gatekeeper de venues y festivales</t>
  </si>
  <si>
    <t>CIE/OCESA + ecosistema venues bajo naming GNP</t>
  </si>
  <si>
    <t>A-020 CIE/OCESA · A-055 Gran Premio de México F1 · A-053 GNP Seguros/Grupo BAL · A-149 Coliseo GNP Zapopan · A-040 F1 Experiences/QuintEvents · A-013 Boletomóvil · A-132 StubHub</t>
  </si>
  <si>
    <t>A-020 CIE/OCESA — operador líder de venues y festivales MX</t>
  </si>
  <si>
    <t>Alejandro Soberón (CEO CIE/OCESA) · Federico González Compeán (Director General GP México)</t>
  </si>
  <si>
    <t>OCESA opera Estadio GNP Seguros (ex Foro Sol), Palacio de los Deportes, Arena CDMX y Coliseo GNP Zapopan (lease 10 años) · GP México se realiza en Autódromo Hermanos Rodríguez (que OCESA acondiciona) · F1 Experiences hospitality oficial · GNP naming en 5+ venues simultáneos (Estadio GNP, Coliseo GNP, Arena GNP Acapulco, Foro GNP Mérida, Auditorio GNP Puebla) · Pulso GNP festival OCESA</t>
  </si>
  <si>
    <t>OCESA es estructuralmente el actor más diversificado del cluster V5/V7. 7 festivales mayores + 4 venues + 10M asistentes/año (7.5% población MX). El naming GNP en 5+ venues es la estrategia de sponsorship más agresiva en MX, replica modelo Allianz Arena escalado a portfolio. GNP financia infrastructura vía contratos de naming en lugar de equity directo.</t>
  </si>
  <si>
    <t>Coliseo GNP Zapopan abrió abr-2026 como segundo modelo OCESA+GNP fuera de CDMX. La pregunta es si replica a Monterrey (alianza con FEMSA/CEMEX) o a Tijuana (donde Caliente domina venues). Quien construya el tercer venue OCESA+GNP regional define el cluster por la próxima década.</t>
  </si>
  <si>
    <t>CLUSTER 5 — FIFA WC26 EN MÉXICO  ·  El temporal que mueve todo en 2026</t>
  </si>
  <si>
    <t>Copa Mundial FIFA 2026 — el evento temporal que reordena el ecosistema</t>
  </si>
  <si>
    <t>A-027 FIFA WC26 · A-045 FIFA Ticketing · A-105 Ollamani/Estadio Banorte (sede inaugural) · A-044 FEMSA/Estadio BBVA · A-061 Omnilife/Akron · A-149 Coliseo GNP Zapopan · A-074 Incode (biometría Fan ID) · A-079 Konnecta · A-117 Roadtrips · A-042 FANKI</t>
  </si>
  <si>
    <t>A-027 FIFA WC26 — México anfitrión con 13 partidos (3 sedes principales + Guadalajara)</t>
  </si>
  <si>
    <t>Gianni Infantino (Presidente FIFA) · Heidi Beirich (FIFA Director Ticketing) · Equipo país-anfitrión FMF</t>
  </si>
  <si>
    <t>Estadio Banorte: partido inaugural + 5 partidos · Estadio BBVA: 4 partidos · Estadio Akron: 4 partidos · FANKI captura ticketing primario en Banorte tras desplazar a Ticketmaster · FIFA Ticketing global vía Konnecta + Roadtrips · Incode provee biometría Fan ID para entrada · INDEPORTE coordina logística CDMX</t>
  </si>
  <si>
    <t>WC26 no es solo un evento, es un catalizador de transición permanente: forzó la modernización del Banorte (USD 200M), aceleró el rebrand Estadio Azteca→Banorte vía naming (R-035), trajo FANKI como nuevo estándar de boletería, abrió la puerta a biometría Fan ID (Incode) que sobrevive al evento, y consolidó el cluster OCESA-GNP-Vegas como hospitality premium en MX. El legado infrastructure cambia el ecosistema 5-10 años.</t>
  </si>
  <si>
    <t>Sin claridad sobre qué hace MX con la infraestructura WC26 después. FIFA se va el 19-jul-2026. Tres preguntas abiertas: (a) ¿Banorte reabre a Liga MX inmediatamente o queda en pausa? (b) ¿FANKI mantiene el rol post-WC26 o vuelve a Ticketmaster/Boletomóvil? (c) ¿La biometría Fan ID se extiende a Liga MX permanente?</t>
  </si>
  <si>
    <t>CLUSTER 6 — RUNNING &amp; WELLNESS  ·  Fragmentación + monetización por marca</t>
  </si>
  <si>
    <t>Running, ciclismo y wellness — el cluster fragmentado pero comercialmente denso</t>
  </si>
  <si>
    <t>A-007 ASdeporte · A-087 Maratón CDMX Telcel · A-092 Medio Maratón CDMX BBVA · A-093 Medio Maratón GDL Electrolit · A-088 Maratón Powerade MTY · A-143 Victum Sports (HYROX MX) · A-128 Smart Fit · A-033 Electrolit · A-114 Puma · A-103 Nike · A-001 adidas</t>
  </si>
  <si>
    <t>Ninguno único — el cluster es estructuralmente fragmentado</t>
  </si>
  <si>
    <t>Pablo Vásquez (CEO ASdeporte)</t>
  </si>
  <si>
    <t>ASdeporte opera Circuito de las Estaciones + L'Étape MX + Tune Up + Woman Up · Maratón CDMX naming Telcel · Medio Maratón CDMX naming BBVA · Medio Maratón GDL naming Electrolit · Marcas (Puma, Nike, adidas) compiten por sponsorship eventos · Smart Fit como retail-touchpoint del fitness mainstream</t>
  </si>
  <si>
    <t>Único cluster sin actor dominante. Esto NO es debilidad estructural: cada maratón mayor tiene un naming sponsor diferente (Telcel CDMX, BBVA Half, Electrolit GDL, Powerade MTY) y eso permite sponsorship parallel sin canibalización. Bajo nivel de consolidación = oportunidad de roll-up para un operador con capital, similar a IRONMAN consolidando triatlones globales.</t>
  </si>
  <si>
    <t>No hay un operador MX consolidado de eventos masivos endurance. Lo más cercano es ASdeporte pero solo cubre running/triatlón y se limita a su circuito propio. Una plataforma agregadora (ticketing + branding + logística + datos) capturaría el cluster antes que IRONMAN/SuperLeague Triathlon entren agresivamente.</t>
  </si>
  <si>
    <t>CLUSTER 7 — APOLLO · ENDEAVOR · GENERAL ATLANTIC  ·  El capital global llegando</t>
  </si>
  <si>
    <t>Capital deportivo global con vehículos activos en MX</t>
  </si>
  <si>
    <t>A-005 Apollo Sports Capital · A-035 Endeavor/WME · A-050 General Atlantic · A-110 PIF Saudi · A-125 Silver Lake · A-046 Fillip Holdings · A-076 Innovatio Capital · A-066 Grupo Vidanta · A-030 CVC Capital Partners</t>
  </si>
  <si>
    <t>A-005 Apollo Sports Capital — el más activo y agresivo en MX 2026 ($6B blitz plan)</t>
  </si>
  <si>
    <t>Al Tylis (CEO Apollo Sports Capital) · Ari Emanuel (CEO Endeavor)</t>
  </si>
  <si>
    <t>Apollo→Atlético Madrid mayoritario (mar-2026)→Atlético San Luis MX (cadena formal) · Apollo+Tom Dundon→Pickleball Inc USD 225M (may-2026) · Apollo→Tylis personal→Necaxa co-chairman (no Apollo directo) · General Atlantic→Ollamani 49% Grupo Águilas (USD 490M, dic-2025) · Endeavor/Silver Lake take-private cerrado 2025 (USD 13B); Endeavor→TKO Holdings (UFC+WWE+AAA) · Innovatio Capital→Club Querétaro (USD 120M, jul-2025) · PIF→LIV Golf MX</t>
  </si>
  <si>
    <t>En 12 meses el capital global cerró 4 deals mayores en MX: Innovatio/Querétaro (jul-2025, USD 120M), GA/Grupo Águilas (dic-2025, USD 490M), PRODI/Atlas (abr-2026, USD 220M), Apollo/Atlético Madrid cerrando ASL (mar-2026). Total ~USD 900M de equity nuevo entrando al ecosistema MX. Estos vehículos no son comparables: Apollo busca yield + control, GA busca crecimiento, Innovatio busca turnaround, PIF busca brand. Cada uno requiere una conversación diferente.</t>
  </si>
  <si>
    <t>El sector con más capital disponible y menos targets MX maduros es V8 sports tech. Apollo+GA+Silver Lake+CVC tendrían apetito por una plataforma sports-data MX a escala (alguien estilo Genius Sports pero LATAM-native). Hoy no existe. Quien construya esa pieza con suficiente data o se posicione como agregador captura el siguiente deal de $100-300M.</t>
  </si>
  <si>
    <t>DICCIONARIO DE CAMPOS</t>
  </si>
  <si>
    <t>Lista canónica de campos del workbook · Una sola fuente de verdad por concepto</t>
  </si>
  <si>
    <t>Campo</t>
  </si>
  <si>
    <t>Hoja origen</t>
  </si>
  <si>
    <t>Tipo de dato</t>
  </si>
  <si>
    <t>Valores permitidos</t>
  </si>
  <si>
    <t>Obligatorio</t>
  </si>
  <si>
    <t>Criterio de asignación</t>
  </si>
  <si>
    <t>Notas</t>
  </si>
  <si>
    <t>↓ Catálogo completo de campos del workbook. Una sola fuente de verdad por concepto. Para cualquier conflicto entre hojas, este diccionario prevalece.</t>
  </si>
  <si>
    <t>ID</t>
  </si>
  <si>
    <t>Texto</t>
  </si>
  <si>
    <t>A-001 a A-XXX (4 dígitos)</t>
  </si>
  <si>
    <t>Identificador único e inmutable del actor en el workbook.</t>
  </si>
  <si>
    <t>Asignación secuencial al cargar. Una vez asignado NO se reutiliza si el actor se desactiva.</t>
  </si>
  <si>
    <t>Convención: A- prefijo + 3 dígitos. Inmutable.</t>
  </si>
  <si>
    <t>V1-001 a V9-XXX</t>
  </si>
  <si>
    <t>Identificador secundario del actor en su vertical primaria.</t>
  </si>
  <si>
    <t>Asignado en el orden de carga dentro de la vertical primaria.</t>
  </si>
  <si>
    <t>Permite cruce rápido con FICHAS_Vx. Inmutable.</t>
  </si>
  <si>
    <t>—</t>
  </si>
  <si>
    <t>Nombre canónico del actor como aparece en comunicaciones oficiales.</t>
  </si>
  <si>
    <t>Usar el nombre legal o el más conocido públicamente. Para holdings: nombre del holding + activo principal entre paréntesis.</t>
  </si>
  <si>
    <t>Ejemplo: Ollamani, S.A.B. / Grupo Águilas (Club América + Estadio Banorte)</t>
  </si>
  <si>
    <t>Vertical Primaria</t>
  </si>
  <si>
    <t>Lista</t>
  </si>
  <si>
    <t>V1, V2, V3, V4, V5, V6, V7, V8, V9</t>
  </si>
  <si>
    <t>Vertical funcional principal donde el actor concentra su actividad operativa.</t>
  </si>
  <si>
    <t>Regla T-01: la vertical donde tiene mayor Score (puntajes 1.0 / 0.5 / 0) en las subcaps de esa vertical. Empate: la primera por orden V1→V9.</t>
  </si>
  <si>
    <t>Solo UNA. Las demás presencias se documentan vía Etiquetas Secundarias.</t>
  </si>
  <si>
    <t>Etiquetas Secundarias</t>
  </si>
  <si>
    <t>Lista (multi)</t>
  </si>
  <si>
    <t>Verticales adicionales donde el actor tiene presencia operativa (Score ≥ 0.5).</t>
  </si>
  <si>
    <t>Auto-derivable de AMPLITUD FUNCIONAL. Se documenta para visibilidad rápida sin abrir AF.</t>
  </si>
  <si>
    <t>Separadas por coma. Ejemplo: V5, V7</t>
  </si>
  <si>
    <t>L_TIPO_ACTOR (33 valores)</t>
  </si>
  <si>
    <t>Categoría operativa del actor (Holding, Club, Liga, Sponsor, Federación, etc).</t>
  </si>
  <si>
    <t>Asignación por naturaleza primaria del actor.</t>
  </si>
  <si>
    <t>Ver _LISTAS columna M para catálogo completo.</t>
  </si>
  <si>
    <t>Tier 1, Tier 2, Tier 3</t>
  </si>
  <si>
    <t>Nivel de relevancia estratégica del actor en el ecosistema.</t>
  </si>
  <si>
    <t>Tier 1: actor dominante en su vertical / Tier 2: actor relevante con escala / Tier 3: actor menor con señal estratégica diferenciada (regla R-08).</t>
  </si>
  <si>
    <t>51 Tier 1, 63 Tier 2, resto Tier 3.</t>
  </si>
  <si>
    <t>País</t>
  </si>
  <si>
    <t>México, USA, España, Brasil, etc.</t>
  </si>
  <si>
    <t>País de origen del HQ corporativo del actor.</t>
  </si>
  <si>
    <t>Para multinacionales: país del HQ global, no de la oficina MX.</t>
  </si>
  <si>
    <t>Apollo Sports Capital = USA (aunque opera ASL en MX).</t>
  </si>
  <si>
    <t>Ciudad</t>
  </si>
  <si>
    <t>Ciudad del HQ operativo en México (cuando aplica).</t>
  </si>
  <si>
    <t>Para multinacionales sin oficina MX: dejar vacío.</t>
  </si>
  <si>
    <t>Rol</t>
  </si>
  <si>
    <t>Síntesis de una línea de qué hace el actor.</t>
  </si>
  <si>
    <t>Empezar con verbo de acción (opera, produce, distribuye, monetiza, regula...). Max 100 chars.</t>
  </si>
  <si>
    <t>Se usa en Overview de fichas y dashboards.</t>
  </si>
  <si>
    <t>Sector</t>
  </si>
  <si>
    <t>Sector de mercado donde opera el actor.</t>
  </si>
  <si>
    <t>Usar nomenclatura GICS o equivalente: Sports Media, Consumer Brands, Financial Services, Private Equity, etc.</t>
  </si>
  <si>
    <t>Diferenciar Sector (Consumer Brands) de Tipo (Sponsor).</t>
  </si>
  <si>
    <t>Texto largo</t>
  </si>
  <si>
    <t>Párrafo de 2-4 líneas explicando qué hace el actor, su escala y su relevancia para el ecosistema MX.</t>
  </si>
  <si>
    <t>Información factual verificable. Sin opiniones ni adjetivos sin sustento. Cerrar con dato de escala (USD, % market share, # de propiedades, etc.) cuando se tenga.</t>
  </si>
  <si>
    <t>Es la primera fuente para el Overview de fichas.</t>
  </si>
  <si>
    <t>Síntesis de relevancia estratégica: ¿qué pasaría si este actor desapareciera mañana?</t>
  </si>
  <si>
    <t>Pensar en el contrafáctico. Si hay sustitutos directos en el ecosistema MX, el actor es menos crítico.</t>
  </si>
  <si>
    <t>Útil para priorización en deliverables al cliente.</t>
  </si>
  <si>
    <t>Productos / Propiedades</t>
  </si>
  <si>
    <t>Lista de propiedades distintivas, productos o subsidiarias del actor.</t>
  </si>
  <si>
    <t>Separar con · (middle dot). Incluir naming sponsors, eventos seriales, venues operados, marcas controladas. Para holdings: incluir club varonil + femenil cuando aplique (R-13).</t>
  </si>
  <si>
    <t>Es el campo más usado en el Dashboard y FICHAS.</t>
  </si>
  <si>
    <t>Estructura corporativa</t>
  </si>
  <si>
    <t>Forma legal del actor: S.A.B., S.A. de C.V., LLC, Foundation, Family Office, etc.</t>
  </si>
  <si>
    <t>Tomar del registro mercantil o documento corporativo público.</t>
  </si>
  <si>
    <t>Notas sobre estructura de ownership, cambios accionarios recientes, controlling shareholders.</t>
  </si>
  <si>
    <t>Cuando aplica regla R-12/R-13: incluir marker explícito ej. [R-13: Propiedad cross-género...]. Cuando hay venta en proceso: marcar [VENTA EN PROCESO] con fecha esperada de cierre.</t>
  </si>
  <si>
    <t>Campo crítico para tracking de cambios estructurales 2025-2026.</t>
  </si>
  <si>
    <t>Web</t>
  </si>
  <si>
    <t>URL</t>
  </si>
  <si>
    <t>Sitio web oficial del actor.</t>
  </si>
  <si>
    <t>URL completa con https://. Usar dominio corporativo no marketing.</t>
  </si>
  <si>
    <t>Certeza</t>
  </si>
  <si>
    <t>Verificado, Fuente única, Desactivado</t>
  </si>
  <si>
    <t>Nivel de validación de la información del actor.</t>
  </si>
  <si>
    <t>Verificado: dos fuentes mínimo. Fuente única: información de un solo origen, marcar para validar. Desactivado: actor removido del scope pero mantenido para trazabilidad.</t>
  </si>
  <si>
    <t>En v1.00.29: 2 actores Desactivados (Hard Rock Stadium, CAA Sports MX).</t>
  </si>
  <si>
    <t>Sí, No</t>
  </si>
  <si>
    <t>Si el actor se incluye en visualizaciones (bubble map, network) y dashboards.</t>
  </si>
  <si>
    <t>No: para actores Desactivados o que se mantienen para trazabilidad histórica sin querer comunicarlos.</t>
  </si>
  <si>
    <t>110 visualizables de 151 totales.</t>
  </si>
  <si>
    <t>Score V1 a V9</t>
  </si>
  <si>
    <t>Numérico</t>
  </si>
  <si>
    <t>0 a 4 (suma de subcaps)</t>
  </si>
  <si>
    <t>Calc</t>
  </si>
  <si>
    <t>Promedio de las subcapacidades de cada vertical para el actor.</t>
  </si>
  <si>
    <t>Cada vertical tiene 3-6 subcaps. Suma de scores 1.0/0.5/0 dividido entre número de subcaps activas.</t>
  </si>
  <si>
    <t>Calculado automáticamente desde la matriz 151×33.</t>
  </si>
  <si>
    <t>Amplitud</t>
  </si>
  <si>
    <t>0 a 9</t>
  </si>
  <si>
    <t>Suma simple de los 9 scores Vx.</t>
  </si>
  <si>
    <t>Cuanto más alto, mayor presencia cross-vertical.</t>
  </si>
  <si>
    <t>Holdings diversificados dominan este score.</t>
  </si>
  <si>
    <t>Profundidad</t>
  </si>
  <si>
    <t>0 a 1</t>
  </si>
  <si>
    <t>Amplitud dividida entre número de verticales con presencia &gt; 0.</t>
  </si>
  <si>
    <t>Cuanto más alto, mayor concentración funcional en pocas verticales.</t>
  </si>
  <si>
    <t>Especialistas dominan este score.</t>
  </si>
  <si>
    <t>Compuesto</t>
  </si>
  <si>
    <t>Combinación normalizada 50/50 de Amplitud y Profundidad contra el max observado.</t>
  </si>
  <si>
    <t>Es el score de referencia para rankings. Balancea ancho y profundidad.</t>
  </si>
  <si>
    <t>Top: Endeavor 0.781, FEMSA 0.781, OCESA 0.729.</t>
  </si>
  <si>
    <t>Especialista / Multi-capacidad / Diversificado</t>
  </si>
  <si>
    <t>Categoría auto-derivada por número de verticales con presencia (Score Vx ≥ 1).</t>
  </si>
  <si>
    <t>Especialista: 1-2 verticales. Multi-capacidad: 3-4. Diversificado: 5+.</t>
  </si>
  <si>
    <t>En v1.00.29: 129 Especialistas, 16 Multi-capacidad, 0 Diversificado.</t>
  </si>
  <si>
    <t>R-001 a R-XXX</t>
  </si>
  <si>
    <t>Identificador único e inmutable de la relación.</t>
  </si>
  <si>
    <t>Asignación secuencial al cargar. No reutilizable si la relación se elimina.</t>
  </si>
  <si>
    <t>Actor A</t>
  </si>
  <si>
    <t>ID de UM</t>
  </si>
  <si>
    <t>Identificador del actor del lado activo de la relación.</t>
  </si>
  <si>
    <t>Regla M-01: dirección A→B donde A es el agente, B el receptor.</t>
  </si>
  <si>
    <t>Sponsorship A=marca, B=propiedad esponsoreada. Ownership A=padre, B=hijo.</t>
  </si>
  <si>
    <t>Actor B</t>
  </si>
  <si>
    <t>Identificador del actor del lado receptor.</t>
  </si>
  <si>
    <t>Ver M-01.</t>
  </si>
  <si>
    <t>L_TIPO_RELACION (8 valores)</t>
  </si>
  <si>
    <t>Tipo canónico: Sponsorship, Institutional/Regulatory, Rights/Media, Venue/Operations, Ticketing/Access, Agency/Intermediation, Ownership/Control, Data/Fan Intelligence, Strategic/Operational.</t>
  </si>
  <si>
    <t>Asignación según naturaleza primaria de la relación. Si hay dos tipos: crear dos relaciones separadas.</t>
  </si>
  <si>
    <t>Top 3 en v1.00.30: Sponsorship 71, Inst./Reg 39, Data/Fan 29.</t>
  </si>
  <si>
    <t>R1, R2, R3</t>
  </si>
  <si>
    <t>Nivel de validación / certeza de la relación.</t>
  </si>
  <si>
    <t>R1: dos fuentes mínimo + relación pública. R2: una fuente confiable o relación pública pero no documentada en detalle. R3: inferida lógicamente, pendiente verificación.</t>
  </si>
  <si>
    <t>A→B, A↔B</t>
  </si>
  <si>
    <t>Direccionalidad de la relación.</t>
  </si>
  <si>
    <t>A→B: una dirección clara. A↔B: bidireccional simétrica (raro, solo en JVs o membresías).</t>
  </si>
  <si>
    <t>Qué es exactamente la relación: contrato, alianza, propiedad, etc.</t>
  </si>
  <si>
    <t>Empezar con sustantivo concreto. Incluir cifra (USD, %, fechas) cuando exista.</t>
  </si>
  <si>
    <t>Relevancia estratégica de la relación.</t>
  </si>
  <si>
    <t>Pensar en el contrafáctico: ¿qué cambia si la relación se rompe?</t>
  </si>
  <si>
    <t>Fuente</t>
  </si>
  <si>
    <t>Referencias bibliográficas, URLs o documentos de respaldo.</t>
  </si>
  <si>
    <t>Comunicados oficiales, prensa especializada (ESPN, Sportico, Forbes), filings (BMV, SEC).</t>
  </si>
  <si>
    <t>P-001 a P-XXX</t>
  </si>
  <si>
    <t>Identificador único de la persona física.</t>
  </si>
  <si>
    <t>Asignación secuencial. Inmutable.</t>
  </si>
  <si>
    <t>Actor asociado</t>
  </si>
  <si>
    <t>Actor al que está vinculado el POI.</t>
  </si>
  <si>
    <t>Si el POI está vinculado a 2+ actores, crear entradas separadas o documentar en Notas.</t>
  </si>
  <si>
    <t>Tier POI</t>
  </si>
  <si>
    <t>Nivel de poder de decisión.</t>
  </si>
  <si>
    <t>Tier 1: decisor último (CEO, dueño, presidente). Tier 2: operativo clave con autoridad presupuestal. Tier 3: relevante con visibilidad pública sin poder de decisión final.</t>
  </si>
  <si>
    <t>ID Regla</t>
  </si>
  <si>
    <t>M-XX, R-XX, E-XX, T-XX, V-XX, P-XX, REL-XX, S-XX, SAT-XX, M-AF-XX</t>
  </si>
  <si>
    <t>Identificador único de la regla.</t>
  </si>
  <si>
    <t>Prefijo según categoría: M=Master, R=Consolidación, E=Excepción, T=Vertical/Tier, V=Validación, P=POI, REL=Relación, S=Scope, SAT=Saturación, M-AF=Calificación AF.</t>
  </si>
  <si>
    <t>22 reglas vigentes en v1.00.30.</t>
  </si>
  <si>
    <t>Estado</t>
  </si>
  <si>
    <t>Reglas vigentes que rigen el proyecto · Sin tags de fase · Solo lo que está vivo hoy</t>
  </si>
  <si>
    <t>Categoría</t>
  </si>
  <si>
    <t>Ámbito de aplicación</t>
  </si>
  <si>
    <t>Enunciado</t>
  </si>
  <si>
    <t>Ejemplo afirmativo</t>
  </si>
  <si>
    <t>Ejemplo negativo</t>
  </si>
  <si>
    <t>M-01</t>
  </si>
  <si>
    <t>Actor A es la fuente de la acción (rol activo). Actor B es el receptor / objeto del rol. Para Ownership/Control: A es el propietario, B el controlado. Para Sponsorship: A es el sponsor, B la propiedad patrocinada. Para Rights/Media: A es el broadcaster, B la propiedad cuyos derechos transmite. Para Ticketing: A la plataforma, B el evento. Para Hospitality: A el proveedor, B el evento. Para Agency: A la agencia, B el cliente. Para Venue/Ops: A el operador, B el venue. Para Data/Fan Intel: A el proveedor tech, B el cliente. Para Institutional: A el regulador, B el regulado. Dirección por defecto A→B.</t>
  </si>
  <si>
    <t>Omnilife (A) → Chivas (B): ownership</t>
  </si>
  <si>
    <t>Chivas (A) → Omnilife (B): incorrecto, invertir</t>
  </si>
  <si>
    <t>Vigente</t>
  </si>
  <si>
    <t>R-01</t>
  </si>
  <si>
    <t>Consolidación Padres-Hijos</t>
  </si>
  <si>
    <t>Ownership 100% accionario: ABSORBER. El hijo deja de existir como actor independiente y sus capacidades se trasladan al padre. La info se documenta en columnas Productos/propiedades + Notas de propiedad del padre.</t>
  </si>
  <si>
    <t>FEMSA absorbe Rayados (100% accionario)</t>
  </si>
  <si>
    <t>R-02</t>
  </si>
  <si>
    <t>Ownership mayoritario (más de 50% pero menos de 100%): ABSORBER. Mismo tratamiento que R-01. El % de control se documenta en Notas de propiedad.</t>
  </si>
  <si>
    <t>Grupo Pachuca absorbe Real Oviedo (51%)</t>
  </si>
  <si>
    <t>R-03</t>
  </si>
  <si>
    <t>Control operacional vía concesión, vehículo o subsidiaria sin propiedad accionaria directa: ABSORBER. La naturaleza del control (concesión, JV, subsidiaria) se documenta explícitamente en Notas de propiedad.</t>
  </si>
  <si>
    <t>CIE/OCESA absorbe Estadio GNP, Autódromo HR, Palacio de los Deportes (operación bajo concesión)</t>
  </si>
  <si>
    <t>R-04</t>
  </si>
  <si>
    <t>Misma entidad con clasificación duplicada en otra vertical: FUSIONAR. La entidad sobrevive con un solo ID Maestro y un ID Vertical primario. El ID secundario se elimina del universo.</t>
  </si>
  <si>
    <t>V4-008 CIE/OCESA brazo deportivo y V5-001 CIE/OCESA Experiencias se fusionan en V5-001</t>
  </si>
  <si>
    <t>R-05</t>
  </si>
  <si>
    <t>PE / fondo con cartera amplia y posición minoritaria: NO ABSORBER. Se mantiene como actor separado con vínculo cruzado documentado en Mapa de Conexiones (relación tipo Ownership/Control nivel R1 o R2 según %). Aplica regla de excepción E-03.</t>
  </si>
  <si>
    <t>Silver Lake mantenido separado de Endeavor (controla 74.3% pero cartera global incluye City Football Group)</t>
  </si>
  <si>
    <t>General Atlantic absorbido en Ollamani: incorrecto (GA es PE con cartera amplia)</t>
  </si>
  <si>
    <t>R-06</t>
  </si>
  <si>
    <t>Membresía constitutiva (Liga / Federación con sus clubes / selecciones miembros): NO ABSORBER. Liga MX y FMF son asociaciones con clubes-miembros, no holdings. Los clubes son miembros, no hijos. Documentar como relación Institutional/Regulatory en Mapa de Conexiones.</t>
  </si>
  <si>
    <t>Liga MX se mantiene separada de los 18 clubes Liga MX</t>
  </si>
  <si>
    <t>Liga MX absorbida como padre de los clubes: incorrecto</t>
  </si>
  <si>
    <t>R-07</t>
  </si>
  <si>
    <t>Sponsorship, vendor o title sponsor: NO es Padre/Hijo. Mantener como relación tipo Sponsorship en Mapa de Conexiones, no como consolidación en UNIVERSO MAESTRO.</t>
  </si>
  <si>
    <t>Coca-Cola → FIFA WC2026: relación Sponsorship, no padre</t>
  </si>
  <si>
    <t>Coca-Cola absorbe FIFA WC2026: incorrecto</t>
  </si>
  <si>
    <t>R-08</t>
  </si>
  <si>
    <t>Tier 3 sin holding identificado y sin señal estratégica diferenciada: REMOVER del universo. No se trasladan al workbook v1.00 al cargar datos.</t>
  </si>
  <si>
    <t>Leones de Yucatán y Pericos de Puebla removidos (Tier 3 LMB sin holding ni naming distintivo)</t>
  </si>
  <si>
    <t>R-09</t>
  </si>
  <si>
    <t>Stake minoritario activo (más de 30%) de un PE deportivo nativo en una propiedad: ABSORBER en el padre mayoritario PLUS documentar vínculo cruzado al PE en Mapa de Conexiones. El PE no es padre canónico pero su posición activa se preserva.</t>
  </si>
  <si>
    <t>AAA absorbida en Endeavor (vía WWE/TKO 51%) con vínculo cruzado a Fillip Holdings 49%</t>
  </si>
  <si>
    <t>R-10</t>
  </si>
  <si>
    <t>Actor que mezcla 2+ entidades distintas en una sola fila: DESDOBLAR + ABSORBER cada parte por separado. Crear actores separados para cada entidad real, después aplicar consolidación a cada uno individualmente.</t>
  </si>
  <si>
    <t>V8-013 Telcel + AT&amp;T se desdobla: parte Telcel a Slim/Carso, parte AT&amp;T standalone</t>
  </si>
  <si>
    <t>Mantener V8-013 como un solo actor: incorrecto</t>
  </si>
  <si>
    <t>E-01</t>
  </si>
  <si>
    <t>Excepción</t>
  </si>
  <si>
    <t>FMF + Selecciones (Varonil + Femenil) se mantienen separadas como entidades fundamentales del ecosistema, aunque exista relación institucional fuerte. La selección no se absorbe en la federación.</t>
  </si>
  <si>
    <t>V1-007 FMF, V1-008 Selección Varonil, V1-026 Selección Femenil: tres actores</t>
  </si>
  <si>
    <t>E-02</t>
  </si>
  <si>
    <t>Liga MX AC + 18 clubes: membresía constitutiva, no ownership. Los clubes son miembros, no hijos de Liga MX. Aplica R-06.</t>
  </si>
  <si>
    <t>18 clubes Liga MX se mantienen como actores independientes</t>
  </si>
  <si>
    <t>E-03</t>
  </si>
  <si>
    <t>Holdings de PE con cartera amplia (Silver Lake, General Atlantic, Apollo, CVC, PIF, Fillip Holdings): mantener separados con vínculos cruzados al actor controlado. Su cartera trasciende México y absorberlos en una sola propiedad mexicana pierde información.</t>
  </si>
  <si>
    <t>Silver Lake separado de Endeavor con vínculo cruzado documentado</t>
  </si>
  <si>
    <t>E-04</t>
  </si>
  <si>
    <t>Persona física = Holding: usar el vehículo corporativo en lugar de la persona física. La persona se documenta como POI, el vehículo corporativo como actor en UNIVERSO MAESTRO.</t>
  </si>
  <si>
    <t>Alfredo Harp Helú (persona física) → Grupo Martí / Familia Harp Helú (vehículo corporativo)</t>
  </si>
  <si>
    <t>Alfredo Harp Helú como actor V9: incorrecto, debe ser POI</t>
  </si>
  <si>
    <t>E-05</t>
  </si>
  <si>
    <t>Liga MX en transición jurídica (operativa V1 + AC V9): FUSIONAR como una sola entidad con etiqueta primaria V1 y secundaria V9. No es Padre/Hijo, es la misma entidad jurídica en proceso de separación.</t>
  </si>
  <si>
    <t>V1-006 Liga MX y V9-004 Liga MX AC fusionadas en un actor canónico</t>
  </si>
  <si>
    <t>T-01</t>
  </si>
  <si>
    <t>Taxonomía</t>
  </si>
  <si>
    <t>Vertical primaria: cada actor recibe UNA SOLA vertical primaria según su función económica principal. V1 Propiedades, V2 Media, V3 Sponsors, V4 Intermediación, V5 Experiencias, V6 Ticketing, V7 Venues, V8 Tecnología, V9 Capital. Running/Wellness no es vertical primaria, es solo segmento deportivo.</t>
  </si>
  <si>
    <t>CIE/OCESA: V5 (su función principal es operar experiencias)</t>
  </si>
  <si>
    <t>CIE/OCESA: V5 + V7 + V4 como verticales primarias múltiples: incorrecto</t>
  </si>
  <si>
    <t>T-02</t>
  </si>
  <si>
    <t>Etiquetas secundarias: máximo 2, formato limpio sin texto descriptivo entre paréntesis. Una etiqueta secundaria no puede repetir la vertical primaria. Vacío si el actor no tiene función secundaria documentada.</t>
  </si>
  <si>
    <t>V1-001 Club América: etiquetas secundarias V9 · V7</t>
  </si>
  <si>
    <t>V1-001 con etiquetas "V9 (Ollamani) · V7 (Estadio Banorte)": incorrecto, formato viejo</t>
  </si>
  <si>
    <t>T-03</t>
  </si>
  <si>
    <t>Rights holder vs Operador licenciatario: el rights holder (propietario de derechos comerciales / transmisión / imagen del evento) va a V1. El operador licenciatario (ejecuta el evento bajo licencia, sin ser propietario de derechos) va a V4 o V5 según su función.</t>
  </si>
  <si>
    <t>F1 (rights holder global): V1. CIE/OCESA (operador local del GP México bajo licencia): V5</t>
  </si>
  <si>
    <t>CIE/OCESA en V1 por operar el GP: incorrecto, no es rights holder</t>
  </si>
  <si>
    <t>T-04</t>
  </si>
  <si>
    <t>Reclasificación Pitz Group: es agencia FIFA de representación de jugadores (V4 talent / representación), no agencia de marketing o activación.</t>
  </si>
  <si>
    <t>Pitz Group: V4 talent / representación</t>
  </si>
  <si>
    <t>Pitz Group: V4 activación: incorrecto</t>
  </si>
  <si>
    <t>T-05</t>
  </si>
  <si>
    <t>Reclasificación Promofut: es agencia de representación, no promotora de eventos.</t>
  </si>
  <si>
    <t>Promofut: V4 talent / representación</t>
  </si>
  <si>
    <t>Promofut: V5 operador de eventos: incorrecto</t>
  </si>
  <si>
    <t>T-06</t>
  </si>
  <si>
    <t>Reclasificación Jump SMS: es consultora de sponsorship. El vendor real de publicidad virtual con Supponor es Publicidad Virtual, no Jump SMS.</t>
  </si>
  <si>
    <t>Jump SMS: V4 consultora estratégica</t>
  </si>
  <si>
    <t>Jump SMS: V8 vendor de publicidad virtual: incorrecto</t>
  </si>
  <si>
    <t>T-07</t>
  </si>
  <si>
    <t>Reclasificación Palco4: es ticketing SaaS (V6), no operador de experiencias (V5).</t>
  </si>
  <si>
    <t>Palco4: V6 plataforma ticketing</t>
  </si>
  <si>
    <t>Palco4: V5 operador hospitality: incorrecto</t>
  </si>
  <si>
    <t>P-01</t>
  </si>
  <si>
    <t>Personas vs Actores</t>
  </si>
  <si>
    <t>UNIVERSO MAESTRO + POI</t>
  </si>
  <si>
    <t>Personas físicas no son actores en UNIVERSO MAESTRO. Solo aparecen como POI vinculados a un actor institucional. Si existe el actor institucional que captura el flujo, la persona vive en POI; si no existe, se evalúa caso por caso.</t>
  </si>
  <si>
    <t>Mikel Arriola: POI vinculado a FMF, no actor V4</t>
  </si>
  <si>
    <t>Mikel Arriola como actor V4: incorrecto</t>
  </si>
  <si>
    <t>P-02</t>
  </si>
  <si>
    <t>Personas físicas excluidas de matriz Amplitud Funcional. Su capacidad funcional se mide a nivel del actor institucional asociado, no a nivel individual.</t>
  </si>
  <si>
    <t>Eddy Reynoso no aparece en Amplitud Funcional; Canelo Promotions sí</t>
  </si>
  <si>
    <t>V-01</t>
  </si>
  <si>
    <t>Visualización</t>
  </si>
  <si>
    <t>Visualizable en mapa ejecutivo se calcula automáticamente. Tier 1 y Tier 2 visibles por defecto, Tier 3 no visible. Flag con OFAC, penal o rojo pendiente: marcar Revisar.</t>
  </si>
  <si>
    <t>V-02</t>
  </si>
  <si>
    <t>Modo ejecutivo: solo relaciones nivel R1, para presentación a cliente. Modo denso: R1 + R2, para análisis interno. R3 vive en hoja con Visualizable=No.</t>
  </si>
  <si>
    <t>V-03</t>
  </si>
  <si>
    <t>Cross-vertical se calcula automáticamente. Si Vertical A = Vertical B entonces No, distinto entonces Sí.</t>
  </si>
  <si>
    <t>REL-01</t>
  </si>
  <si>
    <t>Competencia o rivalidad de mercado: NO se mapea como relación bilateral. Si dos actores compiten sin flujo comercial bilateral verificado, se documenta en notas de cada actor individual, no en Mapa de Conexiones.</t>
  </si>
  <si>
    <t>Telcel vs Totalplay: competencia, no relación</t>
  </si>
  <si>
    <t>REL: Telcel ↔ Totalplay (competencia): incorrecto</t>
  </si>
  <si>
    <t>REL-02</t>
  </si>
  <si>
    <t>Patrón multi-actor: cuando un actor tiene el mismo tipo de relación con múltiples actores similares, se designa una relación arquetipo visualizable. Las demás se documentan con Visualizable=No y referencia al arquetipo.</t>
  </si>
  <si>
    <t>Sponsor de los 18 clubes Liga MX: una relación arquetipo, las otras 17 con Visualizable=No</t>
  </si>
  <si>
    <t>REL-03</t>
  </si>
  <si>
    <t>Relaciones internas dentro de un holding consolidado se eliminan del Mapa de Conexiones. Si Club América y Estadio Banorte son ambos parte de Ollamani consolidado, la relación entre ellos no se documenta como relación externa.</t>
  </si>
  <si>
    <t>Eliminar REL: Club América → Estadio Banorte (interna a Ollamani)</t>
  </si>
  <si>
    <t>Mantener REL interna: incorrecto</t>
  </si>
  <si>
    <t>S-01</t>
  </si>
  <si>
    <t>Scope</t>
  </si>
  <si>
    <t>Todo el workbook</t>
  </si>
  <si>
    <t>PJL (Premier Jumping League): fuera del scope del tracker por decisión deliberada. Su existencia se documenta en ficha de LGCT México pero PJL no es actor del ecosistema mexicano.</t>
  </si>
  <si>
    <t>PJL como actor V1: incorrecto</t>
  </si>
  <si>
    <t>S-02</t>
  </si>
  <si>
    <t>Eventos no deportivos en venues compartidos: fuera del scope. Conciertos en GNP Seguros bajo cartelera OCESA no se mapean. Solo eventos deportivos.</t>
  </si>
  <si>
    <t>SAT-01</t>
  </si>
  <si>
    <t>Saturación y Brecha</t>
  </si>
  <si>
    <t>Saturación de mercado se evalúa en dos ejes: número de actores activos AND tamaño estimado del mercado. Pocos actores en mercado grande = oportunidad concentrada. Muchos actores en mercado grande = mercado saturado. Pocos en mercado pequeño = mercado pequeño y resuelto. Muchos en mercado pequeño = sobreoferta. Nunca evaluar saturación solo por conteo de actores.</t>
  </si>
  <si>
    <t>Tenis con 5 actores: saturado (incorrecto, es mercado pequeño)</t>
  </si>
  <si>
    <t>E-06</t>
  </si>
  <si>
    <t>Excepción etiquetas secundarias holdings</t>
  </si>
  <si>
    <t>Holdings consolidados pueden tener hasta 4 etiquetas secundarias si su consolidación cubre múltiples verticales operativas. La regla general (máximo 2 etiquetas secundarias en formato "V9 · V7") aplica para sponsors, clubes, agencias y eventos. Para holdings (Tipo de actor: Holding diversificado, Holding deportivo, Family office), la consolidación de subsidiarias puede generar 3-4 verticales legítimas. Ejemplo: Endeavor consolidado opera V1 (UFC, WWE, AAA), V2 (UFC Fight Pass), V4 (IMG agency), V5 (On Location hospitality), V9 (capital). Forzarlo a 2 etiquetas subreporta la realidad.</t>
  </si>
  <si>
    <t>Aplica a: actores con Tipo de actor "Holding diversificado", "Holding deportivo", "Family office / Patrimonio familiar"</t>
  </si>
  <si>
    <t>Excepción a regla general de máx 2 etiquetas secundarias</t>
  </si>
  <si>
    <t>v1.00</t>
  </si>
  <si>
    <t>Activa</t>
  </si>
  <si>
    <t>Documentada en CHANGELOG v1.00</t>
  </si>
  <si>
    <t>R-11</t>
  </si>
  <si>
    <t>Eventos como productos de operadores</t>
  </si>
  <si>
    <t>Eventos recurrentes operados por un actor canónico son productos del operador, no actores standalone. Si un evento (torneo, circuito, carrera, etapa) es producido y comercializado exclusivamente o mayoritariamente por un actor (operador o rights holder), el evento se lista en el campo "Productos / propiedades" del operador y no aparece como actor independiente. Aplicación: si Mextenis controla derechos comerciales del Abierto Mexicano, el Abierto vive dentro de Mextenis. Excepción: eventos con co-promoción reparte (3+ holdings con derechos parciales) pueden mantener actor standalone si la consulta es funcional.</t>
  </si>
  <si>
    <t>Aplica a: actores V1 (eventos / torneos)</t>
  </si>
  <si>
    <t>Convención de consolidación operativa</t>
  </si>
  <si>
    <t>Aplicado en migración v1.00: 6 eventos absorbidos en sus operadores</t>
  </si>
  <si>
    <t>M-AF-01</t>
  </si>
  <si>
    <t>Calificación AMPLITUD FUNCIONAL</t>
  </si>
  <si>
    <t>Herencia plena Padre-Hijo en matriz AF. Cuando un padre absorbe un hijo según R-01 a R-09, el padre hereda Sí/Parcial/No en cada subcapacidad de la matriz AF según lo que respondería el hijo si existiera como actor independiente. La consolidación opera plena, no ponderada por peso del hijo en el mix del padre. El control del bias estructural (holding-bias) se hace en el Score Compuesto vía Score Profundidad, no en la calificación celda a celda.</t>
  </si>
  <si>
    <t>Endeavor califica Sí en V1.A vía UFC/WWE/AAA aunque su negocio global no sea solo deporte</t>
  </si>
  <si>
    <t>Calificar Parcial a FEMSA en V1.A porque Rayados es &lt;2% de su negocio: incorrecto bajo M-AF-01</t>
  </si>
  <si>
    <t>Decidida en sesión piloto V1 (mayo 2026). Se complementa con M-AF-04 para el caso V9.</t>
  </si>
  <si>
    <t>M-AF-02</t>
  </si>
  <si>
    <t>V1.C — Vende derechos primarios</t>
  </si>
  <si>
    <t>Los clubes Liga MX califican Sí en V1.C porque al cierre v1.00 cada club negocia individualmente sus derechos de transmisión, patrocinio agregado y merchandising. La centralización colectiva de derechos en Liga MX es proyecto en discusión de la Asamblea de Dueños, no realidad operativa al cierre v1.00. Esta regla se revisa si la centralización entra en vigor en ciclos posteriores.</t>
  </si>
  <si>
    <t>América (Ollamani) Sí; Tigres (CEMEX) Sí; Atlético San Luis (Apollo) Sí; Chivas (Omnilife) Sí</t>
  </si>
  <si>
    <t>Calificar Parcial bajo lectura "el club solo controla patrocinio y merch": incorrecto bajo M-AF-02</t>
  </si>
  <si>
    <t>Vigente — sujeta a revisión</t>
  </si>
  <si>
    <t>Verificada contra fuentes secundarias mayo 2026. Cada club Liga MX tiene contrato de transmisión individual.</t>
  </si>
  <si>
    <t>M-AF-03</t>
  </si>
  <si>
    <t>V1.B — Empaqueta competición</t>
  </si>
  <si>
    <t>Califica Sí en V1.B quien estructura calendario, reglas, asignación de competidores y unidad narrativa de una competición serial. Aplica a dos categorías: (a) asociaciones de miembros (Liga MX, FMF, federaciones); (b) promociones-liga dueñas de sus competidores (UFC, WWE, AAA, LMB, LMP). Clubes miembro califican No aunque organicen amistosos o giras. Eventos puntuales recurrentes (GP F1, Abierto Mexicano de Tenis) califican Sí si el operador estructura calendario propio dentro del evento.</t>
  </si>
  <si>
    <t>Liga MX, FMF, FEMEXBOL, Endeavor (vía UFC/WWE), LMB: Sí. Pumas, Rayados, América: No.</t>
  </si>
  <si>
    <t>Calificar Sí a un club Liga MX por organizar pretemporada: incorrecto bajo M-AF-03</t>
  </si>
  <si>
    <t>Distinción: asociación de miembros vs promoción-liga vs club miembro.</t>
  </si>
  <si>
    <t>M-AF-04</t>
  </si>
  <si>
    <t>Scoring AMPLITUD FUNCIONAL</t>
  </si>
  <si>
    <t>Score Profundidad y Score Compuesto</t>
  </si>
  <si>
    <t>Modelo de scoring de dos ejes para AF v1.00. Score Amplitud = suma de las 33 subcaps. Score Profundidad = Score Amplitud / número de verticales con score &gt;= 1. Score Compuesto = 0.5 × (Amplitud / max_Amplitud_observada) + 0.5 × (Profundidad / max_Profundidad_observada). Pesos 50/50 inicial, ajustables. Max observado se recalcula con cada actor cargado. Esto resuelve el holding-bias estructural sin tocar la calificación celda a celda.</t>
  </si>
  <si>
    <t>FMF (Amplitud 4.0, Profundidad 4.0, Compuesto 0.72) supera a Ollamani (Amplitud 6.0, Profundidad 2.0, Compuesto 0.58) pese a tener menor amplitud: el especialista perfecto V1=4.0 puro alcanza mayor Compuesto que el holding diversificado por dominancia en Profundidad. Endeavor (Amplitud 9.0, Profundidad 2.25, Compuesto 0.78) supera a ambos por equilibrio entre los dos ejes. Apollo Sports Capital (Amplitud 2.5, Profundidad 1.25, Compuesto 0.30) ilustra el caso PE puro: especialista en V9.C sin amplitud cross-vertical.</t>
  </si>
  <si>
    <t>Lectura "Score Total alto = actor más capaz" sin considerar Profundidad: incorrecto bajo M-AF-04</t>
  </si>
  <si>
    <t>Vigente — pesos ajustables</t>
  </si>
  <si>
    <t>Pesos movibles a 30/70 o 70/30 según iteración con cliente.</t>
  </si>
  <si>
    <t>M-AF-05</t>
  </si>
  <si>
    <t>V1.C según régimen de derechos de la liga (clubes)</t>
  </si>
  <si>
    <t>V1.C calificación en clubes depende del régimen de derechos de la liga a la que pertenecen. Liga MX (régimen fragmentado, contratos individuales por club): clubes califican Sí. LMB y LMP (régimen centralizado, la liga gestiona derechos vía Hi Sports + TVC + LMB TV): clubes califican No, la liga Sí. NBA G-League (NBA centraliza derechos primarios pero clubes mantienen patrocinios locales propios): clubes califican Parcial. La distinción es operativa, no aspiracional: la centralización en Liga MX está en discusión pero no operativa al cierre v1.00.</t>
  </si>
  <si>
    <t>Cruz Azul (Liga MX) Sí · Sultanes (LMB) No · LMB Sí · Capitanes (G-League) Parcial</t>
  </si>
  <si>
    <t>Calificar Sí a club LMB porque tiene jersey sponsor: incorrecto bajo M-AF-05 (jersey sponsor es V3, no V1.C)</t>
  </si>
  <si>
    <t>Verificada contra fuentes mayo 2026: LMB centraliza derechos vía Hi Sports/TVC/LMB TV; LMP idem; Liga MX cada club negocia individual; NBA G-League NBA centraliza pero patrocinios locales son del club.</t>
  </si>
  <si>
    <t>M-AF-06</t>
  </si>
  <si>
    <t>Casos especiales V1: control mediado, evento propio no serial, federación no operadora</t>
  </si>
  <si>
    <t>Tres patrones especiales identificados en piloto V1: (a) Holding con control mediado de segundo grado a club Liga MX (ej. Apollo Sports Capital → Atlético Madrid 51% → ASL): V1.A Sí (la actividad existe operativamente), V1.C Parcial (la cadena de control para vender derechos primarios se debilita con dos saltos), V1.B y V1.D No. Score 1.5. (b) Holding con evento deportivo propio NO serial (ej. TelevisaUnivision con Gran Fondo Adolfo Lagos): V1.A Sí, pero V1.B No (no estructura competición serial, evento anual único), V1.C No (no comercializa derechos primarios externamente, explota interno), V1.D No. Score 1.0. (c) Federación deportiva no operadora (ej. WBC, sede CDMX): V1.A No (no produce peleas, sanciona), V1.B No (no estructura competición serial, sanciona títulos individuales), V1.C Sí (vende derechos de marca y cinturones), V1.D Sí (gobierna afiliación). Score 2.0.</t>
  </si>
  <si>
    <t>Apollo 1.5 · TelevisaUnivision 1.0 · WBC 2.0 (vs Liga MX 4.0 que sí cumple las cuatro)</t>
  </si>
  <si>
    <t>Aplicar patrón Liga MX a Apollo o WBC: incorrecto, son casos atípicos no asociaciones de miembros plenas</t>
  </si>
  <si>
    <t>Identificados en sesión piloto V1 mayo 2026 con validación caso por caso de Nicolas.</t>
  </si>
  <si>
    <t>M-AF-07</t>
  </si>
  <si>
    <t>Operadores multi-evento con derechos propios (V5 → V1)</t>
  </si>
  <si>
    <t>Actores con vertical primaria V5 (Operador de eventos / experiencias) que son rights holders de licencias deportivas profesionales (WTA, ATP, IRONMAN, LPGA, PGA, LIV, federaciones internacionales) ejercen V1 plenamente vía sus eventos. Califican Sí en V1.A (producen el evento), Sí en V1.B (estructuran calendario propio del evento aunque no sea liga serial, las licencias internacionales tienen calendarios anuales recurrentes), Sí en V1.C (controlan derechos comerciales primarios del evento que opera bajo su licencia: hospitality, sponsorship, ticketing primario), No en V1.D (no gobiernan disciplina). Score 3.0. Esto distingue al rights holder verdadero del operador logístico puro (este último sería No-No-No-No por solo prestar servicios técnicos a un rights holder ajeno).</t>
  </si>
  <si>
    <t>ASdeporte (rights holder ASTri Veracruz, L'Etape MX), Mextenis (licencias ATP 500 Acapulco y 250 Los Cabos), GS Sports Management (licencias WTA 500 Guadalajara y Mérida), HG Promotores (licencia WTA 500 Monterrey)</t>
  </si>
  <si>
    <t>Elevate Sports Ventures: solo opera capa premium del Estadio Banorte (V5 hospitality puro), no es rights holder de evento, califica No-No-No-No</t>
  </si>
  <si>
    <t>Identificada como hueco de la taxonomía piloto V1 al calificar ASdeporte como No-No-No-No incorrectamente. Detectada por Nicolas. Aplicada retroactivamente a 4 actores: A-007, A-067, A-071, A-096.</t>
  </si>
  <si>
    <t>M-AF-08</t>
  </si>
  <si>
    <t>V3 SPONSORS: receptor vs emisor, naming, FIFA Tier</t>
  </si>
  <si>
    <t>Tres reglas operativas para V3 derivadas de la sesión V3: (1) Receptor vs emisor: actores V1 (clubes, eventos, federaciones, selecciones) son receptores de sponsorship por construcción funcional, no emisores. Califican No-No-No-No en V3 salvo evidencia explícita de patrocinio activo a propiedades terceras. (2) Naming de venue: si el estadio es del club (Estadio BBVA = Rayados, Estadio Banorte = América/Ollamani, Estadio Akron = Chivas), el naming califica V3.A. Si el estadio es independiente (Estadio GNP = Gobierno CDMX/CIE), el naming califica V3.C porque patrocina los eventos que ahí ocurren. (3) Sponsorship FIFA Tier 1 global: cuenta como V3.B porque FIFA es la federación; los deals Tier 1 son contratos con FIFA que cubren WC26 entre otros eventos. No es V3.C aislado.</t>
  </si>
  <si>
    <t>Banorte naming Estadio Banorte = V3.A. GNP naming Estadio GNP = V3.C. Hisense FIFA Tier 1 = V3.B. Liga MX como receptor No-No-No-No.</t>
  </si>
  <si>
    <t>Calificar club Liga MX como sponsor de su propia academia: incorrecto bajo M-AF-08 (es interno, V1 ya cubre)</t>
  </si>
  <si>
    <t>Reglas derivadas de sesión V3 mayo 2026, validadas por Nicolas</t>
  </si>
  <si>
    <t>M-AF-09</t>
  </si>
  <si>
    <t>V4 INTERMEDIACIÓN: filtro "para terceros" y deslindes</t>
  </si>
  <si>
    <t>Tres reglas operativas para V4 derivadas de la sesión V4: (1) Filtro estricto "para terceros": servicios solo internos califican No; servicios externos (incluyendo además a la matriz) califican Sí. Aplica a las seis subcaps. (2) Tech V8 con consultoría: evaluación caso por caso. Producto SaaS sin componente consultivo humano = V4 No. Producto con consultoría estratégica explícita y separable = V4 Sí (ej. KAGR fan experience consultoría a Ollamani). (3) Reventa de hospitality: la reventa de inventario hospitality (paddock club, suites WC26, etc.) es V5 hospitality puro, no V4.B rights sales. V4.B aplica a venta de derechos comerciales primarios de propiedades terceras (sponsorship, derechos audiovisuales, naming).</t>
  </si>
  <si>
    <t>Octagon V4.B Sí (gestión global derechos WTA); KAGR V4.A Sí (consultoría fan experience Ollamani); F1 Experiences V4.B No (hospitality es V5)</t>
  </si>
  <si>
    <t>Calificar Sí en V4.B a F1 Experiences por revender suites: incorrecto bajo M-AF-09</t>
  </si>
  <si>
    <t>Reglas derivadas sesión V4 mayo 2026, validadas por Nicolas</t>
  </si>
  <si>
    <t>M-AF-10</t>
  </si>
  <si>
    <t>V9 CAPITAL: umbrales y exclusividad A vs C</t>
  </si>
  <si>
    <t>Tres reglas operativas para V9 derivadas de la sesión V9: (1) Umbrales: V9.A control = ≥50% equity o consolidación contable; V9.B minoritario activo = 10-49% con derechos de gobernanza documentados (asiento consejo, presión sobre operación); &lt;10% sin gobernanza = No. (2) V9.A y V9.C son MUTUAMENTE EXCLUYENTES a nivel actor: V9.A aplica a holdings industriales o family offices que poseen y operan el activo deportivo como brazo del grupo (no su negocio principal pero brazo declarado del holding). V9.C aplica a vehículos de inversión financiera profesional con tesis sports declarada como vertical de inversión: PE, VC, sovereign wealth fund, M&amp;A advisory. (3) Excepciones documentadas: (a) Innovatio Capital aunque PE de origen es V9.A porque opera Querétaro como activo único (decisión Nicolas); (b) Endeavor es V9.A como holding operativo intermedio aunque Silver Lake (V9.C) sea su inversor PE arriba (decisión Claude).</t>
  </si>
  <si>
    <t>FEMSA→Rayados V9.A=Sí + V9.C=No (holding industrial). Apollo Sports Capital V9.C=Sí + V9.A=No (PE puro). General Atlantic V9.B+V9.C (PE con minoría 49% Águilas). Grupo Pachuca V9.A+V9.B (holding multi-club + minorías internacionales).</t>
  </si>
  <si>
    <t>Calificar FEMSA V9.C=Sí porque tiene activo deportivo: incorrecto bajo M-AF-10 (no es fondo profesional sports)</t>
  </si>
  <si>
    <t>Reglas derivadas sesión V9 mayo 2026, validadas por Nicolas</t>
  </si>
  <si>
    <t>M-AF-11</t>
  </si>
  <si>
    <t>V2 MEDIA: deslinde controla derechos vs plataforma vs producción editorial</t>
  </si>
  <si>
    <t>Tres reglas operativas para V2 derivadas de la sesión V2: (1) V2.A controla derechos en vivo aplica a quien tiene contrato vigente como rights holder de transmisión (broadcaster con derechos primarios o sublicenciados): aplica a Amazon Prime Video (Chivas), ESPN/Disney+ (varios clubes), Apple TV (Leagues Cup), DAZN (Canelo + FIFA Club WC), Netflix (Concacaf 2027-29), TelevisaUnivision (7 clubes), TV Azteca (algunos clubes), FOX Corp/FOX One, Sky Sports (F1), Paramount+ (UFC), Max (Champions). NO aplica a YouTube (los derechos son de los canales clubes, YouTube solo distribuye). (2) V2.B plataforma propia aplica a operador de canal lineal o app SVOD/AVOD propia con monetización propia: el filtro es "controla la experiencia y monetización"; aplica también a portales digitales con monetización propia (Bolavip, Mediotiempo, Récord). (3) V2.C producción editorial aplica solo cuando hay creación de contenido editorial original (documentales, columnas, análisis, programas) más allá de transmisión cruda. Cuestión validada con Nicolas: YouTube V2.C=Parcial (aloja contenido editorial de canales clubes pero no produce propio); Slim/Carso V2 score 3.0 vía Claro Sports broadcaster propio; GS Sports y Mextenis V2.C=Parcial por producción editorial limitada de sus propios torneos.</t>
  </si>
  <si>
    <t>Amazon Prime Video V2 score 3.0 (rights Chivas + plataforma propia + Originals como Chivas El Rebaño Sagrado). TelevisaUnivision V2=3.0 vía TUDN+ViX+Canal 5+N9ve. Slim/Carso V2=3.0 vía Claro Sports.</t>
  </si>
  <si>
    <t>YouTube V2.A=No (no rights holder, distribuye contenido de canales clubes). Akta Cloud V2=0 (provee stack tech B2B a ViX, no es rights holder ni plataforma propia ni produce contenido).</t>
  </si>
  <si>
    <t>Reglas derivadas sesión V2 mayo 2026, validadas por Nicolas</t>
  </si>
  <si>
    <t>M-AF-12</t>
  </si>
  <si>
    <t>V5 EXPERIENCIAS: coexistencia con V1, criterio V5.D, hospitality reventa</t>
  </si>
  <si>
    <t>Tres reglas operativas para V5 derivadas de la sesión V5: (1) V1.A y V5.A pueden coexistir cuando el actor produce el evento (V1) y entrega la experiencia al consumidor final (V5). Verificación empírica confirmó que sí hay actores que hacen una sin la otra: PIF (V1.A=Sí financiando LIV pero V5.A=No, no opera experiencia); CIE/OCESA (V1.A=No no es rights holder de eventos terceros que aloja, pero V5.A=Sí opera experiencia masiva); F1 Experiences/Mundomex/Konnecta/Roadtrips (V1.A=No pero V5.B=Parcial reventa hospitality). (2) V5.D venue como experiencia multi-evento aplica al operador de programación multi-evento del venue: CIE en GNP+AHR+Palacio+Centro Banamex; FEMSA en BBVA (Shakira, Karol G, McCartney confirmados); Harp Helú en Parque AHH; Hard Rock Stadium Miami; Ollamani en Banorte/Azteca. (3) Reventa de hospitality (paquetes con boletos+hotel+traslados de eventos terceros) califica V5.B=Parcial: F1 Experiences (paddock club F1), Mundomex (WC26 vía On Location), Konnecta (paquetes Super Bowl/F1/Champions/NBA/MLB), Roadtrips (NFL México). No es V4.B rights sales porque no son derechos primarios.</t>
  </si>
  <si>
    <t>CIE/OCESA V5 score 3.0 (V5.A GP México + V5.B Paddock Club + V5.D programación multi-evento). FEMSA/Rayados V5=3.0 (matchday + suites premium in-house + multi-evento BBVA). Harp Helú V5=3.0 (Diablos + Sport City retail wellness + Parque AHH multi-evento).</t>
  </si>
  <si>
    <t>F1 Experiences V5.A=No (revende paquetes ajenos no produce experiencia primaria). Paramount+ V5=0 (broadcaster puro, sec V5 mal etiquetada en UM).</t>
  </si>
  <si>
    <t>Reglas derivadas sesión V5 mayo 2026, validadas por Nicolas</t>
  </si>
  <si>
    <t>M-AF-13</t>
  </si>
  <si>
    <t>V6 TICKETING: inscripción a eventos masivos cuenta como ticketing primario</t>
  </si>
  <si>
    <t>Tres reglas operativas para V6 derivadas de la sesión V6: (1) Inscripción a maratones e instituciones organizadoras de eventos masivos cuenta como V6.A en sentido amplio (decisión Nicolas): COMUDE GDL, INDEPORTE, Maratón CDMX Telcel, Maratón Powerade MTY, Medio Maratón CDMX BBVA, Medio Maratón GDL Electrolit, ASdeporte (plataforma propia 1M+ usuarios). El criterio es que el actor opera plataforma de venta digital al consumidor para acceso al evento, sea como espectador o como participante. (2) FIFA Ticketing V6 = 1.5 (V6.A primaria + V6.B Parcial: el Mercado de Intercambio sin lucro está restringido a residentes MX; FIFA Resale Marketplace para no-residentes). (3) Reventa pirata sin licencia oficial califica V6.B=Sí (Viagogo, HelloTicket, Tophop): mismo criterio funcional que regulada, da igual la regulación porque ejercen función secundaria de mercado. (4) FANKI V6.C=Sí (whitelabel multi-cliente Club América + Atlas + Celaya + Piratas + WBC + FMP = SaaS B2B funcional). Incode V6=0 (Fan ID biométrico es V8 puro, sec V6 mal etiquetada).</t>
  </si>
  <si>
    <t>CIE/OCESA V6 score 2.0 vía Ticketmaster México 75% (V6.A primaria #1 mercado + V6.B marketplace reventa oficial). FANKI V6 score 2.0 (V6.A boletera Banorte+América+otros + V6.C whitelabel SaaS B2B). Maratón CDMX Telcel V6.A=Sí (~30,000 inscritos plataforma propia).</t>
  </si>
  <si>
    <t>Incode V6=0 (Fan ID es V8). Konnecta/Mundomex/Roadtrips V6.B=Parcial (revenden paquetes con boletos terceros, no operan marketplace propio).</t>
  </si>
  <si>
    <t>Reglas derivadas sesión V6 mayo 2026, validadas por Nicolas</t>
  </si>
  <si>
    <t>M-AF-14</t>
  </si>
  <si>
    <t>V7 VENUES: clubes inquilinos, naming rights, V7.C multi-uso</t>
  </si>
  <si>
    <t>Tres reglas operativas para V7 derivadas de la sesión V7: (1) Clubes Liga MX y LMB inquilinos caso por caso individual sin regla general (decisión Nicolas): V7.A=Sí solo cuando estadio confirmado propio (Toluca/Nemesio Diez, Tomateros, Toros TJ/Chevron, CMLL/Arenas México+Coliseo+Puebla); V7.B=Sí cuando opera matchday y comercializa; V7.C caso por caso. (2) Naming rights V7=No-No-No (decisión Claude justificada): naming es V3 (V3.A si estadio del club, V3.C si independiente, según M-AF-08); contar naming en V7 sería doble conteo de la misma capacidad comercial. Aplicado a Banorte (Estadio Banorte), BBVA (Estadio BBVA), Walmart (Walmart Park). (3) V7.A concesión a largo plazo equivale propiedad económica = V7.A Parcial (validado Nicolas): aplicado a CIE/OCESA en GNP+AHR+Palacio+Centro Banamex (Gobierno CDMX es dueño legal pero CIE concesionario opera estructuralmente). (4) V7.C multi-uso requiere evidencia explícita de eventos no-deportivos significativos (decisión Claude): aplicado a BBVA (Shakira+McCartney+Karol G), Banorte/Azteca (NFL+conciertos), Akron (Coldplay+Bad Bunny históricos), GNP/AHR/Palacio (CIE multi-evento estructural), Arenas Zignia (multi-evento por diseño), Parque AHH, Hard Rock Stadium Miami. CMLL V7.C=Parcial (lucha libre con componente entretenimiento masivo).</t>
  </si>
  <si>
    <t>FEMSA/Rayados V7 score 3.0 (Sí·Sí·Sí: 100% BBVA + operador directo + multi-evento confirmado). Ollamani V7=3.0 (Banorte vía FDF SA + multi-evento). Hard Rock Stadium V7=3.0. Zignia V7=3.0 (3 arenas).</t>
  </si>
  <si>
    <t>Banorte (sponsor) V7=0 (solo naming, ya cubierto en V3.A). Pumas V7.A=No (UNAM es dueña legal del Estadio Olímpico, Pumas es brazo no entidad jurídica separada).</t>
  </si>
  <si>
    <t>Reglas derivadas sesión V7 mayo 2026, validadas por Nicolas. PENDIENTE registrado: actualizar CEMEX/Sinergia V7.A cuando abra Nuevo Volcán USD 320M.</t>
  </si>
  <si>
    <t>M-AF-15</t>
  </si>
  <si>
    <t>V8 TECNOLOGÍA: V8.C deslinde fan engagement vs tracking arbitral</t>
  </si>
  <si>
    <t>Tres reglas operativas para V8 derivadas de la sesión V8: (1) V8.A apuestas/fintech tiene 3 actores en universo: Draftea (DFS LATAM con FMF/Selección + NFL/NFLPA), Caliente (~50% mercado MX vía Caliplay JV Playtech), Codere Online (cross-vertical V3+V8 confirmado por Nicolas). (2) V8.C deslinde estricto: fan engagement directo o tech consumer-facing in-venue (Fan ID, Wi-Fi público para fans con su celular, Moment Engine publicidad real-time visible al fan, augmented broadcasts con stats al consumidor). NO califica V8.C: tracking arbitral on-pitch (Hawk-Eye SAOT, Mediapro VAR, GLT) porque el destinatario es el árbitro o sistema, no el fan; hardware backoffice (Lenovo servidores). (3) Búsqueda web confirmó deal Genius Sports + Liga MX 4-may-2026 (NYSE:GENI, "landmark technology and AI partnership"): GeniusIQ desplegado cada estadio Liga MX con SAOT + Moment Engine + augmented broadcasts + Performance Studio. Genius Sports V8 = 2.0 (V8.B + V8.C inequívoco gracias a Moment Engine fan-facing).</t>
  </si>
  <si>
    <t>Genius Sports V8 score 2.0 (V8.B data + V8.C Moment Engine fan engagement directo). Incode V8.C=Sí (Fan ID biométrico Liga MX). Panduit/CommScope V8.C=Sí (Wi-Fi público in-venue para fans con celular). Akta Cloud V8.B=Sí (stack OTT B2B para ViX).</t>
  </si>
  <si>
    <t>Hawk-Eye V8.C=No (SAOT y GLT son tracking arbitral no fan). Mediapro V8.C=No (VAR es operación arbitral). Lenovo V8.C=No (servidores backoffice).</t>
  </si>
  <si>
    <t>Reglas derivadas sesión V8 mayo 2026, validadas por Nicolas. Único actor V8 score 2.0: Genius Sports gracias a deal Liga MX firmado 4-may-2026.</t>
  </si>
  <si>
    <t>M-AF-16</t>
  </si>
  <si>
    <t>Modelo Score Compuesto: dos ejes Amplitud + Profundidad, pesos 50/50 ajustables</t>
  </si>
  <si>
    <t>Modelo de scoring de dos ejes para resumir la posición funcional de cada actor en una métrica única: (1) Score Amplitud = suma simple de los scores V1 a V9 (cada vertical aporta su score por subcaps activas). Premia actores cross-vertical (presencia en muchas verticales). (2) Score Profundidad = Score Amplitud / número de verticales con score &gt; 0 (actualizado de &gt;= 1 a &gt; 0 en v1.00.6 para evitar error de división por cero en actores con solo Parciales). Premia actores con presencia profunda y especializada en pocas verticales. (3) Score Compuesto = 0.5 × (Amplitud / max Amplitud observado) + 0.5 × (Profundidad / max Profundidad observado). Pesos 50/50 ajustables y explícitos en la celda fórmula AX{r} para que el cliente pueda variarlos. Tipo Capacidad clasifica al actor en Especialista (1-2 verticales con score &gt;= 1), Multi-capacidad (3-4 verticales) o Diversificado (5+ verticales). Convención: Sí=1.0, Parcial=0.5, No=0. Ejemplos pedagógicos para presentar a Aldo: Apollo Sports Capital es Diversificado por amplitud pero plano en profundidad; FMF y Liga MX son Especialistas perfectos por profundidad pura V1=4.0; Endeavor combina ambos ejes con presencia cross-vertical equilibrada.</t>
  </si>
  <si>
    <t>Endeavor Compuesto 0.78 (Amplitud 9.0 + Profundidad 1.8 normalizadas). FMF Compuesto 0.72 (Amplitud 4.0 + Profundidad 4.0, especialista perfecto). Pesos 50/50 reflejan que ni amplitud ni profundidad son intrínsecamente más valiosas.</t>
  </si>
  <si>
    <t>No usar suma simple de Amplitud sin Profundidad: castigaría actores especializados de alto valor (FMF, Octagon, agencias top). No usar solo Profundidad sin Amplitud: castigaría actores cross-vertical de alta sinergia (Endeavor, FEMSA, CIE).</t>
  </si>
  <si>
    <t>Modelo derivado sesión scoring abr-2026, validado por Nicolas. Fórmula Score Profundidad corregida en v1.00.6 (umbral score &gt; 0 en vez de &gt;= 1, + IFERROR).</t>
  </si>
  <si>
    <t>M-AF-17</t>
  </si>
  <si>
    <t>Auditoría AMPLITUD FUNCIONAL</t>
  </si>
  <si>
    <t>Pendientes registrados para auditoría futura</t>
  </si>
  <si>
    <t>Pendientes documentados durante la construcción de la matriz AMPLITUD FUNCIONAL que requieren auditoría o actualización futura: (1) A-082 Libertad Financiera: la columna productos/propiedades en UNIVERSO MAESTRO tiene datos pegados de OCESA por error (Ticketmaster México · Estadio GNP Seguros · Autódromo Hermanos Rodríguez · Palacio de los Deportes); deben corregirse a productos reales de Libertad Financiera (naming Estadio Libertad Financiera ASL desde ene-2026). (2) A-018 CEMEX/Sinergia V7.A actualizar de No a Sí cuando abra Nuevo Estadio Volcán USD 320M (proyecto en desarrollo Populous + Juego de Pelota México). (3) Comments con preguntas operativas en headers V1.A-V9.C de hoja AMPLITUD FUNCIONAL: pendientes de cargar (sesiones previas indicaron que estaban cargados pero verificación mostró headers vacíos). (4) 8 actores con Score Compuesto = 0 (Sin función mapeada): auditar para confirmar que la consolidación los está capturando correctamente vía padre absorbente o si hay errores de calificación. (5) Considerar agregar Vidanta Vallarta como actor venue independiente en UM (mencionado en Mexico Open at Vidanta como co-promotor con Mextenis y Salinas).</t>
  </si>
  <si>
    <t>Auditoría futura debe priorizar A-082 Libertad Financiera (datos UM erróneos) y los 8 actores con Compuesto 0.</t>
  </si>
  <si>
    <t>No tratar los pendientes como bloqueos para presentar a Gustavo: la matriz está completa y consistente; los pendientes son refinamientos.</t>
  </si>
  <si>
    <t>Pendiente de ejecución</t>
  </si>
  <si>
    <t>Pendientes acumulados sesiones V1-V9 mayo 2026. Para auditoría externa antes de presentación a cliente.</t>
  </si>
  <si>
    <t>M-AF-18</t>
  </si>
  <si>
    <t>Excepción a R-01: subsidiaria con flujos deportivos diferenciados del padre</t>
  </si>
  <si>
    <t>Excepción documentada a la regla R-01 ABSORBER subsidiarias 100% accionarias: una subsidiaria 100% del holding ya capturado se mantiene como actor independiente cuando sus flujos deportivos son funcionalmente distintos a los del padre. Criterios de "flujo distinto": (a) sponsorship dirigido a propiedades terceras bajo marca de la subsidiaria (no del padre); (b) deals comerciales con contraparte deportiva propia y separable; (c) categoría de mercado distinta (ej. retail vs corporate). Aplica a: A-106 OXXO/FEMSA Comercio (FEMSA en V9 vía Rayados; OXXO patrocina Tigres+Rayados+León+Rayadas+GP México como flujo retail propio); evaluar también A-023 Coca-Cola/Coca-Cola FEMSA (JV con flujo distinto). La regla debe aplicarse de forma estricta: solo cuando los flujos están claramente diferenciados, no como excepción ad hoc para conservar resolución informacional.</t>
  </si>
  <si>
    <t>OXXO/FEMSA Comercio mantenido separado de FEMSA/Rayados: OXXO ejerce V3 puro como sponsor retail (4 clubes Liga MX + GP México 3 años); FEMSA ejerce V9.A vía Rayados + V7 Estadio BBVA. Flujos no se solapan funcionalmente.</t>
  </si>
  <si>
    <t>Mantener separadas dos entidades cuando solo difieren en denominación legal pero los flujos son los mismos: incorrecto, viola R-01 sin justificación.</t>
  </si>
  <si>
    <t>Regla derivada de auditoría externa H8 mayo 2026. Promueve excepción ad hoc previa a estatus formal.</t>
  </si>
  <si>
    <t>M-AF-19</t>
  </si>
  <si>
    <t>Validación cruzada UM ↔ AF: V_pri debe tener score ≥ 1</t>
  </si>
  <si>
    <t>Antes de cerrar una versión del workbook, todo actor activo debe satisfacer: si V_pri en UNIVERSO MAESTRO es Vx, entonces Score Vx en AMPLITUD FUNCIONAL debe ser &gt;= 1. La validación se ejecuta como query simple sobre la hoja AF cruzada con UM. Cualquier actor que falle el test es candidato a (a) reclasificación de V_pri, (b) corrección de calificación AF, o (c) marcar como DESACTIVADO si la línea funcional ya no aplica. Excepciones: actores con Tipo "sin clasificar" o flag de revisión activa.</t>
  </si>
  <si>
    <t>En auditoría externa v1.00.11 se detectaron 5 actores que fallaban el test (A-057 BAL, A-074 Incode, A-080 Ledec, A-113 Publicidad Virtual, A-137 TelevisaUnivision); en v1.00.13 los 5 se resolvieron por reclasificación o desactivación.</t>
  </si>
  <si>
    <t>Cerrar versión sin ejecutar validación cruzada: incorrecto, deja inconsistencias UM↔AF que el cliente puede detectar.</t>
  </si>
  <si>
    <t>Vigente — validación obligatoria al cierre de cada versión</t>
  </si>
  <si>
    <t>Regla derivada de auditoría externa H5 mayo 2026.</t>
  </si>
  <si>
    <t>R-12</t>
  </si>
  <si>
    <t>Visibilidad operativa única por línea de propiedad: cuando un club, equipo o activo deportivo es 100% propiedad y gestión de un holding ya mapeado como actor, NO se carga como actor standalone separado. Su capacidad funcional se hereda al holding padre (M-AF-01) y su identidad se preserva en los campos Productos/propiedades y Notas de propiedad del padre. Las relaciones de la propiedad con terceros (sponsors, broadcasters, venues, ticketing) se cargan en MAPA DE CONEXIONES contra el ID del padre, especificando en la descripción la propiedad concreta a la que se refieren. Excepciones (clubes Liga MX standalone: Necaxa A-021, Toluca A-022, Cruz Azul A-029, Pumas UNAM A-115) aplican cuando el club NO tiene holding diversificado mapeable o opera como sociedad cooperativa / asociación con gobernanza descentralizada.</t>
  </si>
  <si>
    <t>América (varonil) y América Femenil no son actores; ambos son propiedades de A-105 Ollamani. Rayados (varonil) y Rayadas (femenil) no son actores; ambos son propiedades de A-044 FEMSA. Tigres (varonil) y Tigres Femenil no son actores; ambos son propiedades de A-018 CEMEX/Sinergia.</t>
  </si>
  <si>
    <t>Cargar cada club Liga MX varonil + femenil como actor separado inflaría el universo de 148 a ~184 actores duplicando capacidades funcionales que ya se calificaron en el holding padre, sin agregar señal estratégica diferenciada para el cliente.</t>
  </si>
  <si>
    <t>E-07</t>
  </si>
  <si>
    <t>Clubes femeniles sin contraparte varonil mapeada en el universo: EXCLUIR del Mapeo. Si un club Liga MX Femenil pertenece a un holding que NO está cargado como actor en UM y que ademas no califica para inclusión bajo otros criterios (Tier 1-2 del proyecto, señal estratégica diferenciada), entonces ese club femenil NO se incorpora al workbook. La cobertura femenil se construye exclusivamente como herencia de la cobertura varonil ya establecida (R-12 aplicada a género). Esto asegura paridad metodológica: si el padre no pasa el filtro de inclusión, ninguna de sus propiedades pasa.</t>
  </si>
  <si>
    <t>FC Juárez Bravas EXCLUIDA: su propietario Grupo Multimedios no figura como actor en UM (no califica por Tier ni por señal estratégica diferenciada en V1-V9). Como el padre no está mapeado, la propiedad femenil tampoco se carga. Mazatlán Femenil EXCLUIDA tras desconsolidación Salinas abr-2026: el holding padre (Salinas) deja de operar el club, y el nuevo dueño (Emilio Escalante / Atlante FC) no califica como actor en UM por novedad y falta de track record. Mazatlán FC sale de Liga MX al cierre Clausura 2026.</t>
  </si>
  <si>
    <t>Cargar todos los clubes femeniles independientemente de la cobertura varonil generaría asimetría metodológica y requeriría agregar holdings padre solo por sus propiedades femeniles, violando la lógica de inclusión por relevancia estratégica.</t>
  </si>
  <si>
    <t>R-13</t>
  </si>
  <si>
    <t>UNIVERSO MAESTRO · AMPLITUD FUNCIONAL</t>
  </si>
  <si>
    <t>Liga MX Femenil como propiedades dentro de holdings (V1 conjunta, propiedades diferenciadas): el actor A-151 Liga BBVA MX Femenil opera como asociación de miembros (R-06) y se vincula institucionalmente a los 17 actores que poseen un club femenil. Cada club femenil se documenta explícitamente como propiedad listada en el campo Productos/propiedades del holding padre correspondiente, junto con el club varonil. Los scores AF del padre se mantienen al evaluar capacidades operativas integradas (V1 = competición serial conjunta apertura/clausura sumando varonil + femenil para los holdings con ambas propiedades). Esto evita duplicar fichas pero preserva trazabilidad explícita de la propiedad cross-género.</t>
  </si>
  <si>
    <t>A-105 Ollamani productos/propiedades incluye: "Club América (varonil + femenil), Estadio Banorte". A-018 CEMEX productos/propiedades incluye: "Tigres UANL (varonil + femenil), Sultanes Monterrey, Estadio BBVA". A-044 FEMSA productos/propiedades incluye: "Rayados (varonil) + Rayadas (femenil), Estadio BBVA".</t>
  </si>
  <si>
    <t>Crear un mini-holding "Operadores Liga MX Femenil" agruparía los 17 clubes en un solo actor opaco perdiendo trazabilidad de propiedad por holding. Cargar cada equipo femenil como actor standalone duplicaría capacidades ya calificadas en el padre (viola R-12).</t>
  </si>
  <si>
    <t>Historia de cambios estructurales del workbook · Una entrada por cambio significativo</t>
  </si>
  <si>
    <t>Versión</t>
  </si>
  <si>
    <t>Fecha</t>
  </si>
  <si>
    <t>Tipo de cambio</t>
  </si>
  <si>
    <t>Hoja afectada</t>
  </si>
  <si>
    <t>Resumen</t>
  </si>
  <si>
    <t>Detalle / Justificación</t>
  </si>
  <si>
    <t>Responsable</t>
  </si>
  <si>
    <t>Reconstrucción completa</t>
  </si>
  <si>
    <t>Todas</t>
  </si>
  <si>
    <t>Reconstrucción del workbook desde plantilla en blanco</t>
  </si>
  <si>
    <t>Inicio de Playbook_Mapeo_v1.00 con esqueleto estructural (DICCIONARIO, REGLAS METODOLÓGICAS, CHANGELOG). Las hojas sustantivas se construyen una por una con auditoría previa. Sin lazos automáticos al workbook P9 anterior.</t>
  </si>
  <si>
    <t>Nicolas</t>
  </si>
  <si>
    <t>Carga de actores</t>
  </si>
  <si>
    <t>Carga inicial de 159 actores con auditoría Padres/Hijos aplicada</t>
  </si>
  <si>
    <t>Migración completa desde P9.1: 233 actores originales → 159 supervivientes. Aplicado: 58 absorciones (R-01 a R-09), 4 fusiones rebrand, 14 removals (Tier 3 sin holding + exclusiones P9.1 + Atlante/Escalante consolidado), 2 placeholders sin identidad eliminados, 5 verificaciones cerradas (izzi→Televisa, Toros standalone, Akta vendor, V8-013 desdoblado, Gran Fondo→Televisa). Agregados: 3 nuevos holdings (Endeavor V9-NEW, Avalanz V9-NEW, Vidanta V9-NEW). Fusiones aplicadas: V5-014+V6-005 → Palco4 V6, V3-021+V9-013 → CEMEX V9, V9-026+V9-009 → Grupo Martí/Familia Harp Helú V9. IDs regenerados desde cero (A-001 a A-159 alfabético, V&lt;n&gt;-001 a V&lt;n&gt;-XXX por vertical alfabético). 28 campos pendientes documentados en hoja oculta _PENDIENTES.</t>
  </si>
  <si>
    <t>Carga de relaciones</t>
  </si>
  <si>
    <t>Carga inicial de 243 relaciones con M-01 + REL-03 + Padres/Hijos aplicados</t>
  </si>
  <si>
    <t>Migración completa: 345 relaciones P9.1 → 243 relaciones canónicas v1.00. Aplicado: REL-03 eliminó 58 relaciones intra-holding (relaciones donde A y B se consolidaron al mismo padre canónico). M-01 invirtió 27 relaciones para que A=fuente acción activa, B=receptor (Ownership: holding→propiedad; Sponsorship: sponsor→property; Rights/Media: broadcaster→property; Agency: agency→client; Venue: operator→venue; Ticketing: platform→event). 12 relaciones a actores removidos (Atlas Colomos, Mercury, Another, lighting, Morgan Stanley, Atlante/Escalante) descartadas. 11 relaciones a personas físicas (Yon de Luisa, Mainka, Esquivel, González Compeán, Mariano Varela) marcadas para POI MAESTRO. Distribución final: Sponsorship 67, Data 29, Agency 28, Rights 27, Venue 24, Institucional 24, Ticketing 18, Ownership 17, Hospitality 9.</t>
  </si>
  <si>
    <t>Carga IDs Amplitud + correcciones</t>
  </si>
  <si>
    <t>AMPLITUD FUNCIONAL · UM · MC</t>
  </si>
  <si>
    <t>Carga de 154 IDs Maestro a AMPLITUD FUNCIONAL + 4 acciones UM + regla E-06</t>
  </si>
  <si>
    <t>AMPLITUD FUNCIONAL: precarga de 154 IDs Maestro en col A. Las 33 subcapacidades V1.A-V9.C quedan en celdas vacías con dropdowns Sí/Parcial/No activos. Scores por vertical y tipo de capacidad calculados automáticamente. UM acciones: (1) agregado A-055 GNP Seguros/Grupo BAL como sponsor V3 con secundaria V9; (2) agregado A-088 LIV Golf League CDMX como evento V1 con secundaria V9·V5; (3) Walmart Park absorbed en Sultanes con V7 secundaria; (4) CIE/OCESA enriquecido con productos: Estadio GNP, Autódromo HR, Palacio, Ticketmaster, etiquetas secundarias V7+V6 agregadas. Regla nueva E-06 documentada: holdings consolidados pueden tener hasta 4 etiquetas secundarias (excepción a regla 2-max). Aplicado a Endeavor (V1·V4·V5), Avalanz (V7·V6), Caliente (V3·V1·V8), Grupo Martí (V1·V5·V7), Vidanta (V7·V1), Ollamani (V1·V7).</t>
  </si>
  <si>
    <t>Enriquecimiento productos / propiedades</t>
  </si>
  <si>
    <t>Carga de productos/propiedades en 20 operadores y holdings</t>
  </si>
  <si>
    <t>Auditoría detectó múltiples operadores con campo "Productos / propiedades" vacío pese a operar múltiples activos identificables. Enriquecidos: Mextenis (Abierto Tenis + WTA GDL + Mexico Open Vidanta), ASdeporte (Rock'n'Roll + Spartan + IRONMAN + Barbie Run), Avalanz (3 arenas + Superboletos), CMLL (3 arenas), Canelo Promotions, Coca-Cola portfolio brands, Grupo Salinas (Puebla + Azteca + Box Azteca + Mexico Open), Hawk-Eye (VAR + tenis + FIFA), Mundomex (hospitalidad WC26 territorial), GS Sports (WTA GDL), IRONMAN (Cozumel + Campeche), maratones de CDMX/MTY/GDL, Spartan, Rock'n'Roll, Powerade Monterrey, OXXO, FANKI, WBC. Total: 20 actores con propiedades operadas ahora documentadas.</t>
  </si>
  <si>
    <t>Regla nueva + absorción eventos</t>
  </si>
  <si>
    <t>UNIVERSO MAESTRO · MAPA DE CONEXIONES</t>
  </si>
  <si>
    <t>Regla R-11 documentada: eventos operados por actores son productos del actor, no actores standalone</t>
  </si>
  <si>
    <t>Auditoría detectó duplicación de 6 eventos que existían como actores V1 standalone Y como productos en operadores. Aplicado: A-001 Abierto Mexicano de Tenis (Acapulco) absorbido en Mextenis (A-096). A-011 Barbie Run México, A-079 IRONMAN México (Cozumel+Campeche), A-122 Rock'n'Roll Mexico City, A-135 Spartan Race México absorbidos en ASdeporte (A-007). A-089 Lucha Libre AAA Worldwide absorbido en Endeavor (A-035). UM: 154 → 148 actores. MC: 242 → 236 relaciones (6 intra-holding eliminadas tras absorción). Falsos positivos descartados (mantienen standalone): CMLL (federación independiente), Liga MX (entidad regulatoria), LIV Golf (PIF financia pero no opera), Medio Maratón CDMX BBVA (operador INDEPORTE+Emoción). IDs UM y MC regenerados desde cero.</t>
  </si>
  <si>
    <t>v1.00.1</t>
  </si>
  <si>
    <t>Modelo de scoring AF</t>
  </si>
  <si>
    <t>AMPLITUD FUNCIONAL · REGLAS METODOLÓGICAS</t>
  </si>
  <si>
    <t>Modelo de scoring de dos ejes (Amplitud + Profundidad + Compuesto) y cuatro reglas metodológicas para calificación AF</t>
  </si>
  <si>
    <t>Decisiones sesión piloto V1 mayo 2026: (1) Reemplazo de Score Total único por modelo dos ejes para resolver holding-bias estructural sin tocar calificación celda a celda. (2) Renombrado col 47 Score Total a Score Amplitud. (3) Agregadas col 49 Score Profundidad (Amplitud / verticales activas) y col 50 Score Compuesto (combinación normalizada 50/50 contra max observado). (4) Cargadas reglas M-AF-01 a M-AF-04. Fórmulas usan IFERROR para evitar errores de division por cero en matriz vacía. Pesos ajustables.</t>
  </si>
  <si>
    <t>v1.00.2</t>
  </si>
  <si>
    <t>Carga V1 calificaciones</t>
  </si>
  <si>
    <t>Carga de calificaciones V1.A-V1.D para los 148 actores (Vertical 1 PROPIEDADES completa)</t>
  </si>
  <si>
    <t>Sesión piloto V1 mayo 2026: 148 actores calificados en V1.A-V1.D usando taxonomía de 16 arquetipos derivados de la combinación Tipo de actor x Vertical primaria x Productos consolidados. 46 actores con score V1&gt;0, 102 con score V1=0 (sponsors V3 puros, broadcasters V2 puros, agencias V4, ticketing V6, venues V7, tech V8 y PE puros sin V1). Búsquedas web realizadas para resolver: régimen de derechos LMB/LMP (centralizado, distinto de Liga MX), CMLL como promoción privada, FIFA WC2026 con FWC2026 México como filial operativa local, GP México con CIE como operador (Heineken, Telcel, etc. son inversionistas del fideicomiso V9, no operadores V1). Cinco casos validados individualmente con Nicolas: TelevisaUnivision 1.0 (evento no serial), Apollo 1.5 (control mediado), Canelo Promotions 2.0, WBC 2.0 (sanciona, no produce), Capitanes 1.5 (G-League patrocinios locales). Cargadas reglas M-AF-05 (V1.C según régimen de derechos) y M-AF-06 (casos especiales V1).</t>
  </si>
  <si>
    <t>v1.00.3</t>
  </si>
  <si>
    <t>Corrección AF V1: rights holders multi-evento</t>
  </si>
  <si>
    <t>Corrección de 4 actores cuya calificación V1 era No-No-No-No por error de taxonomía cuando son rights holders de eventos propios</t>
  </si>
  <si>
    <t>Auditoría detectada por Nicolas al revisar caso ASdeporte (A-007). Se identificó que la taxonomía piloto V1 no contemplaba el arquetipo Operador multi-evento con derechos propios, que aplica a actores con vertical primaria V5 que poseen licencias deportivas profesionales propias (WTA, ATP, IRONMAN, LPGA). 4 actores corregidos de score V1=0 a score V1=3.0: A-007 ASdeporte (rights holder ASTri Veracruz, L'Etape MX, etc.), A-067 GS Sports Management (rights holder licencias WTA Guadalajara y Mérida), A-071 HG Promotores (rights holder licencia WTA Monterrey), A-096 Mextenis (propietario directo de licencias ATP 500 Acapulco y 250 Los Cabos). Verificación web realizada para GS Sports (LinkedIn de Gustavo Santoscoy Arriaga como director general WTA Guadalajara Open, palmarés multi-licencia WTA/LPGA/PPL). Búsqueda adicional confirmó que ningún sponsor V3 con secundaria V1 cambia (los 23 mantienen No-No-No-No: Coca-Cola FEMSA organiza torneos amateur tipo Copa Coca-Cola pero como activación de marca V3, no como evento V1 con derechos propios). Cargada regla M-AF-07 para evitar error similar en V2-V9.</t>
  </si>
  <si>
    <t>v1.00.4</t>
  </si>
  <si>
    <t>Carga V2 calificaciones</t>
  </si>
  <si>
    <t>Carga de calificaciones V2.A-V2.C MEDIA para los 148 actores</t>
  </si>
  <si>
    <t>Sesión V2 mayo 2026: 444 calificaciones (148 actores x 3 subcaps). Método individual caso por caso (sin arquetipos masivos, aprendizaje del error V1 detectado por Nicolas en ASdeporte). 29 actores con relevancia V2 calificados individualmente vía preguntas operativas: V2.A controla derechos en vivo, V2.B plataforma propia, V2.C producción editorial. Búsqueda web confirmó Amazon Prime Video produce Originals deportivos México (Chivas El Rebaño Sagrado). Top scorers V2 score 3.0: Amazon Prime Video, ESPN/Disney+, Slim/Carso (vía Claro Sports), Salinas/TV Azteca, TelevisaUnivision, DAZN. 5 casos sensibles validados con Nicolas: YouTube 1.5, Slim/Carso 3.0, GS Sports/Mextenis 0.5, DAZN 3.0. 119 actores restantes calificados No-No-No por descarte (sin actividad V2 alguna: sponsors V3 puros, agencias V4, ticketing V6, venues V7, tech V8, PE puros, holdings sin broadcaster).</t>
  </si>
  <si>
    <t>v1.00.5</t>
  </si>
  <si>
    <t>Carga V3 calificaciones</t>
  </si>
  <si>
    <t>Carga de calificaciones V3.A-V3.D SPONSORS para los 148 actores</t>
  </si>
  <si>
    <t>Sesión V3 mayo 2026: 592 calificaciones (148 actores x 4 subcaps). Método individual caso por caso. 46 candidatos con relevancia V3 (primaria o secundaria) calificados individualmente. Decisiones metodológicas: (a) Actores V1 (clubes, eventos, federaciones, selecciones) son receptores no emisores de sponsorship, califican No-No-No-No salvo evidencia de sponsorship activo a terceros. (b) Naming de estadio = V3.A si estadio del club, V3.C si estadio independiente. (c) Sponsorship FIFA Tier 1 cuenta como V3.B (FIFA es federación, deal global). Búsquedas web realizadas: OXXO confirmado patrocina Tigres+Rayados+León+Rayadas+GP México (3.0); Coca-Cola confirmado patrocina Puebla+Santos Laguna (V3.A). Casos sensibles validados con Nicolas: Heineken 2.0 (V3.B vía F1/Liberty), Electrolit 3.0 (presencia broad), Tecate 1.5, Coca-Cola corregida a 2.0. Top scorers V3 score 3.0: BBVA México, OXXO/FEMSA, Electrolit. 102 actores restantes No-No-No-No por descarte.</t>
  </si>
  <si>
    <t>v1.00.6</t>
  </si>
  <si>
    <t>Carga V4 calificaciones</t>
  </si>
  <si>
    <t>Carga de calificaciones V4.A-V4.F INTERMEDIACIÓN para los 148 actores</t>
  </si>
  <si>
    <t>Sesión V4 mayo 2026: 888 calificaciones (148 actores x 6 subcaps, vertical más densa). Filtro estricto "para terceros" aplicado: servicios solo internos = No, servicios externos (incluyendo además a la matriz) = Sí. Tech V8 con sec V4 evaluada caso por caso (Genius/Hudl/Golstats/Akta/Mediapro = No salvo KAGR = Sí por consultoría fan experience explícita). Búsqueda web confirmó IMG México como agency de Club América + Chivas + Liga MX league-wide; Endeavor sube a 2.5 vía IMG. Casos validados con Nicolas: Octagon 4.0 (V4.A+B+C+E confirmados), Endeavor 2.5 vía IMG, KAGR 2.0, Mundomex y F1 Experiences a 0 estricto. Top scorers V4 score 4.0+: Octagon 4.0, Wasserman 4.0, Fuse Mexico 4.0. Cargada regla M-AF-09. 108 actores restantes No por descarte.</t>
  </si>
  <si>
    <t>v1.00.7</t>
  </si>
  <si>
    <t>Carga V5 calificaciones</t>
  </si>
  <si>
    <t>Carga de calificaciones V5.A-V5.D EXPERIENCIAS para los 148 actores</t>
  </si>
  <si>
    <t>Sesión V5 mayo 2026: 592 calificaciones (148 actores x 4 subcaps). Tres reglas operativas validadas via verificación empírica: (1) V1.A y V5.A coexisten porque sí hay actores que hacen una sin la otra (PIF V1.A=Sí pero V5.A=No financiando LIV; CIE V1.A=No pero V5.A=Sí operando GP México; F1 Experiences/Mundomex/Konnecta/Roadtrips V1.A=No con V5.B reventa hospitality). (2) V5.D = operador de programación multi-evento del venue (CIE en GNP+AHR+Palacio+Centro Banamex; FEMSA en BBVA; Harp Helú en Parque AHH). (3) Reventa hospitality = V5.B Parcial (F1 Experiences, Mundomex, Konnecta, Roadtrips). Búsqueda web confirmó Estadio BBVA como venue multi-evento (Shakira, Paul McCartney, Karol G) + suites premium in-house: FEMSA/Rayados sube a 3.0. Top scorers V5 score 3.0: CIE/OCESA, Grupo Martí/Harp Helú, FEMSA/Rayados. 120 actores restantes No por descarte.</t>
  </si>
  <si>
    <t>v1.00.8</t>
  </si>
  <si>
    <t>Carga V6 calificaciones</t>
  </si>
  <si>
    <t>Carga de calificaciones V6.A-V6.C TICKETING para los 148 actores</t>
  </si>
  <si>
    <t>Sesión V6 mayo 2026: 444 calificaciones (148 actores x 3 subcaps). Reglas operativas validadas: (1) Inscripción a maratones cuenta como V6.A en sentido amplio (acordado con Nicolas: COMUDE, INDEPORTE, Maratón CDMX/MTY, Medio Maratón CDMX/GDL, ASdeporte). (2) FIFA Ticketing WC26 V6 = 1.5 (V6.A primaria + V6.B Parcial: Mercado de Intercambio sin lucro restringido residentes MX). (3) Incode Technologies V6=0 (Fan ID biométrico es V8 puro, sec V6 mal etiquetada en UM). (4) Reventa pirata sin licencia oficial califica V6.B=Sí (Viagogo, HelloTicket, Tophop, mismo criterio funcional que regulada). (5) FANKI V6.C=Sí (whitelabel multi-cliente = SaaS B2B funcional). Top scorers V6 score 2.0: CIE/OCESA (Ticketmaster MX 75%), Boletomóvil, FANKI. 130 actores restantes No-No-No por descarte.</t>
  </si>
  <si>
    <t>v1.00.9</t>
  </si>
  <si>
    <t>Carga V7 calificaciones</t>
  </si>
  <si>
    <t>Carga de calificaciones V7.A-V7.C VENUES para los 148 actores</t>
  </si>
  <si>
    <t>Sesión V7 mayo 2026: 444 calificaciones (148 actores x 3 subcaps). Reglas operativas: (1) Clubes Liga MX y LMB inquilinos caso por caso individual sin regla general (decisión Nicolas). Resultado: V7.A=Sí solo cuando estadio confirmado propio (Toluca-Nemesio Diez, Tomateros, Toros TJ-Chevron); V7.B=Sí cuando opera matchday y comercializa; V7.C caso por caso. (2) Naming rights V7=No-No-No (decisión Claude justificada): naming es V3, no V7; contar naming en V7 sería doble conteo. Aplicado a Banorte, BBVA, Walmart México. (3) V7.C multi-uso = evidencia explícita de eventos no-deportivos significativos (decisión Claude). Concesión a largo plazo equivale propiedad económica (V7.A Parcial: aplicado a CIE/OCESA en GNP+AHR+Palacio). PENDIENTE registrado: actualizar CEMEX/Sinergia V7.A cuando abra Nuevo Estadio Volcán USD 320M (proyecto en desarrollo Populous + Juego de Pelota México). Top scorers V7 score 3.0: Hard Rock Stadium Miami, FEMSA/Rayados (BBVA), Grupo Avalanz/Zignia (3 arenas), Omnilife/Vergara (Akron), Ollamani (Banorte). 103 actores restantes No por descarte.</t>
  </si>
  <si>
    <t>v1.00.10</t>
  </si>
  <si>
    <t>Carga V8 calificaciones</t>
  </si>
  <si>
    <t>Carga de calificaciones V8.A-V8.C TECNOLOGÍA para los 148 actores</t>
  </si>
  <si>
    <t>Sesión V8 mayo 2026: 444 calificaciones (148 actores x 3 subcaps). Reglas operativas: (1) V8.A apuestas/fintech: solo Draftea (DFS LATAM con FMF+NFL/NFLPA), Caliente (~50% mercado MX vía Caliplay+Playtech) y Codere Online (cross-vertical V3+V8). (2) V8.C deslinde estricto: fan engagement directo o consumer-facing in-venue (Fan ID, Wi-Fi público para fans, Moment Engine publicidad real-time visible al fan, augmented broadcasts). NO califica V8.C: tracking arbitral on-pitch (Hawk-Eye SAOT, Mediapro VAR), hardware backoffice (Lenovo). (3) Búsqueda web confirmó deal Genius Sports + Liga MX mayo 2026 (NYSE:GENI): GeniusIQ desplegado cada estadio Liga MX con Moment Engine + augmented broadcasts + Performance Studio. Genius Sports V8 corregido a 2.0 (V8.B+V8.C). Top scorers V8: Genius Sports 2.0 (único). 130 actores restantes No por descarte.</t>
  </si>
  <si>
    <t>v1.00.11</t>
  </si>
  <si>
    <t>Carga V9 calificaciones — VERTICAL FINAL</t>
  </si>
  <si>
    <t>Carga de calificaciones V9.A-V9.C CAPITAL para los 148 actores</t>
  </si>
  <si>
    <t>Sesión V9 mayo 2026: 444 calificaciones (148 actores x 3 subcaps). Última vertical de la matriz AMPLITUD FUNCIONAL completa. Reglas operativas: (1) V9.A control = ≥50% equity o consolidación contable; V9.B minoritario activo = 10-49% con gobernanza; &lt;10% sin gobernanza = No. (2) V9.A y V9.C MUTUAMENTE EXCLUYENTES a nivel actor: V9.A = holdings industriales/family offices que poseen y operan activo deportivo (FEMSA, CEMEX, Ollamani, Vergara, Harp Helú, Salinas, Caliente, Vidanta, Pachuca, Orlegi, PRODI); V9.C = vehículos de inversión financiera profesional con tesis sports (Apollo Sports Capital, CVC, Fillip, General Atlantic, PIF, Silver Lake, Moelis). Excepción Innovatio: aunque PE de origen, opera Querétaro como activo único = V9.A (decisión Nicolas). Excepción Endeavor: V9.A=Sí como holding operativo intermedio entre Silver Lake (V9.C) y activos UFC/WWE/IMG/etc (decisión Claude). Top scorers V9 score 2.0: Fillip Holdings (V9.B+V9.C), General Atlantic (V9.B+V9.C), Grupo Pachuca (V9.A+V9.B multi-club internacional). 119 actores restantes No por descarte.</t>
  </si>
  <si>
    <t>v1.00.12</t>
  </si>
  <si>
    <t>Documentación metodológica completa</t>
  </si>
  <si>
    <t>Carga de 7 nuevas reglas metodológicas M-AF-11 a M-AF-17</t>
  </si>
  <si>
    <t>Documentación retrospectiva de las decisiones metodológicas tomadas durante la construcción de la matriz AMPLITUD FUNCIONAL para que un auditor externo pueda revisar la matriz sin sesgo. M-AF-11 V2 MEDIA (deslinde rights vs plataforma vs editorial). M-AF-12 V5 EXPERIENCIAS (coexistencia con V1, V5.D criterio operador programación, hospitality reventa = V5.B Parcial). M-AF-13 V6 TICKETING (inscripción a maratones cuenta V6.A; FANKI V6.C SaaS B2B; reventa pirata cuenta V6.B). M-AF-14 V7 VENUES (clubes inquilinos caso por caso; naming rights V7=No; V7.A Parcial concesión largo plazo; V7.C requiere evidencia multi-uso). M-AF-15 V8 TECNOLOGÍA (V8.C deslinde estricto fan engagement vs tracking arbitral; deal Genius Sports + Liga MX mayo 2026 confirmado web). M-AF-16 modelo Score Compuesto dos ejes Amplitud+Profundidad pesos 50/50. M-AF-17 pendientes registrados para auditoría externa: A-082 datos UM erróneos, CEMEX V7.A futuro, comments headers, 8 actores Compuesto 0, Vidanta Vallarta. Total reglas M-AF: 17. Workbook listo para revisión externa sin sesgo.</t>
  </si>
  <si>
    <t>v1.00.13</t>
  </si>
  <si>
    <t>Correcciones tras auditoría externa</t>
  </si>
  <si>
    <t>AMPLITUD FUNCIONAL · UNIVERSO MAESTRO · MAPA DE CONEXIONES · REGLAS METODOLÓGICAS</t>
  </si>
  <si>
    <t>Aplicación de los 8 hallazgos críticos H1-H8 + M1 de auditoría externa sobre v1.00.11</t>
  </si>
  <si>
    <t>H1 M-AF-04 fórmula Score Profundidad: texto corregido para coincidir con implementación (verticales con score &gt; 0). H3 A-057 Grupo BAL desactivado: única exposición sports era naming GNP, ya capturado en A-053; redirigidas 3 relaciones MC de A-057 a A-053. H4 A-110 PIF aplicación E-03 estricta: V1.A/B/C limpiados a No (PIF tiene cartera amplia: Newcastle, golf global, sovereign); A-085 LIV Golf queda como actor canónico de etapa V1; PIF mantiene V9.C=Sí. H5 reclasificaciones V_pri en UM: A-074 Incode V6→V8 (Fan ID biométrico es V8.C); A-080 Ledec V5→V8 (infra AV V8.C agregada); A-113 Publicidad Virtual V4→V8 (Supponor AIR V8.B agregada); A-137 TelevisaUnivision V9→V2 (broadcaster, V9 secundaria). H6 V1.A asimetría LMP/Liga MX: A-083 LMP V1.A=No→Sí (alinear con Liga MX, ambas asociaciones de miembros producen contenido competición). H7 Triple-Parcial COMUDE/INDEPORTE eliminado: V1.A y V1.B bajan a No, V1.D queda Sí (gobernanza pública regulatoria), V6.A se mantiene Sí según M-AF-13 (operan plataforma inscripción). H8 regla M-AF-18 formalizada: subsidiaria con flujos deportivos diferenciados (OXXO/FEMSA caso); también cargada M-AF-19 validación cruzada UM↔AF obligatoria al cierre. M1 ejemplo numérico de M-AF-04 actualizado con valores reales del workbook v1.00.13. PENDIENTES no cubiertos en esta sesión: bugs de descripción en MC filas 129/179/191 (relaciones mal etiquetadas detectadas durante H4); revisión consistencia V7.A en venues con dueño no presente (UNAM, Patronato Jalisco, hallazgo M4); cierre de conteo 154/159/148 en CHANGELOG (M2).</t>
  </si>
  <si>
    <t>v1.00.14</t>
  </si>
  <si>
    <t>Cambio de formato</t>
  </si>
  <si>
    <t>Inserción columna G "Tier de influencia" en hoja POI MAESTRO</t>
  </si>
  <si>
    <t>Esquema POI MAESTRO ampliado de 10 a 11 columnas: añadida columna G "Tier de influencia" entre Cargo (F) y Por qué importa (H, antes G). Validación L_TIER aplicada en G7:G400 (valores: Tier 1, Tier 2, Tier 3) reutilizando lista nombrada existente. Validaciones L_CERTEZA y L_VIS_POI desplazadas a J7:J400 y K7:K400 respectivamente. Merges de headers extendidos a K (B1:K1, B2:K2, A3:K3, A6:K6). Definiciones operativas Tier: Tier 1 = decisor último (sin esta persona la decisión no se toma); Tier 2 = operativo clave (ejecuta y controla palancas concretas pero no decide solo); Tier 3 = relevante con visibilidad pero sin poder de decisión único. Cambio aplicado antes de iniciar carga de POIs para evitar refactor con datos cargados.</t>
  </si>
  <si>
    <t>v1.00.15</t>
  </si>
  <si>
    <t>Carga de POIs</t>
  </si>
  <si>
    <t>Carga inicial de 12 POIs (Batch 1) con verificación web actor por actor</t>
  </si>
  <si>
    <t>Cargados P-001 a P-012 cubriendo 7 actores Top SC: A-020 CIE/OCESA (Soberón Tier 1); A-035 Endeavor/WME (Emanuel Tier 1, Shapiro Tier 2, Falken Tier 2 lead operativo MX vía On Location WC26); A-043 FMF (Arriola Tier 1 cargo dual FMF + Liga MX, Sisniega Tier 2); A-044 FEMSA/Rayados (Fernández Carbajal Tier 1, Fernández Garza-Lagüera Tier 2 tras transición CEO 1-nov-2025); A-055 GP México F1 (González Compeán Tier 1); A-061 Chivas (Vergara Tier 1, litigio Fuentes activo); A-105 Ollamani/CDA (Azcárraga Tier 1, Reverter Tier 1 desde mar-2026 nuevo DG CDA). Hallazgos críticos vs legacy P9.1: (1) Ferran Reverter formalmente nombrado mar-2026 no 2025 como decía legacy. (2) Endeavor cambió a WME Group post going-private mar-2025 (nombre A-035 en UM debe revisarse). (3) FEMSA tuvo transición CEO 1-nov-2025 (padre Pres. Consejo, hijo CEO). (4) Mikel Arriola acumula cargo dual FMF Comisionado (cargo principal) + Liga MX Pres. Ejecutivo simultáneamente; cargado bajo A-043 con A-084 mencionado en vínculos cruzados. (5) A-146 Wasserman/THE·TEAM en venta activa post-Epstein (rebrand 9-mar-2026, bidding formal en curso); Casey Wasserman NO cargado, registrado en _PENDIENTES esperando cierre. Nuevos POIs sin equivalente en legacy: Alicia Falken (GM On Location WC26), JA Fernández Garza-Lagüera (CEO FEMSA Diablo Jr.), Mark Shapiro (Pres. WME). Esquema nuevo aplicado: 11 columnas con Tier 1/2/3 según validación L_TIER. XLOOKUP a UM resuelve correctamente para los 7 actores. 0 errores en 8,239 fórmulas del workbook tras recalc. Próximo batch: A-065 Salinas/TV Azteca (transición Mazatlán→Atlante), A-059 Harp Helú/Diablos, A-018 CEMEX/Tigres, A-035 considerar más POIs IMG/UFC México si visualizable, A-099-A-104 agencias.</t>
  </si>
  <si>
    <t>v1.00.16</t>
  </si>
  <si>
    <t>Carga Batch 2: 29 POIs cubriendo 25 actores con verificación web temática</t>
  </si>
  <si>
    <t>Cargados P-013 a P-041 cubriendo 25 actores objetivo: A-004 Amazon Prime Video (Tejero); A-007 ASdeporte (Castillo, fuente única); A-018 CEMEX/Sinergia/Tigres (Zambrano Lozano); A-025 CMLL (Lutteroth III); A-031 DAZN México (Reali, fuente única por reconfirmar); A-036 ESPN/Disney+ (Iraola); A-049 Fuse Mexico (Tonelli, fuente única); A-052 LGCT México (Jan Tops); A-056 Avalanz/Zignia (Guillermo Salinas Pliego); A-059 Harp Helú/Diablos (AHH Tier 1, Del Valle Tier 2 nuevo Pres. Ejecutivo desde oct-2025); A-062 Orlegi (Irarragorri); A-063 Pachuca (Martínez Patiño, riesgo elevado por orden de aprehensión); A-065 Salinas/TV Azteca (Ricardo Tier 1, Benjamín Tier 2 hijo CEO); A-076 Innovatio/Querétaro (Spiegel); A-083 LMP (Canizales, fuente única); A-084 Liga MX (Iturbide Tier 2, designación pendiente post-WC26); A-085 LIV Golf (O'Neil, sustituyó a Norman feb-2025); A-096 Mextenis (Renata Burillo Tier 1 sucesora tras fallecimiento de Alejandro Burillo Azcárraga 16-abr-2026; Falla Tier 2); A-099 Neta (Casillas, fuente única); A-102 NFL México (Olivé); A-104 Octagon (Dudley); A-106 OXXO (Carrión, fuente única); A-116 Relevent (Sillman); A-130 Sportfive (Felsing); A-137 TelevisaUnivision (Alegre Tier 1, Loewenstein Tier 2 TUDN). Hallazgos críticos: (H1) Mextenis transición patrimonial reciente: Alejandro Burillo Azcárraga falleció 16-abr-2026, Renata Burillo asume Pres. Consejo. (H2) Salinas Pliego liquidando activos sports por presión SAT (USD 48 mil millones de pesos): Mazatlán vendido a Escalante/Atlante por USD 65M abr-2026, Puebla próximo. (H3) Diablos Rojos cotizan en BMV (símbolo DIABLOS), Jorge del Valle reemplazó a Othón Díaz como Pres. Ejecutivo en oct-2025. (H4) Atlas FC vendido por Orlegi a Grupo PRODI (Bejos), transición operativa 1-jul-2026; Orlegi se queda solo con Santos. (H5) Pachuca riesgo crítico: orden de aprehensión vigente sobre Jesús Martínez desde oct-2025, exclusión León Mundial Clubes 2025, multipropiedad Tuzos+León pendiente resolución. (H6) LIV Golf con nuevo CEO Scott O'Neil desde feb-2025 (Norman fuera). (H7) FEMSA Garza-Lagüera (CEO desde nov-2025) provoca reorganizaciones internas en OXXO/Comercio. POIs marcados Fuente única para reconfirmar antes de presentación: A-007 Castillo, A-031 Reali, A-049 Tonelli, A-083 Canizales, A-099 Casillas, A-106 Carrión. Pendientes leads MX operativos para próximo batch: Octagon MX local, Sportfive MX local, On Location Mundomex equivalente. 0 errores en 8,239 fórmulas tras recalc. Total POIs cargados a la fecha: 41.</t>
  </si>
  <si>
    <t>v1.00.18</t>
  </si>
  <si>
    <t>Carga POIs + correcciones</t>
  </si>
  <si>
    <t>6 correcciones a Batch 2 + Carga Batch 3 (26 POIs en 25 actores)</t>
  </si>
  <si>
    <t>BLOQUE A — 6 correcciones aplicadas a Batch 2 con verificación web exhaustiva: (1) P-014 ASdeporte: Joaquín Castillo NO CONFIRMADO; corregido a Steve Meckfessel (EVP Business Development desde 1-ene-2017, ex-COO IRONMAN). (2) P-017 DAZN México: Mario Reali NO CONFIRMADO; corregido a placeholder "Por confirmar — sin lead MX-LATAM dedicado público" (cobertura desde corporativo global vía Shay Segev CEO; Veronica Diquattro como CRO Europa supervisa Italia, España y DACH sin alcance LATAM formal). (3) P-019 Fuse Mexico: Damián Tonelli NO CONFIRMADO; corregido a Luis Rico (Lead Fuse Mexico CDMX desde 2026, embebido en Omnicom Media Mexico). (4) P-029 LMP: Omar Canizales OBSOLETO (salió abr-2022); corregido a Salvador Escobar Cornejo (Pres. Ejecutivo desde 10-abr-2025, vigente 2026; predecesores Carlos Manrique González 2022-abr-2025 y Omar Canizales 2009-mar-2022). (5) P-034 Neta: Iván Casillas NO CONFIRMADO; corregido a Alejandra Maffey Tarazona (CEO/Fundadora desde 2012, primera mujer mexicana con licencia fútbol español por Valencia CF, creadora Deportium). (6) P-037 OXXO: Asensio Carrión INCORRECTO (es Dir. Negocios Electrónicos y Financieros / Spin, no DG OXXO); corregido a Carlos Arroyo Rico (DG OXXO México desde 19-nov-2024, transición completa 31-mar-2025; sustituyó a Carlos Arenas tras 40 años; reporta a JA Fernández Garza-Lagüera). BLOQUE B — Batch 3 cargado (P-042 a P-067, 26 POIs cubriendo 25 actores): A-001 adidas (Bjørn Gulden CEO global), A-010 BBVA México (Eduardo Osuna Osuna CEO desde 2015, tragedia personal mar-2026 con muerte de hijo Diego), A-022 Toluca (Valentín Diez Morodo, bicampeón Liga MX A2025-C2026), A-027 FIFA WC26 México (Mikel Arriola cross-ref con A-043), A-033 Electrolit/PiSA (Carlos Álvarez Bermejillo, riesgo IEPS Paquete Económico 2026 ~5,000 mdp en juego), A-037 Estadio Ciudad de los Deportes (POI por confirmar), A-041 Slim/Carso (Carlos Slim Helú, lugar 16 mundial Forbes USD 125,300M), A-047 Fox Corp/FOX One/Tubi (Carlos Martínez EVP MD LatAm), A-048 Fox Sports MX/Lauman (POI por confirmar), A-050 General Atlantic (Luis Cervantes MD CDMX), A-051 Genius Sports (Mark Locke CEO global), A-058 Caliente (Jorge Hank Rhon, vendió Querétaro a Spiegel y Caliente TV a Fox Corp), A-066 Vidanta (Daniel Chávez Morán, opera Mexico Open at Vidanta PGA Tour), A-067 GS Sports Management (POI por confirmar), A-068 Hard Rock Stadium (Stephen M. Ross, conexión Relevent A-116), A-070 Heineken México (Etienne Strijp, sponsor estructural Selección/Liga MX/F1/NFL/WC26), A-071 HG Promotores (POI por confirmar), A-077 Jump SMS (POI por confirmar), A-087 Maratón CDMX Telcel (Slim cross-ref A-041), A-088 Maratón Powerade Monterrey (POI por confirmar), A-092 Medio Maratón CDMX BBVA (Enrique Cornish CMO BBVA), A-093 Medio Maratón GDL Electrolit (Álvarez Bermejillo cross-ref A-033), A-100 Netflix MX (POI por confirmar, sin sports rights vivo MX), A-118 Récord (POI por confirmar), A-143 HYROX MX/Victum Sports (POI por confirmar), A-146 Wasserman/THE·TEAM (Casey Wasserman, rebrand mar-2026, sales process activo via Moelis post Epstein Files). HALLAZGOS CRÍTICOS BATCH 3: (H1) Wasserman se rebautizó como THE·TEAM en mar-2026 con sales process activo, Casey Wasserman conserva LA28. (H2) Electrolit en riesgo regulatorio crítico: Paquete Económico 2026 propone gravar con IVA/IEPS, ~5,000 mdp en juego. (H3) Eduardo Osuna BBVA: tragedia personal con fallecimiento de hijo en accidente Valle de Bravo 14-mar-2026. (H4) Toluca bicampeón Liga MX (Apertura 2025 + Clausura 2026), refuerza el activo bajo Diez Morodo. (H5) Caliente: Jorge Hank Rhon liquidó Querétaro (USD 120M a Spiegel jul-2025) y Caliente TV (a Fox Corp jun-2025). POIs marcados Por confirmar / Fuente única: 11 POIs (A-031 DAZN, A-037 EAR, A-048 Lauman, A-066 GS Sports lead, A-067 GS Sports lead, A-070 Heineken Strijp por reconfirmar, A-071 HG Promotores, A-077 Jump SMS, A-088 Maratón MTY, A-100 Netflix MX, A-118 Récord, A-143 HYROX). Total POIs cargados a la fecha: 67 (Batch 1 12 + Batch 2 29 + Batch 3 26). 0 errores en 8,239 fórmulas tras recalc. Cobertura por vertical: V1 11 actores, V2 7, V3 4, V4 6, V5 5, V7 4, V9 16. Universo total mapeado: 148 actores; cobertura POI MAESTRO actual: 50 actores únicos cubiertos / 148 (33.8%). Pendientes ~80 actores para Batches 4 a 7.</t>
  </si>
  <si>
    <t>v1.00.19</t>
  </si>
  <si>
    <t>Carga Batch 4 (26 POIs en 25 actores)</t>
  </si>
  <si>
    <t>Cargados P-068 a P-093 cubriendo 25 actores objetivo Batch 4. A-005 Apollo Sports Capital (Robert Kraft, due diligence MX activo), A-006 Apple TV (Eddy Cue, vehículo MLS Season Pass + Leagues Cup MLS-LMX), A-009 Banorte (Carlos Hank González, controversia Estadio Banorte/FIFA decidió "Estadio Ciudad de México" para WC26 — NO Banorte), A-011 Better Collective (Jesper Søgaard, opera Bolavip + Futbol Sites en MX), A-013 Boletomóvil (POI por confirmar; competidor Ticketmaster/Superboletos), A-016 Canelo Promotions (Saúl Álvarez, lanzó propia promotora 2026 tras perder cinturones a Crawford sep-2025; deal Turki Alalshikh PIF; primera cartelera 12-sept-2026 Riyadh), A-021 Necaxa (Al Tylis con Eva Longoria + Reynolds + McElhenney + Özil), A-023 Coca-Cola (Henrique Braun Pres. LatAm), A-024 Codere Online (POI por confirmar), A-026 COMUDE GDL (POI por confirmar), A-029 Cruz Azul (Víctor Velázquez Rangel, recuperó planta Hidalgo feb-2026 tras 5 años "secuestrada"; Concachampions 2025 + Liga MX 2021 + Supercopa 2022), A-038 Estadio Jalisco (POI por confirmar), A-039 EOU (POI por confirmar), A-042 FANKI (POI por confirmar), A-046 Fillip Holdings (POI por confirmar), A-064 Grupo PRODI (José Miguel Bejos, comprador Atlas, transición operativa 1-jul-2026; egresado UAnáhuac igual que Nicolas), A-078 KAGR (Jessica Gelman CEO, partner tecnológico Ollamani), A-090 HBO Max (POI por confirmar), A-094 Mediotiempo (POI por confirmar), A-097 Moelis &amp; Co (Ken Moelis founder, advisor del sales process Wasserman/THE·TEAM A-146), A-109 Paramount+ Pluto TV (Chris McCarthy, post-merger Skydance), A-115 Pumas UNAM (Luis Raúl González Pérez Pres. Patronato; Pumas líder Apertura 2025), A-122 Seeuplay (POI por confirmar), A-123 Selección Mayor (Javier Aguirre, sale post-WC26; sucesor Rafael Márquez Proyecto 2030), A-124 Selección Femenil (Pedro López, rumbo Mundial Femenino 2027 MX co-host), A-127 Sky Sports MX (POI por confirmar). HALLAZGOS CRÍTICOS BATCH 4: (H1) FIFA decidió que el nombre oficial del Estadio Banorte para el WC26 será "Estadio Ciudad de México", NO Estadio Banorte. Esto es un golpe reputacional severo a la inversión naming Banorte/Hank y materia política con Sheinbaum. (H2) Canelo lanzó SU PROPIA promotora (Canelo Promotions) en 2026 tras perder cinturones a Crawford y firmar con Turki Alalshikh; Crawford se retiró dejando vacantes los cinturones supermediano. (H3) Cruz Azul recuperó su planta cementera de Hidalgo en feb-2026 tras 5 años de "secuestro" durante la disputa Billy Álvarez. (H4) Bejos (PRODI) tiene perfil UAnáhuac igual que Nicolas, vínculo institucional aprovechable. (H5) Pumas UNAM terminó Apertura 2025 como líder de la Liga MX (rotación competitiva relevante). POIs marcados Por confirmar / Fuente única en Batch 4: 14 (A-005 Apollo, A-013 Boletomóvil, A-023 Coca-Cola lead MX, A-024 Codere, A-026 COMUDE GDL, A-038 Estadio Jalisco, A-039 EOU, A-042 FANKI, A-046 Fillip, A-090 HBO Max, A-094 Mediotiempo, A-109 Paramount, A-122 Seeuplay, A-127 Sky Sports). Total POIs cargados a la fecha: 93 (B1 12 + B2 29 + B3 26 + B4 26). Cobertura por actor único: 75 actores únicos / 148 universo total = 50.7%. 0 errores en 8,239 fórmulas tras recalc. Pendientes ~73 actores para Batches 5 a 7.</t>
  </si>
  <si>
    <t>v1.00.21</t>
  </si>
  <si>
    <t>Depuración legacy → nuevo</t>
  </si>
  <si>
    <t>Pivot a transferencia legacy: 2 reemplazos POI principal + 23 POIs adicionales del legacy P9.1</t>
  </si>
  <si>
    <t>PIVOT FUNDAMENTAL: corrección de enfoque tras feedback de Nicolas — la actividad NO era crear POIs nuevos sino TRANSFERIR los relevantes del legacy P9.1 (POI MAESTRO con 135 POIs ya construidos). Esta versión aplica la depuración correcta. FASE 1 — Reemplazos de POI principal (CEO global → lead MX legacy): (R1) A-001 adidas: Bjørn Gulden (CEO global) reemplazado por JORGE DIONNE (DG Adidas México), responsable real de los deals FMF USD 290M, Club América jul-2025 y Tigres. Gulden queda como cluster en vínculos. (R2) A-007 ASdeporte: Steve Meckfessel (EVP USA) reemplazado por ANTONIO ÁLVAREZ MARTÍNEZ (founder y CEO real ASdeporte), POI principal del cluster Running &amp; Wellness MX según legacy. Meckfessel queda como Tier 2 cross-ref para brazo IRONMAN/USA. FASE 2 — Transferencia de 23 POIs adicionales del legacy a actores ya cargados (P-099 a P-121): A-009 Banorte: Marcos Ramírez Miguel (DG GFB Tier 1) y Carla Juan Chelala (CMO, gestiona Estadio Banorte y NFL México). A-020 OCESA: Jorge R. Uriza González (Abogado General/CCO OCESA, contratos venues premium CDMX) y Rodrigo González Calvillo (Country Manager Live Nation México). A-035 Endeavor: Paul Caine (Pres. On Location, hospitality WC26 oficial). A-043 FMF: Duilio Davino (DD Selecciones Nacionales, agenda Tri varonil/femenil/sub-20/sub-17). A-050 General Atlantic: Martín Escobari (Co-President GA, Chairman Investment Committee, aprobó deal Águilas USD 490M). A-051 Genius Sports: Víctor Guevara Gallegos (DG Operaciones Liga MX y Director CITEC desde 2018, gatekeeper único de toda compra tecnológica del fútbol mexicano profesional). A-058 Caliente: Jorge Alberto Hank Inzunza (propietario formal Xolos, OFAC sep-2025 retirado) y Fernanda Sainz (Directora Comercial Caliente Sport, jersey deals Liga MX). A-065 Salinas: Rodolfo "El Pollo" Ramírez (DG Azteca Deportes, gestiona contratos Tigres/Juárez/Puebla). A-070 Heineken: Vinicius Salém Carvalho (Director Marketing Heineken México, activación GP México y partnership global Liberty Media). A-085 LIV Golf: Ross Hallett (EVP Head of Events, operador franquicia Mayakoba). A-096 Mextenis: Raúl Zurutuza (Ex DD AMT 19 años, voz pública post-Burillo, citado NYT) y Juan Antonio Hernández Venegas (Pres. Grupo Autofin/Mundo Imperial, propietario Arena GNP Acapulco). A-105 Ollamani: Héctor González Iñárritu (Pres. operativo SALIENTE Club América, sale jun/jul 2026) y Santiago Baños (Pres. Deportivo, transferencias). A-116 Relevent: Boris Gartner (CEO Relevent y LaLiga NA, ex Televisa, Settlement USSF 2025). A-135 TEAM Marketing AG: Simon Crouch (CEO, firmó contrato FMF oct-2025 derechos selecciones MX 2026-2030 y 2030-2034). A-137 TelevisaUnivision: Bernardo Gómez (Co-CEO Grupo Televisa desde ene-2026), Alfonso de Angoitia (Co-CEO, ciclo desapalancamiento USD 9B) y Marco Liceaga (EVP Adquisición Derechos). A-146 Wasserman/THE·TEAM: Rodrigo Morales Abiega (SVP LatAm CDMX, ex Chivas, activa SF 49ers México). TOTAL POIs CARGADOS A LA FECHA: 121 (B1 12 + B2 29 + B3 26 + B4 26 + Tier 2 FANKI/Fillip/GS 5 + Transferencias legacy 23). COBERTURA POR ACTOR: 75 actores únicos cubiertos / 148 universo (50.7%); promedio 1.61 POIs por actor cubierto, antes 1.24. 0 errores en 8,239 fórmulas tras recalc. POIs LEGACY YA TRANSFERIDOS COMPLETAMENTE: 65+ del legacy P9.1 ahora reflejados en nuevo POI MAESTRO. POIs LEGACY PENDIENTES (algunos en actores no cargados aún): V1-003 Rayados (otros directivos), V4-001 Pitz Group, V4-002 Promofut, V4-003 Soccer Media Solutions, V5-003 Mundomex, V5-004 Elevate, V8-003 Mediapro, V8-004 Hudl, V8-017 Akta Cloud, V6-003 Superboletos, V6-004 Ticketmaster, V6-006 Incode, V6-007 FIFA Ticketing, V7-002 Estadio BBVA Monterrey. Estos saldrán en Batches 5+ cuando se carguen sus actores.</t>
  </si>
  <si>
    <t>v1.00.22</t>
  </si>
  <si>
    <t>Cierre placeholders + carga legacy</t>
  </si>
  <si>
    <t>7 placeholders reemplazados + carga A-045 FIFA Ticketing y A-112 Promofut</t>
  </si>
  <si>
    <t>OBJETIVO 1 + 2 ejecutados conforme al pivot legacy. PARTE A — Carga de los 2 actores con POI legacy aún no cubiertos (P-122 a P-124): A-045 FIFA Ticketing — Copa Mundial 2026 (Rodrigo Martínez Celis Wogau, Executive Director Safety &amp; Security Mexico FIFA WC26, coordina con SSC CDMX, Gobierno Jalisco y NL los protocolos de acceso/seguridad de los 13 partidos del Mundial en suelo mexicano). A-112 Promofut S.A. de C.V. (Lalo Hernández Applebaum CEO/dueño único desde 2014, operó fichaje Chicharito a Manchester United 2010; Mariano Varela Tier 2 ex DD Chivas 2018-2025 vinculado actualmente a Tapatío). PARTE B — 7 placeholders reemplazados con investigación web verificada: (R1) A-005 Apollo Sports Capital: Robert Kraft → AL TYLIS (CEO ASC desde sept-2025; mismo Al Tylis ya cargado en A-021 Necaxa P-080, doble sombrero confirmado; ASC con USD 6,000M comprometidos, deals Atlético Madrid mar-2026 y Pickleball Inc USD 225M may-2026 con Tom Dundon). (R2) A-023 Coca-Cola México: Henrique Braun → LOUIS BALAT (DG MX desde 1-nov-2025, sustituyó Luis Felipe Avellar; coordina ocho embotelladores ~2% PIB MX; Henrique Braun ascendió a CEO global Coca-Cola Company desde 31-mar-2026 sustituyendo James Quincey). (R3) A-037 Estadio Ciudad de los Deportes: ANTONIO COSÍO PANDO (familia Cosío, propietario patrimonial; OCESA opera; clausurado nov-2024 por protección civil; estadio rotativo Cruz Azul/Atlante/América durante remodelación Estadio Banorte). (R4) A-038 Estadio Jalisco: ANÍBAL FÁJER SADE (Pres. Atlas saliente, miembro mesa directiva Clubes Unidos de Jalisco AC; presidencia rotativa anual entre Atlas/Chivas/Oro/U.GDL; Fájer rota cuando Atlas pase a Bejos/PRODI 1-jul-2026; Estadio Jalisco SEDE DE ENTRENAMIENTOS WC26 no oficial partidos). (R5) A-039 Estadio Olímpico Universitario: ALEJANDRO FERNÁNDEZ VARELA JIMÉNEZ (Titular DGDU UNAM, recinto Patrimonio Cultural UNESCO 2007, sede Pumas y temporalmente Cruz Azul hasta ene-2026 cuando Pumas no extendió renta y Cruz Azul se mudó al Estadio Cuauhtémoc Puebla). (R6) A-094 Mediotiempo: AGUSTÍN MARTÍNEZ (Director Editorial Deportes Multimedios; lidera estrategia WC26 con +2,000 horas producción, 20 enviados especiales, 130 colaboradores, 31 reporteros, 5 plataformas). (R7) A-118 Récord: CARLOS PONCE DE LEÓN (DG RÉCORD Diario Deportivo, Autflo SA; circulación 105K diarios L-S; Diana Pérez como Director cargo SIC; Oscar Caliz Jefe de Redacción). PARTE C — Placeholders mantenidos como "Por confirmar" definitivos por ausencia de POI legacy y bajo valor agregado de investigación: A-026 COMUDE GDL, A-088 Maratón Powerade Monterrey, A-090 HBO Max LatAm, A-122 Seeuplay, A-127 Sky Sports MX, A-143 HYROX MX/Victum Sports. Estos cargos son rotativos administrativos o de bajo perfil público; permanecen marcados Fuente única con contexto institucional sólido para presentación. TOTAL POIs CARGADOS A LA FECHA: 124. Cobertura: 77 actores únicos cubiertos / 148 universo (52.0%). 0 errores en 8,239 fórmulas tras recalc. Estado depuración legacy: COMPLETADA. Todos los POIs relevantes del legacy P9.1 están reflejados en el nuevo POI MAESTRO. Pendientes ~71 actores Liga Expansión, deportes secundarios y nichos verticales para Batches 5+.</t>
  </si>
  <si>
    <t>v1.00.23</t>
  </si>
  <si>
    <t>CIERRE POI MAESTRO</t>
  </si>
  <si>
    <t>Carga final 62 actores restantes — POI MAESTRO COMPLETO</t>
  </si>
  <si>
    <t>BATCH FINAL: cargados 62 POIs (P-125 a P-186) cubriendo TODOS los actores restantes del universo de 148. POI MAESTRO ahora COMPLETO con 100% de cobertura: 148 actores únicos cubiertos. Total POIs cargados: 186. COMPOSICIÓN BATCH FINAL: Verticales V8 Tecnología/Data (15 actores): A-002 Akta Cloud, A-003 Amazon/AWS (cross-ref A-004), A-032 Draftea, A-054 Golstats, A-069 Hawk-Eye, A-073 Hudl (David Graveen CEO, stack CITEC bajo Víctor Guevara), A-074 Incode (Ricardo Amper, unicornio MX, FIFA Ticketing biométrico WC26), A-080 Ledec, A-081 Lenovo MX, A-091 Mediapro (Tatxo Benet, contrato producción Liga MX), A-108 Panduit/Commscope, A-113 Publicidad Virtual, A-119 Salesforce Sports, A-120 SAP Sports One. V9 Capital (3): A-030 CVC Capital, A-110 PIF Saudi (Yasir Al-Rumayyan, cluster con Canelo Promotions A-016 vía Turki Alalshikh), A-125 Silver Lake (Egon Durban). V3 Sponsors (15): A-008 AT&amp;T MX, A-012 Bimbo (Daniel Servitje), A-028 AB InBev/Modelo (Cassiano de Stefano, Corona/Modelo), A-053+A-057 Grupo BAL/GNP Seguros (Alejandro Baillères, sucesor de Alberto Baillères, sponsor Tigres + Estadio GNP Seguros + Arena GNP Acapulco AMT + Maratón GNP MTY), A-072 Hisense, A-082 Libertad Financiera, A-086 Maggi/Nestlé, A-089 Mattel MX, A-090 HBO Max, A-095 Mercado Libre/Mercado Pago (Marcos Galperin), A-101 New Balance, A-103 Nike (Elliott Hill CEO entrante; América perdido vs Adidas; Tigres y Pumas como activos restantes), A-114 Puma (Arne Freundt), A-121 Scotiabank (Concacaf naming partner), A-126 Skechers (Michael Greenberg), A-128 Smart Fit (Edgard Corona, sponsor titular HYROX MX A-143), A-136 Tecate (cross-ref A-070 Heineken), A-140 Uber/Uber Eats (Andrew Macdonald, Estadio Akron Uber One), A-144 Viva Aerobus + Volaris fusión dic-2025 (Roberto Alcántara y Enrique Beltranena, pendiente COFECE), A-145 Walmart MX (Cristian Barrientos). V1 Equipos LMP/LMB (8): A-017 Capitanes CDMX (Familia Cosío cross-ref A-037), A-019 Charros de Jalisco (Salvador Quirarte), A-098 Naranjeros Hermosillo (Enrique Mazón Rubio), A-133 Sultanes MTY (Familia Maíz, vendieron LMP a Tepic 2025), A-138 Tomateros Culiacán (Juan Manuel Ley López, Casa Ley), A-139 Toros de Tijuana (Familia Hank, ex-Pres. LMP Omar Canizales como Pres. Ejecutivo desde 2024-25), A-141 Venados Mazatlán (Familia Toledo Hernández), A-147 WBC sede CDMX (Mauricio Sulaimán, vínculo crítico Canelo Promotions A-016, cinturones supermediano vacantes post-Crawford retirado). V4 Agencias y V5 Eventos (8): A-014 Box to Box (Drive to Survive Netflix), A-015 CAA Sports MX, A-034 Elevate Sports (Joe Ahern), A-040 F1 Experiences/QuintEvents (Brian Wittman), A-060 Mundomex, A-079 Konnecta, A-111 Pitz Group (Diego Alarcón), A-117 Roadtrips (hospitality WC26), A-129 Soccer Media Solutions, A-131 StayPro, A-134 SUM (Don Garber, Comisionado MLS, deal predecesor TEAM Marketing AG). V6 Ticketing (3): A-107 Palco4, A-132 StubHub MX, A-142 Viagogo (Eric Baker founder). V2 Streaming (1): A-148 YouTube/Alphabet (Sundar Pichai; LMP free streaming 2024-25 post-disputa televisoras; NFL Sunday Ticket global). V1 INDEPORTE: A-075 INDEPORTE CDMX (Javier Hidalgo Ponce DG, operador Maratón CDMX Telcel y Medio Maratón BBVA, reporta a Clara Brugada). HALLAZGOS CRÍTICOS BATCH FINAL: (H1) PIF Saudi (USD 925B AUM) tiene presencia indirecta estructural en MX vía la cartelera Canelo 12-sept-2026 Riyadh y LIV Golf Mayakoba (Vidanta A-066). (H2) Mauricio Sulaimán (WBC) tiene cluster directo con Canelo Promotions: los cinturones supermediano vacantes post-retiro de Crawford son administrados por WBC y Sulaimán fue clave en el deal Canelo-Crawford 2025. (H3) Hudl es el stack tecnológico oficial Liga MX bajo CITEC desde 2018; Víctor Guevara como gatekeeper único (cluster con Genius Sports A-051, Mediapro A-091, Akta A-002). (H4) Incode Technologies (Ricardo Amper) provee verificación biométrica para FIFA Ticketing WC26; pieza crítica para control de acceso 13 partidos MX. (H5) Fusión Viva Aerobus + Volaris dic-2025 pendiente aprobación COFECE crearía LCC #1 MX y consolidaría sport sponsorship aviación. (H6) Sultanes Monterrey vendió franquicia LMP a Tepic en 2025 (transformada en Jaguares de Nayarit, ahora bajo cluster LMP de Salvador Escobar Cornejo A-083). Familia Maíz mantiene Sultanes en LMB verano. POIs marcados Por confirmar / Fuente única en batch final: 41 (mayoritariamente cargos rotativos administrativos o de bajo perfil público en V8 secundario, V3 secundario, V4 hospitality y V6 nicho). TOTAL POIs FINALES: 186. Cobertura 148/148 actores únicos = 100%. Promedio 1.26 POIs por actor. 0 errores en 8,239 fórmulas tras recalc. POI MAESTRO COMPLETADO. Listo para integración con Tracker Excel y volúmenes Word V7-V9 ya entregados.</t>
  </si>
  <si>
    <t>v1.00.24</t>
  </si>
  <si>
    <t>Depuración POI MAESTRO</t>
  </si>
  <si>
    <t>Reemplazo de 10 placeholders con datos verificados + eliminación de 25 actores sin valor agregado</t>
  </si>
  <si>
    <t>DEPURACIÓN MAYOR DEL POI MAESTRO siguiendo decisión Nicolas: identificar líderes reales para los 10 actores con valor estratégico y eliminar los 25 sin POI público recuperable. PARTE A — 10 ACTORES ACTUALIZADOS CON DATOS VERIFICADOS: (1) A-017 Capitanes CDMX: PATRICIO GARZA Y GILBERTO HERNÁNDEZ Co-Owners (anuncio histórico dic-2019 con Adam Silver y Shareef Abdur-Rahim, primer equipo NBA G-League fuera USA/Canadá). Vitor Galvani Head Coach Coach del Año G-League 2025-26 con récord 24-12, segundo sembrado Conferencia Oeste, debut playoffs 1-abril-2026. (2) A-008 AT&amp;T MX: MÓNICA ASPE BERNAL CEO desde mar-2021 (primera mujer mexicana en el cargo, confirmada activa may-2026 en M360 LATAM junto a Daniel Hajj y Norma Solano). (3) A-048 Fox Sports MX/Lauman: MANUEL ARROYO Pres. Grupo Lauman (compró Fox Sports MX a Disney 2021 USD 300M+; CRISIS OPERATIVA EN CURSO MAY-2026: perdió UFC a Paramount oct-2025, recortes 70+ empleados nov-dic 2025, salidas Lati y Orvañanos, señales removidas de MEGA cable ene-2026, deterioro estructural). (4) A-090 HBO Max: JUAN SOLÁ SVP Streaming WBD LatAm; Anouk Aarón Líder Producción Contenidos LatAm/US Hispanic (éxito Chespirito); David Zaslav CEO global WBD; fila duplicada (row 157) eliminada. (5) A-127 Sky Sports MX: HALLAZGO CRÍTICO — MARCA EXTINTA EN ENERO 2026. Televisa adquirió 100% Sky en 2024 (compró 41% AT&amp;T), proceso reestructuración, 70+ trabajadores despedidos ene-2026, rights (LaLiga, Bundesliga, F1) migraron a Izzi con producción AyM Sports. POI institucional ahora es Ricardo Maldonado DG Izzi bajo TelevisaUnivision (A-137). Carlos Ponce de León (Récord) reveló la crisis. (6) A-089 Mattel MX: GABRIEL GALVÁN DG Mattel México 25+ años, Top 100 CEOs MX 2023 GPTW; planta MX la MÁS GRANDE DEL MUNDO (Hot Wheels, Barbie); reporta a Ynon Kreiz Chairman/CEO global. (7) A-101 New Balance MX: BRANDARRAYS MEXICO S.A. DE C.V. (parte de Typhoon Sports Coalition S.A.P.I. de C.V.), distribuidor oficial bajo licencia New Balance Athletics Inc. (matriz USA, familia Davis). Modelo licenciatario, no Country Manager. (8) A-129 Soccer Media Solutions: JOSÉ ESHKENAZI SMEKE DG y Key Principal SMS, líder publicidad virtual MX +150 clientes; comercializa EN EXCLUSIVA virtuales TV Azteca (Selección, Liga MX, Copa Oro, Box Azteca, Super Bowl); deal histórico FC Barcelona Femenino pretemporada MX. (9) A-131 StayPro: RAFA Y PATI CORONEL Co-CEOs y Co-Founders StayPro Group (sede Polanco); primera y más grande agencia talent management LatAm; representa Edson Álvarez (capitán Tri), Héctor Herrera, Kevin Álvarez; división Stay On Social con creators Alana Flores 15M+, Ara y Fer Hernández; tres títulos consecutivos con Tri (Copa Oro 2024-2025, Concacaf NL 2025); Edson embajador Choco Milk WC26. (10) A-143 HYROX MX/Victum Sports: ÁLVARO TARACENA Y JAN PETERS Co-Founders Victum Sports (propietaria franquicia HYROX Iberia y México); Jan Peters Co-Founder histórico HYROX Alemania; CRECIMIENTO EXPLOSIVO MX: 2,800 atletas abr-2024 → 10,800 sold-out MTY 2026 → 45,000 proyectados temporada 25-26 con 5 eventos vs 3 anterior; Smart Fit (A-128 Edgard Corona) naming partner exclusivo MX; HYROX entre 50 Most Innovative Companies Fast Company 2024. PARTE B — 25 ACTORES ELIMINADOS DEL POI MAESTRO (sin POI público recuperable de valor): V8 Tecnología (10): A-002 Akta, A-032 Draftea, A-054 Golstats, A-069 Hawk-Eye, A-080 Ledec, A-081 Lenovo, A-108 Panduit/Commscope, A-113 Publicidad Virtual, A-119 Salesforce, A-120 SAP, A-122 Seeuplay. V3 Sponsors (3): A-072 Hisense, A-082 Libertad Financiera, A-086 Maggi/Nestlé. V2 Streaming (1): A-031 DAZN MX. V4-V5 Hospitality (4): A-014 Box to Box, A-015 CAA Sports MX, A-060 Mundomex, A-079 Konnecta, A-117 Roadtrips. V6 Ticketing (2): A-107 Palco4, A-132 StubHub. V1 Eventos secundarios (3): A-026 COMUDE GDL, A-088 Maratón Powerade MTY. V9 Capital (1): A-030 CVC. Estos 25 actores siguen en el universo (UNIVERSO MAESTRO/AMPLITUD FUNCIONAL) y mantienen su mapping en otros sheets, pero quedan SIN POI hasta que el equipo identifique al lead específico. TOTAL POIs FINALES: 160 (vs 186 anterior). Cobertura cualitativa: 123/148 actores con POI (83%). POIs renumerados P-001 a P-160 consecutivamente. Fórmulas XLOOKUP re-aplicadas a las 160 filas. 0 errores en 8,187 fórmulas tras recalc.</t>
  </si>
  <si>
    <t>v1.00.25</t>
  </si>
  <si>
    <t>Fix bug fórmulas + plantillas</t>
  </si>
  <si>
    <t>Corrección bug off-by-one en fórmulas XLOOKUP de columnas C, D, F, G, N, O</t>
  </si>
  <si>
    <t>Auditoría detectó que las fórmulas XLOOKUP de las columnas C (Nombre Actor A), D (Vertical A), F (Nombre Actor B), G (Vertical B), N (Cross-vertical) y O (Visualizable) referenciaban la fila siguiente en vez de la fila propia desde la fila 9 hacia abajo. Resultado visible: nombres calculados desplazados (ej. R-004 con A-001 mostraba "Akta Cloud" en vez de "adidas"). Aplicado: corrección de las 236 filas con data y de las 351 plantillas vacías (filas 243 a 587). Total ~3,500 celdas con fórmula corregidas. Las descripciones hardcodeadas y los IDs en columnas A, B, E, H-M no se tocaron. 0 errores tras recalc.</t>
  </si>
  <si>
    <t>v1.00.26</t>
  </si>
  <si>
    <t>Aplicación de feedback Memo v1.00.13</t>
  </si>
  <si>
    <t>UNIVERSO MAESTRO · MAPA DE CONEXIONES · AMPLITUD FUNCIONAL · POI MAESTRO</t>
  </si>
  <si>
    <t>Aplicación de las 7 correcciones de Memo + auditoría de relaciones espurias</t>
  </si>
  <si>
    <t>Aplicación end-to-end del feedback de Memo registrado en revisión v1.00.13 sobre la versión actual v1.00.25 (post bug-fix). BLOQUE A — Desactivaciones: (1) A-068 Hard Rock Stadium Miami marcado DESACTIVADO (Visualizable=No, certeza=Desactivado): venue extranjero genera más cuestionamientos que valor agregado para cliente; cobertura via POI Stephen Ross y relación A-005 Apollo → A-116 Relevent. P-055 Stephen Ross marcado Visualizable=No (POI mantenido por contexto Apollo). (2) A-015 CAA Sports MX marcado DESACTIVADO: sin operación local material distinguible; cobertura via A-146 Wasserman/THE·TEAM y A-104 Octagon en V4. BLOQUE B — Eliminación de 4 relaciones espurias: (3) R-031 y R-032 (A-015 → A-043/A-084) eliminadas: relaciones con descripción Mikel Arriola/FMF/Liga MX que tenían ID erróneo A-015 (CAA Sports) por error de carga; bajo regla P-01 las personas físicas no son actores, las relaciones deben ser FMF↔Liga MX directas o quedar como POI. (4) R-088 y R-089 (A-046 Fillip → A-044 FEMSA / A-061 Omnilife) eliminadas: alucinación previa, sin fuente primaria pública que confirme inversión de FEMSA Ventures en Fillip Holdings. Detección por Memo en revisión v1.00.13. BLOQUE C — Cruz Azul venue: (5) R-052 (A-029 → A-039 OEU/Ciudad Universitaria) eliminada por solicitud Memo: Cruz Azul ya no juega en CU. R-051 (A-029 → A-037 Ciudad de los Deportes) actualizada con contexto temporal completo (jugó allí 2024-ene 2026, después Cuauhtémoc Puebla por Clausura 2026, regreso parcial Banorte abr-2026). Nueva relación R-237 (A-029 → A-105 Ollamani/Banorte) Venue/Operations agregada para reflejar regreso parcial al Coloso de Santa Úrsula para Jornada 17 (26-abr-2026) y Liguilla del Clausura 2026. BLOQUE D — Nuevos actores cargados: (6) A-149 V7-005 Coliseo GNP Seguros (Zapopan, Jalisco): venue ex Estadio 3 de Marzo, rebrand abr-2026, lease 10 años UAG-OCESA desde nov-2025, naming GNP Seguros, capacidad 30K, sede WC26 (3 partidos), apertura agosto 2026. AF V7=Parcial+Sí+Sí (M-AF-14: concesión largo plazo Parcial, OCESA opera, multi-uso evidente), V5.D=Sí. 3 relaciones cargadas: R-238 OCESA→Coliseo Venue, R-239 GNP/BAL→Coliseo Sponsorship V3.C, R-240 Coliseo→FIFA WC26 Venue. (7) A-150 V1-032 Kings League Mexico (ex Kings League Americas / Kings League Openbank Mexico): liga 7v7 Piqué/Kosmos, debut MX ene-2024, presidente Layún, 12 equipos creator-led. AF V1=3.0 (M-AF-07 rights holder pleno), V2=2.0 (V2.B Twitch/YouTube propios + V2.C producción), V5.A=Parcial, V6.A=Sí. 5 relaciones cargadas: R-241 FANKI→Kings League Ticketing R2 (FUENTE NO VERIFICADA, asunción Memo, marcada para verificación), R-242 Adidas→Kings sponsor, R-243 Bimbo→Kings sponsor, R-244 TelevisaUnivision→Kings rights MX, R-245 ESPN/Disney+→Kings rights distribución no-exclusiva. (8) A-151 V1-033 Liga BBVA MX Femenil: asociación de miembros bajo regla R-06/E-02 (analoga a Liga MX varonil), 18 clubes que reflejan estructura varonil, sponsor titular BBVA, contexto Mundial Femenino 2027 MX co-anfitrión. AF V1=3.5 (M-AF-03 asociación de miembros, V1.A+V1.B+V1.D Sí, V1.C Parcial pendiente decisión sobre régimen de derechos centralizado vs fragmentado). 8 relaciones cargadas: R-246 FMF→Liga Fem Institutional, R-247 BBVA→Liga Fem naming sponsor V3.B, R-248 Liga Fem→Selección Femenil, R-249 a R-253 Liga Fem→holdings padres América/Tigres/Rayadas/Chivas/Pachuca como membresía constitutiva. NO se creó mini-holding para clubes huérfanos: pendiente decisión Memo (registrado en _PENDIENTES). CONTEOS POST v1.00.26: UM 148 actores activos + 3 nuevos (151) - 2 desactivados (149 visualizables); MC 236 - 4 eliminadas + 16 nuevas = 248 relaciones canónicas; AF 148 + 3 = 151 actores calificados. POIs 160 (sin cambios). 0 errores tras recalc. PENDIENTES REGISTRADOS para próxima sesión: (a) verificar relación FANKI ↔ Kings League Mexico con fuente primaria; (b) decisión Memo sobre mini-holding clubes femeniles huérfanos (sin holding padre identificado); (c) revisar V1.C Liga MX Femenil cuando se confirme régimen de derechos televisivos centralizado vs fragmentado; (d) actualizar P-055 Stephen Ross y otros POIs si Hard Rock se reactivara en futuras versiones; (e) considerar Estadio Cuauhtémoc Puebla como actor V7 standalone bajo Salinas/TV Azteca A-065 (uso temporal por Cruz Azul + posible base WC26).</t>
  </si>
  <si>
    <t>v1.00.27</t>
  </si>
  <si>
    <t>Modelo Liga MX Femenil + 3 reglas nuevas + verificación FANKI↔KL</t>
  </si>
  <si>
    <t>REGLAS METODOLÓGICAS · UNIVERSO MAESTRO · MAPA DE CONEXIONES</t>
  </si>
  <si>
    <t>Modelo Liga MX Femenil como propiedades dentro de holdings (R-13), exclusión clubes huérfanos (E-07), regla genérica visibilidad operativa única (R-12), verificación FANKI ticketing Kings League MX</t>
  </si>
  <si>
    <t>BLOQUE A — 3 reglas nuevas agregadas a REGLAS METODOLÓGICAS: (R-12) Visibilidad operativa única por línea de propiedad: regla GENÉRICA TRANSVERSAL que documenta por qué NO se cargan todos los clubes Liga MX como actores standalone separados de su holding padre. Cuando un club es 100% propiedad y gestión de un holding mapeado, su capacidad funcional se hereda al padre (M-AF-01); identidad se preserva en Productos/propiedades y Notas de propiedad. Excepciones: 4 clubes Liga MX standalone (A-021 Necaxa, A-022 Toluca, A-029 Cruz Azul, A-115 Pumas UNAM) sin holding diversificado mapeable. (E-07) Excepción clubes femeniles sin contraparte varonil: si un club Liga MX Femenil pertenece a un holding NO cargado en UM y que no califica por otros criterios (Tier 1-2, señal estratégica), el club femenil se EXCLUYE. Paridad metodológica: si el padre no pasa el filtro, ninguna propiedad pasa. Aplicado: FC Juárez Bravas EXCLUIDA (Grupo Multimedios no figura en UM). (R-13) Liga MX Femenil como propiedades dentro de holdings: el actor A-151 Liga BBVA MX Femenil opera como asociación de miembros (R-06) y se vincula institucionalmente a los 17 actores que poseen un club femenil mapeado. Cada club femenil se documenta como propiedad listada en Productos/propiedades del holding padre, junto con el club varonil. Scores AF del padre absorben capacidades V1 cross-género. BLOQUE B — Actualización ficha A-151 Liga BBVA MX Femenil: descripción incorpora R-13 + E-07, marca explícita de 17 de 18 clubes cubiertos por herencia, FC Juárez Bravas excluida. BLOQUE C — Actualización 15 fichas de holdings/clubes padre: agregada propiedad femenil explícita en campo Productos/propiedades + addendum R-13 en Notas de propiedad para A-005, A-018, A-021, A-022, A-029, A-044, A-058, A-061, A-062, A-063, A-064, A-065, A-076, A-105, A-115. BLOQUE D — 10 relaciones nuevas en MC para completar membresía Liga MX Femenil → holdings padre (R-254 a R-263): Atlas/PRODI, Apollo, Cruz Azul, Orlegi/Santos, Necaxa, Salinas/Puebla, Innovatio/Querétaro, Pumas UNAM, Caliente/Xolos, Toluca. Las 5 previas (R-249 a R-253) cargadas en v1.00.26 ya cubrían Ollamani/América, CEMEX/Tigres, FEMSA/Rayadas, Omnilife/Chivas, Pachuca. Total: 15 de 17 actores padre ya conectados con A-151. BLOQUE E — Verificación FANKI ↔ Kings League Mexico: relación R-241 confirmada con fuente primaria (fanki.com.mx/Kings_League_Openbank_Americas landing page dedicada). Subida de R2 a R1. Descripción actualizada con detalle de cobertura simultánea FANKI ↔ Liga MX (Banorte, Selección, América, Atlas, Celaya) + Kings League (creator-led). Eliminado flag PENDIENTE VERIFICACIÓN. CONTEOS POST v1.00.27: UM 151 actores (149 visualizables, 2 desactivados); MC 258 relaciones canónicas (236 - 4 eliminadas + 16 v1.00.26 + 10 v1.00.27 = 258); AF 151 actores calificados (sin cambios de scoring porque Liga MX Femenil se mapea bajo R-13 sin nuevos actores). REGLAS METODOLÓGICAS: 22 reglas vigentes (19 anteriores + R-12 + E-07 + R-13). PENDIENTES REGISTRADOS: (a) confirmar holding actual de León Femenil (¿sigue Grupo Pachuca tras posible venta a Eagle Football jul-2025?); (b) confirmar holding actual de Mazatlán Femenil (Orlegi o Salinas); (c) actualizar R-013 León varonil si la venta a Eagle Football se materializó; (d) revisar el régimen de derechos centralizado vs fragmentado Liga MX Femenil cuando salga la decisión de Asamblea de Presidentes 2026.</t>
  </si>
  <si>
    <t>v1.00.28</t>
  </si>
  <si>
    <t>Cierre pendientes ownership: León, Atlas, Mazatlán, Orlegi</t>
  </si>
  <si>
    <t>UNIVERSO MAESTRO · REGLAS METODOLÓGICAS</t>
  </si>
  <si>
    <t>Actualización ownership Liga MX post-Asamblea 23-abr-2026 + exclusión Mazatlán Femenil bajo E-07</t>
  </si>
  <si>
    <t>Cierre de pendientes de ownership Liga MX según Asamblea de Dueños 23-abr-2026 y comunicados posteriores. (1) LEÓN: confirmado que Grupo Pachuca (A-063) opera León hasta cierre Clausura 2026; venta forzada por multipropiedad FIFA/Liga MX se cerrará para Apertura 2026 (jul-2026), con Apollo Group (A-005) como posible comprador según reportes (Christian Ramírez oct-2025); Jesús Martínez Murguía permanecería como socio minoritario. Nota agregada en A-063, mapping de León Femenil bajo A-063 se mantiene válido para Clausura 2026, a reevaluar v1.00.28+ cuando se cierre la transacción. (2) ATLAS: FMF aprobó venta Atlas FC de Orlegi (A-062) a PRODI/Bejos (A-064) el 23-abr-2026 por aprox USD 220M (transacción más grande de Liga MX 2026). Transición operacional: Orlegi opera hasta 30-jun-2026, PRODI asume 1-jul-2026. Pendiente aprobación CNA. Notas agregadas en A-062 y A-064 reflejando transición. Mapping Atlas Femenil bajo A-064 se mantiene válido a partir de Apertura 2026 (durante Clausura 2026 sigue bajo Orlegi A-062 operativamente). (3) MAZATLÁN: confirmado que Grupo Salinas (A-065) se desprendió de Mazatlán FC. Certificado de afiliación Liga MX adquirido por Emilio Escalante para refundar Atlante FC en Primera División. Mazatlán FC sale de Liga MX al cierre Clausura 2026; Atlante regresa tras 12 años. Nota agregada en A-065. Mazatlán Femenil EXCLUIDA del workbook bajo E-07 (huérfana sin holding mapeado tras desconsolidación). Ejemplo E-07 ampliado con este caso. (4) ORLEGI: tras venta Atlas, Orlegi queda como holding mono-club Liga MX (Santos Laguna) más operaciones Real Sporting Gijón en España. Nota agregada en A-062. Mapping Santos Laguna Femenil bajo A-062 se mantiene. BLOQUE B — Limpieza Productos/propiedades: A-062 y A-065 limpiados de referencias ambiguas a Mazatlán Femenil (anteriormente decían "verificar Mazatlán Femenil"), ahora reflejan solo las propiedades confirmadas (Santos Laguna Femenil para A-062, Puebla Femenil para A-065). CONTEOS v1.00.28: UM 151 actores (110 visualizables, 2 desactivados); MC 258 relaciones (sin cambios); REGLAS 22 vigentes (sin cambios estructurales, solo expansión de ejemplo E-07). PENDIENTES PARA v1.00.28+: (a) confirmar cierre venta León a Apollo o tercero en jul-2026; (b) actualizar A-062 y A-064 cuando la transición Atlas se ejecute operativamente 1-jul-2026; (c) evaluar inclusión Atlante FC como actor V1 standalone bajo Emilio Escalante post-Apertura 2026 si gana señal estratégica (Tier 2/3, sede Banorte compartida); (d) confirmar régimen de derechos centralizado vs fragmentado Liga MX Femenil tras Mundial Femenino 2027.</t>
  </si>
  <si>
    <t>v1.00.29</t>
  </si>
  <si>
    <t>Enriquecimiento Productos/propiedades 35 actores Tier 1-2 + hallazgos mayores ownership</t>
  </si>
  <si>
    <t>UNIVERSO MAESTRO · MAPA DE CONEXIONES · FICHAS_V1 a FICHAS_V9 (nuevas)</t>
  </si>
  <si>
    <t>Auditoría web sistemática de 35 actores Tier 1-2 subpoblados. Hallazgos mayores: Grupo Águilas JV Ollamani+General Atlantic USD 490M dic-2025, Apollo cerró Atlético Madrid (cadena ASL formalizada), Wasserman rebrand THE·TEAM, OCESA portafolio 7 festivales + 4 venues, Mextenis 3 torneos + Arena GNP Acapulco, SUM contrato FMF hasta 2028.</t>
  </si>
  <si>
    <t>Auditoría web sistemática de los 35 actores con campo Productos/propiedades subpoblado (&lt; 80-100 chars) de Tier 1 y Tier 2. Se actualizaron los campos Productos/propiedades y Notas de propiedad de los 35 actores con información validada vía búsqueda web. HALLAZGOS MAYORES: (1) Grupo Águilas JV Ollamani+General Atlantic: dic-2025 General Atlantic compró 49% de Grupo Águilas (Club América + Estadio Banorte + terrenos) por valor empresa USD 490M. Ollamani retiene 51% control. Emilio Azcárraga CEO Grupo Águilas. Cierre Q1-2026. Alianza tripartita con Kraft Analytics Group (KAGR). 3 relaciones nuevas creadas: R-264 GA→Ollamani Ownership/Control R1, R-265 GA→KAGR Strategic/Operational R1, R-266 KAGR→Ollamani Strategic/Operational R2. (2) Apollo cerró Atlético Madrid 12-mar-2026: ASC se convirtió en accionista mayoritario del Atlético de Madrid (Quantum Pacific 2do, Gil/Cerezo/Ares minoritarios). Cadena Apollo → Atlético Madrid → Atlético San Luis MX formalmente cerrada. Apollo plan $6B sports blitz 2026. Adicionalmente Apollo + Tom Dundon invirtieron $225M en Pickleball Inc (MLP + PPA) en may-2026. Al Tylis (CEO ASC) sigue siendo personalmente co-chairman de Club Necaxa A-021 vía family office. (3) Wasserman rebrand THE·TEAM: feb-2026 Casey Wasserman anunció venta de la compañía vía Moelis. Mar-2026 rebrand a THE·TEAM. Wasserman Boxing vendido y renombrado MF Sports. Casey Wasserman bajo presión por mails con Maxwell revelados en Epstein files ene-2026. (4) OCESA portafolio: 7 festivales mayores (Tecate Emblema, EDC, Arre, Pulso GNP, Corona Capital, Coca-Cola Flow Fest, Vive Latino) + 4 venues operados (Estadio GNP Seguros, Palacio Deportes, Coliseo GNP Zapopan vía lease 10 años, Arena CDMX) + Maratón CDMX. Reach ~10M personas/año (7.5% población MX). (5) Mextenis: opera 3 torneos (Abierto Mexicano Tenis ATP 500 Acapulco, Abierto GNP Seguros Monterrey WTA 250, Abierto Los Cabos ATP 250) + The Greatest Match (Federer vs Zverev en Plaza de Toros) + Mextenis Academy + Arena GNP Acapulco como sede. 1 relación nueva: R-267 Mextenis→Arena GNP Acapulco Venue/Operations R1. (6) SUM (Soccer United Marketing): contrato exclusivo con FMF para mercado USA renovado 2022 hasta 2028. 6 amistosos El Tri/año en USA. Genera ~1/3 presupuesto FMF anual. 1 relación nueva: R-268 SUM→FMF Agency/Intermediation R1. (7) Sultanes Monterrey + Charros Jalisco: doble franquicia LMB (verano) + softball femenil LMS. Charros campeón LMS 2024 Serie de la Reina. Capturado en Productos/propiedades. (8) Wasserman/THE·TEAM: ID A-146 actualizado con rebrand mar-2026, MF Sports spin-off, sale process Moelis. (9) CMLL: opera 4 arenas propias (México, Coliseo, Puebla, Coliseo Guadalajara) + función semanal por arena + Anniversary Show + alianzas internacionales (NJPW). (10) Canelo: conglomerado ampliado a 12+ empresas (Promotions, Espectáculos, Store, Technologies, Energy, Upper, SSA Inmobiliaria, SSA Capitales, VMC Drinks, Yaoca, CA, línea autobuses, taquería). OTROS HALLAZGOS: Apollo planea Pickleball Inc, Vidanta opera PGA Tour MX + Cirque du Soleil Joyà residencia, Avalanz/Zignia opera 4 arenas premium. CONTEOS POST v1.00.29: UM 151 actores (sin cambios estructurales, solo enriquecimiento de fichas existentes); MC 258 + 5 nuevas = 263 relaciones canónicas; REGLAS 22 vigentes (sin cambios); AF 151 actores calificados (sin cambios). PENDIENTES: (a) considerar agregar Atlante FC como actor V1 standalone tras Apertura 2026 (Emilio Escalante propietario, sede Estadio Banorte compartida); (b) actualizar A-146 THE·TEAM si la venta de la empresa se cierra; (c) considerar agregar General Atlantic como actor V9 standalone si todavía no lo está (verificado: SÍ está como A-050, ok). BLOQUE FICHAS: 9 hojas nuevas creadas FICHAS_V1 a FICHAS_V9 con un total de 229 fichas individuales por actor por vertical. Cada actor aparece en cada vertical donde tiene Score Vx &gt; 0. Las fichas están ordenadas por Score Compuesto descendente dentro de cada vertical. Columnas por ficha: ID, ID Vertical, Nombre, Tier, Vertical Primaria, Etiquetas Secundarias, Tipo, Productos/Propiedades (campo enriquecido v1.00.29), Overview (3 líneas: Tier+rol+sector / descripción / relevancia), Score Vx específico, Score Compuesto, Tipo de Capacidad. Distribución: V1=51 fichas, V2=23, V3=29, V4=16, V5=24, V6=19, V7=27, V8=18, V9=22. Tier 1 resaltado en amber soft. Diseño coherente con estética Playbook (navy + accent azul, Calibri 10-11pt, header con freeze panes).</t>
  </si>
  <si>
    <t>v1.00.30</t>
  </si>
  <si>
    <t>Hoja DASHBOARD + _DASH_DATA filtrable</t>
  </si>
  <si>
    <t>DASHBOARD (nueva) · _DASH_DATA (nueva)</t>
  </si>
  <si>
    <t>Overview funcional del workbook con navegación rápida + tabla filtrable nativa</t>
  </si>
  <si>
    <t>Creada hoja DASHBOARD como primera pestaña del workbook con función overview navegable. Contenido: (1) Header con título, versión y subtítulo. (2) 8 KPIs en grid 4x2 (actores activos, Tier 1+2, relaciones, POIs, verticales, subcapacidades, reglas, hojas FICHAS). (3) Navegador por vertical: 9 tarjetas V1-V9 con conteo de actores y descripción funcional; cada conteo es hyperlink a FICHAS_Vx. (4) Top 15 actores por Score Compuesto con tier, vertical, tipo de capacidad, amplitud y compuesto; cada nombre hyperlink a UM. Tier 1 resaltado en ámbar. (5) Índice del workbook: 9 hojas principales con descripción y tag; nombres hyperlink. (6) Botón visual de acceso a tabla filtrable _DASH_DATA. BLOQUE _DASH_DATA: hoja con tabla nativa de Excel (ActoresMaster, TableStyleMedium9) con 151 actores y 24 columnas: ID, ID Vert, Actor, Tier, Vert., Tipo, Sector, País, Visualizable, Certeza, V1-V9 scores, Amplitud, Profundidad, Compuesto, Tipo Capacidad, Productos/Propiedades. Freeze panes D2. Dropdowns nativos en cada header para filtrado y ordenamiento instantáneo. Diseño visual coherente con stack Playbook (navy + accent azul + Calibri + fondos suaves). Sin charts inventados. NOTA EXPLÍCITA: las visualizaciones avanzadas (bubble map de influencia, network graph, heatmap full Amplitud Funcional) viven en la página web del proyecto. Este dashboard es overview funcional para Excel, no réplica de la web. CONTEOS POST v1.00.30: UM 151 / MC 263 / AF 151 / REGLAS 22 / POIs 160 (sin cambios estructurales). Workbook ahora tiene 21 hojas (10 originales + 9 FICHAS + DASHBOARD + _DASH_DATA).</t>
  </si>
  <si>
    <t>CLUSTERS EJECUTIVOS llenado + DICCIONARIO llenado + 10 mandamientos (PIEDRAS ANGULARES)</t>
  </si>
  <si>
    <t>CLUSTERS EJECUTIVOS · DICCIONARIO · PIEDRAS ANGULARES (nueva)</t>
  </si>
  <si>
    <t>Hoja PIEDRAS ANGULARES (10 mandamientos del proyecto) + llenado de las dos hojas de soporte previamente vacías</t>
  </si>
  <si>
    <t>TRES BLOQUES en esta versión: BLOQUE 1 — CLUSTERS EJECUTIVOS llenado completo: 7 clusters con sus 7 atributos cada uno (Nombre, Actores núcleo, Actor central, POI principal, Conexiones internas clave, Insight ejecutivo, Hueco accionable). Cluster 1: GRUPO ÁGUILAS (Ollamani × General Atlantic × Banorte × KAGR). Cluster 2: CLUBES LIGA MX STANDALONE (Necaxa, Toluca, Cruz Azul, Pumas — los 4 que NO se absorben bajo holding diversificado). Cluster 3: FMF · LIGA MX · SELECCIÓN (gobernanza del futbol MX). Cluster 4: CIE/OCESA · F1 GP MX · GNP NAMING (gatekeeper de venues). Cluster 5: FIFA WC26 (el temporal que reordena el ecosistema). Cluster 6: RUNNING &amp; WELLNESS (cluster fragmentado, oportunidad de roll-up). Cluster 7: APOLLO · ENDEAVOR · GENERAL ATLANTIC (capital global llegando). Cada cluster cierra con Hueco accionable: identificación explícita de la zona sin cubrir donde hay oportunidad estratégica. BLOQUE 2 — DICCIONARIO llenado completo con 38 campos del workbook estructurados por hoja origen: UNIVERSO MAESTRO (19 campos), AMPLITUD FUNCIONAL (5 campos), MAPA DE CONEXIONES (9 campos), POI MAESTRO (3 campos), REGLAS METODOLÓGICAS (2 campos). Cada campo documenta: Hoja origen, Tipo de dato, Valores permitidos, Obligatorio (Sí/No/Calc), Descripción, Criterio de asignación, Notas. Funciona como una fuente de verdad por concepto del workbook. BLOQUE 3 — Hoja nueva PIEDRAS ANGULARES con los 10 mandamientos del proyecto. Estos son piedras angulares filosóficas que ANTECEDEN a las 22 reglas metodológicas operativas: las reglas se derivan de los mandamientos, no al revés. Los 10 mandamientos: (1) Un mapa, no un censo. (2) Estructural sobre opinático. (3) Capacidad operativa, no facturación. (4) Una sola línea de propiedad. (5) Doble eje obligatorio (Amplitud y Profundidad valen lo mismo). (6) Las relaciones tienen dirección. (7) Trazabilidad sobre conclusión. (8) El mapa es un sistema vivo. (9) Verificación antes de elegancia. (10) Inteligencia accionable, no decoración. Cada mandamiento incluye principio, desarrollo y referencia a las reglas operativas derivadas. Diseño visual coherente con stack Playbook. Hoja agregada como 2da pestaña después de DASHBOARD. Índice del workbook en DASHBOARD actualizado para incluir PIEDRAS ANGULARES + descripciones actualizadas de CLUSTERS EJECUTIVOS y DICCIONARIO. CONTEOS POST v1.00.31: 22 hojas totales (10 originales + 9 FICHAS + DASHBOARD + _DASH_DATA + PIEDRAS ANGULARES). UM 151 · MC 263 · AF 151 · REGLAS 22 · POIs 160. Sin cambios estructurales en data.</t>
  </si>
  <si>
    <t>Listas de validación (hoja oculta) — no editar manualmente</t>
  </si>
  <si>
    <t>HOJAS</t>
  </si>
  <si>
    <t>TIPOS_DATO</t>
  </si>
  <si>
    <t>OBLIGATORIO</t>
  </si>
  <si>
    <t>CATEGORIAS_REGLA</t>
  </si>
  <si>
    <t>ESTADO_REGLA</t>
  </si>
  <si>
    <t>TIPO_CAMBIO</t>
  </si>
  <si>
    <t>VERTICAL_PRIMARIA</t>
  </si>
  <si>
    <t>TIER</t>
  </si>
  <si>
    <t>PAIS_ORIGEN</t>
  </si>
  <si>
    <t>FUNCION_COMERCIAL</t>
  </si>
  <si>
    <t>SEGMENTO_DEPORTIVO</t>
  </si>
  <si>
    <t>NIVEL_CERTEZA</t>
  </si>
  <si>
    <t>TIPO_ACTOR</t>
  </si>
  <si>
    <t>TIPO_RELACION</t>
  </si>
  <si>
    <t>NIVEL_RELACION</t>
  </si>
  <si>
    <t>DIRECCION</t>
  </si>
  <si>
    <t>VISUALIZABLE_POI</t>
  </si>
  <si>
    <t>SI_PARCIAL_NO</t>
  </si>
  <si>
    <t>Ownership/Control</t>
  </si>
  <si>
    <t>Enum</t>
  </si>
  <si>
    <t>En revisión</t>
  </si>
  <si>
    <t>Club fútbol otra liga (ascenso/femenil)</t>
  </si>
  <si>
    <t>B→A</t>
  </si>
  <si>
    <t>Número</t>
  </si>
  <si>
    <t>Condicional</t>
  </si>
  <si>
    <t>Deprecada</t>
  </si>
  <si>
    <t>Depuración / Remoción</t>
  </si>
  <si>
    <t>Rights/Media</t>
  </si>
  <si>
    <t>Bidireccional</t>
  </si>
  <si>
    <t>Revisar</t>
  </si>
  <si>
    <t>Booleano</t>
  </si>
  <si>
    <t>Liga / Competición</t>
  </si>
  <si>
    <t>Ticketing/Access</t>
  </si>
  <si>
    <t>Refactor metodológico</t>
  </si>
  <si>
    <t>WATCHLIST</t>
  </si>
  <si>
    <t>ID-referencia</t>
  </si>
  <si>
    <t>Corrección de error</t>
  </si>
  <si>
    <t>Agency/Intermediation</t>
  </si>
  <si>
    <t>FICHAS DETALLADAS</t>
  </si>
  <si>
    <t>Renombrado / IDs</t>
  </si>
  <si>
    <t>Francia</t>
  </si>
  <si>
    <t>Venue/Operations</t>
  </si>
  <si>
    <t>DASHBOARD</t>
  </si>
  <si>
    <t>Basketball</t>
  </si>
  <si>
    <t>Data/Fan Intelligence</t>
  </si>
  <si>
    <t>RESUMEN EJECUTIVO</t>
  </si>
  <si>
    <t>General</t>
  </si>
  <si>
    <t>Institutional/Regulatory</t>
  </si>
  <si>
    <t>Reasignación</t>
  </si>
  <si>
    <t>Broadcaster TV abierta</t>
  </si>
  <si>
    <t>Otro</t>
  </si>
  <si>
    <t>Multinacional</t>
  </si>
  <si>
    <t>Agencia activación / experiential</t>
  </si>
  <si>
    <t>Cadena fitness / wellness</t>
  </si>
  <si>
    <t>Asociación civil / sin fines de lucro</t>
  </si>
  <si>
    <t>Entidad gubernamental</t>
  </si>
  <si>
    <t>Lista de pendientes (hoja oculta) — campos sin completar tras migración v1.00. No editar manualmente; se actualiza al recargar.</t>
  </si>
  <si>
    <t>Campo faltante</t>
  </si>
  <si>
    <t>Razón</t>
  </si>
  <si>
    <t>Vacío en viejo o solo "Pendiente"</t>
  </si>
  <si>
    <t>Capitanes de la Ciudad de México (NBA G-League)</t>
  </si>
  <si>
    <t>No se pudo mapear automáticamente al enum</t>
  </si>
  <si>
    <t>Club Atlas Colomos A.C.</t>
  </si>
  <si>
    <t>Estadio Ciudad DE LOS Deportes</t>
  </si>
  <si>
    <t>Fifa Ticketing — Copa Mundial 2026</t>
  </si>
  <si>
    <t>Hawk-eye Innovations (sony)</t>
  </si>
  <si>
    <t>Signify (philips Lighting)</t>
  </si>
  <si>
    <t>Spartan Race México</t>
  </si>
  <si>
    <t>Stubhub México</t>
  </si>
  <si>
    <t>A-152</t>
  </si>
  <si>
    <t>A-153</t>
  </si>
  <si>
    <t>POI mexicano operativo (lead local)</t>
  </si>
  <si>
    <t>Empresa global en venta activa post-Epstein (rebrand 9-mar-2026, bidding en curso); búsquedas no devolvieron lead operativo MX nombrado. Re-evaluar tras cierre de venta y publicación de nuevo organigrama global. Casey Wasserman NO cargado intencionalmente.</t>
  </si>
  <si>
    <t>V1 RIGHTS OWNERS</t>
  </si>
  <si>
    <t>51 actores con presencia en V1. Ordenado por Score Compuesto descendente.</t>
  </si>
  <si>
    <t>Etiquetas Sec.</t>
  </si>
  <si>
    <t>Overview</t>
  </si>
  <si>
    <t>Tier 1. Controla propiedad / capital en Multideporte. Origen: EUA.
Holding global de entretenimiento deportivo controla TKO Group (UFC + WWE), IMG, On Location, AAA. Privatizado por Silver Lake mar-2025.
Relevancia: Único holding global con propiedad mexicana operativa pura post-consolidación AAA (51% WWE/TKO + 49% Fillip, cerrado 1-ago-2025). Controla múltiples propiedades V1 + brazo agency V4 + hospitality V...</t>
  </si>
  <si>
    <t>Multi-capacidad (3-4 verticales)</t>
  </si>
  <si>
    <t>Tier 1. Controla propiedad / capital en Fútbol.
FEMSA propietaria 100% de Rayados de Monterrey desde 2006 y del Estadio BBVA (inaugurado 2015, ~USD 200M inversión). Fútbol representa una fracción menor del reporting consolidado (no aparece como subsidiaria material en Form 20-F). Renovó naming Estadio BBVA con BBVA en jul-2025 por 5 años adicionales hasta 2030.
Relevancia: Único propietario de club Liga MX con reporting estándar NYSE/BMV y gobernanza corporativa de empresa de consumo masivo. Estadio BBVA alberga 4 partidos WC26. El contraste con operadores familiares...</t>
  </si>
  <si>
    <t>Tier 1. Controla propiedad / capital en Fútbol.
Organiza a las selecciones nacionales mexicanas (varonil, femenil, sub-23, sub-20, futsal). Negocia y otorga derechos de transmisión de partidos de la Selección. Certifica árbitros, clubes y competiciones. Opera el CITEC para tecnología deportiva. Comisionado: Mikel Arriola.
Relevancia: Rights holder de la Selección Mexicana de Fútbol, el activo deportivo con mayor valor de patrocinio en México. Sus contratos (Adidas USD 290M/10 años, AT&amp;T telecom exclusivo, Amazon triple deal, TE...</t>
  </si>
  <si>
    <t>Especialista (1-2 verticales)</t>
  </si>
  <si>
    <t>Tier 1. Controla propiedad / capital en Fútbol.
Organiza el torneo de fútbol profesional más importante de México. Desde abr-2026 aprobó modelo de gobernanza como AC independiente (23-abr-2026); constitución jurídica formal proyectada para julio 2026 — a mayo-2026 NO está formalmente constituida. Modelo: Premier League / LaLiga. 4 comités estratégicos: Deportivo, Comercial, Inversión, Certifi...
Relevancia: La separación jurídica FMF-Liga MX es el evento de gobernanza más importante en décadas. Abre ventana real a centralización comercial valorada en USD 480M+ anuales. Gestiona los contratos con BBVA ...</t>
  </si>
  <si>
    <t>Tier 1. Controla propiedad / capital en Multideporte.
Family office de Alfredo Harp Helú con presencia diversificada en deporte mexicano: béisbol (Diablos Rojos del México), running (Emoción Deportiva), retail wellness (Sport City), venue (Parque Alfredo Harp Helú). Controla operaciones cross-vertical desde una sola estructura familiar.
Relevancia: Único family office mexicano con cartera deportiva diversificada que abarca cuatro verticales operativas (V1 béisbol, V5 running + retail wellness, V7 venue propio). Modelo de operador-propietario ...</t>
  </si>
  <si>
    <t>Tier 2. opera en su categoría.
Lucha libre tradicional, viernes y domingos en Arena México. Empresa más antigua del mundo en su giro.
Relevancia: Cathedral de la lucha libre. Doble venue propio (Arena México + Arena Coliseo GDL). Sin TKO ownership: independiente.</t>
  </si>
  <si>
    <t>Tier 2. opera en su categoría en Béisbol.
Organiza temporada béisbol invernal oct-feb. Campeón clasifica a Serie del Caribe.
Relevancia: Una de las 2 ligas pro de béisbol en MX (junto con LMB verano). Plataforma para Serie del Caribe (representa MX).</t>
  </si>
  <si>
    <t>Tier 1. Empaqueta competición en Fútbol femenil.
Liga MX Femenil (oficialmente Liga BBVA MX Femenil) fundada en 2017, asociación de miembros con 18 clubes que reflejan la estructura de la Liga MX varonil. Aplica regla R-06/E-02 (membresía constitutiva, no absorción) y R-13 (clubes femeniles como propiedades dentro de holdings existentes). En el workbook 17 de 18 clubes femeniles se cubren vía ...
Relevancia: Activo en alza pre-Mundial Femenino 2027 (MX co-anfitrión confirmado). Régimen de derechos televisivos y comerciales tiene espacio para centralización (decisión Asamblea pendiente). Caso V1 con pot...</t>
  </si>
  <si>
    <t>Tier 3. Controla experiencia en Tenis.
Opera Abierto GNP Seguros Monterrey (WTA 500 desde 2024; antes WTA 250 desde 2009). Hospitality in-house. Derrama 2025: MXN 220M.
Relevancia: Único licenciatario WTA 500 en NL; independiente; operación familiar consolidada ~50 años. Ascenso a WTA 500 en 2024.</t>
  </si>
  <si>
    <t>Tier 2. Controla propiedad / capital en Eventos premium. Origen: Arabia Saudita.
Liga premium de golf disruptiva financiada por PIF (Saudi Public Investment Fund). Etapa Mexico City se juega anualmente en el Club de Golf Chapultepec. Primera edición MX 2023, recurrente desde entonces. Modelo de torneo con team play + individual play + premio prize $25M USD por evento.
Relevancia: Único evento premium internacional V1 cuyo control de capital pasa directamente por PIF (V9-021). Su presencia en MX vincula el ecosistema deportivo mexicano con capital soberano saudí. Sede CDMX l...</t>
  </si>
  <si>
    <t>Tier 1. Controla propiedad / capital en Fútbol.
Controla Chivas y Estadio Akron (49,800 asientos, sede 4 partidos WC26). Chivas valuado USD 695-770M (Sportico 2025, posición #166 marcas deportivas globales). Estructura legal: Club Deportivo Guadalajara SA de CV + Promotora del Templo Mayor de Chivas. Litigio civil Exp. 150/20 con Angélica Fuentes por herencia hijas.
Relevancia: El segundo activo más valioso del fútbol mexicano (Chivas USD 730M Sportico) con el estadio propio más relevante de WC26 en la ciudad más importante del interior. La opacidad financiera ('Fillip Ho...</t>
  </si>
  <si>
    <t>Tier 1. Controla propiedad / capital en Fútbol.
Spin-off de Televisa (feb-2024) que posee 100% Club América vía CFA SA de CV y opera Estadio Banorte vía FDF SA de CV. Emilio Azcárraga Jean controla ~40-41.5% tras compra de 25M CPOs adicionales en ene-2026. General Atlantic tomó 49% del holdco Grupo Águilas en dic-2025.
Relevancia: Activo deportivo más valorado de México (~USD 1Bn implícito GA) y sede del partido inaugural WC26. La estructura holdco Grupo Águilas es el template de capitalización que Liga MX buscará replicar e...</t>
  </si>
  <si>
    <t>Tier 2. Controla propiedad / capital en Multideporte.
Vendió Mazatlán FC a Atlante/Emilio Escalante (abr-2026, ~USD 65M). Club Puebla en proceso de venta formal 2026. TV Azteca en concurso mercantil voluntario (26-feb-2026) con deuda USD 600M+ bonos + ~MXN 32,132M deuda SAT en 19 parcialidades. Línea deportiva histórica: Veracruz, Morelia, Jaguares, Atlas (vendido Orlegi USD 40M), Mazatlán.
Relevancia: La crisis de TV Azteca y la desinversión deportiva activa reconfiguran el mapa de derechos TV en Liga MX y liberan activos (Puebla) al mercado. Acreedores argumentan teoría alter ego para perforar ...</t>
  </si>
  <si>
    <t>Tier 2. Produce y comercializa torneo en Fútbol 7 / Esports / Creator economy. Origen: España (Kosmos / Gerard Piqué).
Liga de fútbol 7-vs-7 fundada por Gerard Piqué en 2022. Edición Americas / Mexico debutó ene-2024 con 12 equipos presididos por streamers y futbolistas (Miguel Layún presidente). Sponsors confirmados: Santander/Openbank (title), Bimbo, Sportium, McDonalds, Adidas. Broadcasters MX: Twitch, YouTube, Televisa, ESPN/Disney+. Final Four 2025 en Estad...
Relevancia: Modelo creator-led + digital-first sin precedente en MX: bypass del ecosistema Liga MX clásico, captación de audiencia joven via Twitch/YouTube. Caso de uso para Gustavo en V6 (whitelabel ticketing...</t>
  </si>
  <si>
    <t>Tier 1. Controla propiedad / capital en Motorsport. Origen: Reino Unido.
Contrato extendido abr-2025 para 2026-2028. Fideicomiso privado de ~100 empresas paga fee F1 a Liberty Media (~USD 40-45M/año). Récord 2024: 404,958 asistentes en el fin de semana. Derrama estimada 2025: MXN 20,892M. Costo operativo: ~USD 72M/año.
Relevancia: Evento deportivo más monetizado del país. El único en el mundo con fideicomiso privado multi-empresa para financiar el fee del rights holder. Formula One Group retiene todos los derechos globales d...</t>
  </si>
  <si>
    <t>Tier 2. Controla propiedad / capital en Eventos premium. Origen: EUA.
Organiza partidos de temporada regular de la NFL en el Estadio Banorte. El acuerdo 2026-2028 confirma al Banorte como venue NFL para tres temporadas consecutivas con los 49ers como equipo local. NFL México City Games 2026 será el primer partido de la NFL en el Estadio Banorte reabierto.
Relevancia: El evento internacional con mayor valor de patrocinio por edición después del GP México. La estructura 2026-2028 con los 49ers ancla al Banorte como venue internacional de primer nivel y valida la ...</t>
  </si>
  <si>
    <t>Tier 2. Controla experiencia en Tenis.
Propietario directo licencias ATP 500 Acapulco y ATP 250 Los Cabos. Opera WTA 125 Cancún, Tennis Open SLP y Querétaro. Hospitality in-house. Contrato arrendamiento Mextenis-Mundo Imperial 10 años (~2032).
Relevancia: Licenciatario ATP 500 más relevante de LatAm; franquicia Acapulco valuada USD 35-45M (NYT). Muerte fundador abr-2026: mayor vacante estructural en tenis mexicano en 3 décadas.</t>
  </si>
  <si>
    <t>Tier 2. Controla propiedad / capital en Eventos premium. Origen: Otros.
Organiza la etapa México del Global Champions Tour y la Global Champions League en el Estadio GNP Seguros, CDMX. GNP Seguros como presenting partner desde 2023. Francisco Pasquel/Oxer Sports como promotor local. Contrato extendido hasta 2033.
Relevancia: El único evento ecuestre de élite en México y uno de los más rentables del circuito. La extensión hasta 2033 fue motivada en parte por la llegada de la Premier Jumping League (anunciada mar-abr 202...</t>
  </si>
  <si>
    <t>Tier 2. Controla experiencia en Running / Wellness.
Dos funciones simultáneas: (1) rights holder de eventos propios: ASTri Veracruz (triatlón más grande de LATAM), Circuito de las Estaciones, L'Etape México by Tour de France, Woman Up, Tune Up, 3Kids; (2) operador logístico de franquicias globales: Rock'n'Roll Mexico City para The IRONMAN Group. Plataforma digital propia con más de 1 millón de us...
Relevancia: Mayor organizador privado de Running/Wellness en México por volumen (90,000+ atletas/año). Nodo operativo indispensable para franquicias globales de endurance: Rock'n'Roll, IRONMAN, Spartan Race no...</t>
  </si>
  <si>
    <t>Tier 1. Controla propiedad / capital en Fútbol.
Vendió Atlas FC a Grupo PRODI de José Miguel Bejos por ~USD 220-250M (asamblea dueños 23-abr-2026; traspaso efectivo 1-jul-2026 sujeto a COFECE). Conserva Santos Laguna como único activo en Liga MX. Portafolio internacional: Real Sporting de Gijón (73%, EUR 43M en 2022; tensión de liquidez reportada).
Relevancia: La desinversión de Atlas materializa la segunda transacción más grande del mercado de clubes en 2026 (USD 220-250M) y confirma el efecto multipropiedad en la reestructuración del paisaje propietari...</t>
  </si>
  <si>
    <t>Tier 2. Controla experiencia en Tenis.
Opera Guadalajara Open Akron (WTA 500); Mérida Open Akron (WTA 250); WTA 125 Vallarta y SLP; UTS Guadalajara (2025). Contrato GDL hasta 2029 con opción a 2034.
Relevancia: Canal alterno a Mextenis; único licenciatario WTA elite activo en LatAm. Opera en números rojos pero sin sustituto.</t>
  </si>
  <si>
    <t>Tier 2. Controla propiedad / capital en Fútbol. Origen: EUA.
Compró Club Querétaro a Grupo Caliente por USD 120M (jul-2025) para resolver multipropiedad. Primera y única inversión deportiva de Innovatio. Co-inversores no divulgados de México, EE.UU. y Europa; incluye Adrián Madero del Fonseca Group. Fundado hace ~2 años por Marc Spiegel (cofundador Rubicon Global).
Relevancia: Primera entrada de capital externo estadounidense PE en un club Liga MX. USD 120M por Querétaro (sin estadio propio) establece un piso de mercado relevante. El proyecto de estadio propio anunciado ...</t>
  </si>
  <si>
    <t>Tier 1. Controla propiedad / capital en Fútbol.
BICAMPEÓN 2025: Clausura 2025 (11° título, rompió sequía 15 años) y Apertura 2025 (12° título, vs Tigres en penales 9-8). Empata a Chivas como segundo club más ganador de Liga MX.
Relevancia: Bicampeón Liga MX 2025 bajo DT Turco Mohamed. Primer DT extranjero con 4 títulos en 4 equipos distintos de Liga MX. Campeones Cup 2025 vs LA Galaxy. Paulinho como fichaje más caro de su historia.</t>
  </si>
  <si>
    <t>Tier 1. Controla propiedad / capital en Eventos premium. Origen: Suiza.
El evento deportivo más monetizado de la historia celebrado en México. 13 partidos en tres sedes (Banorte-CDMX: 5, Akron-GDL: 4, BBVA-MTY: 4). El partido inaugural (11 jun-2026) enfrenta a México vs Sudáfrica en el Estadio Banorte con 83,000 espectadores. FIFA controla todos los ingresos directos de hospitalidad, ticketing y derechos globales.
Relevancia: Genera la mayor derrama económica de evento deportivo en la historia de México. Restructura todo el ecosistema de sponsors, ticketing, medios y venues durante may-jul 2026. Cataliza USD 3,866M+ en ...</t>
  </si>
  <si>
    <t>Tier 1. Controla propiedad / capital en Fútbol.
Holding multi-club con Pachuca, León (asking price USD 500M, estimado mercado USD 200M; vetado Mundial de Clubes 2025 por multipropiedad), Tlaxcala, Real Oviedo 51%, Everton Viña del Mar y Talleres Córdoba. Jesús Martínez con orden de aprehensión desde oct-2025 por disputa derechos con Grupo Lauman/Fox Sports MX.
Relevancia: La crisis judicial de su propietario, la exclusión del Mundial de Clubes y la venta forzada de León configuran el caso más crítico de desinversión estructural en Liga MX 2026. León en venta libera ...</t>
  </si>
  <si>
    <t>Tier 1. Controla audiencia en Running / Wellness.
Organiza el maratón de 42K más grande de México por inscritos (~30,000) y el único con etiqueta WA Gold Label en el país. Edición 2026 (XLIII): 30 de agosto, salida desde Insurgentes/CU, meta en el Zócalo. Incluye serial preparatorio de carreras coordinado por INDEPORTE.
Relevancia: Único WA Gold Label de México. Mayor evento de running por masa crítica: 30,000 corredores activos. Telcel lleva más de 10 años como title sponsor.</t>
  </si>
  <si>
    <t>Tier 2. Controla audiencia en Running / Wellness.
Organiza el segundo maratón de México por número de participantes (8,300 en edición 2025). 42K, certificado AIMS, clasificatorio Boston, aval FMAA e IAAF. 19 ediciones. Title sponsor: Powerade (vía Coca-Cola V3-025). Presentado con Brooks Running México. Operado por comité privado independiente.
Relevancia: El segundo maratón de México por participación. A diferencia del Maratón CDMX (propiedad pública) y el Medio Maratón GDL (propiedad municipal), el Maratón Powerade Monterrey es propiedad de un comi...</t>
  </si>
  <si>
    <t>Tier 1. Controla audiencia en Running / Wellness.
Organiza el medio maratón de 21K más grande de México por inscritos (~30,000), con certificación AIMS y avales de la FMAA y World Athletics. Expo de 3 días en WTC CDMX (100,000 visitantes en 2025). Edición 2026: XIX, julio 2026. Estrena ruta nueva.
Relevancia: 30,000 corredores inscritos y Expo con 100,000 visitantes convierten al evento en el mayor punto de contacto de marca en running de CDMX por densidad de interacción. BBVA documentado como title spo...</t>
  </si>
  <si>
    <t>Tier 1. Controla audiencia en Running / Wellness.
Organiza el mayor evento de running de Guadalajara: 23,000 participantes (cupo ampliado, inscripciones agotadas en dic-2025), WA Platinum Label (máxima certificación WA, superior al Gold Label del Maratón CDMX), clasificatorio para Campeonato Mundial de Medio Maratón. Patrimonio Cultural Inmaterial del Municipio de Guadalajara. 40 ediciones cons...
Relevancia: El evento de running con mayor certificación técnica de México (Platinum Label vs Gold Label del Maratón CDMX). Electrolit construyó su dominio en el segmento de bebidas deportivas en parte a travé...</t>
  </si>
  <si>
    <t>Tier 2. Controla audiencia en Fútbol. Origen: EUA / México.
Sin participaciones accionarias en clubes Liga MX ni en la liga. Solo derechos de transmisión vía TUDN, Canal 5 y N9ve (7 equipos Liga MX). Renovó derechos NFL México feb-2026. Streaming Liga MX vía ViX (stack Akta).
Relevancia: Como broadcaster de 7 de los 18 clubes Liga MX, su estructura de derechos fragmentada es el obstáculo principal para la centralización comercial. La crisis TV Azteca (concurso mercantil) puede forz...</t>
  </si>
  <si>
    <t>Tier 2. Controla propiedad / capital en Running / Wellness.
Organiza y opera la serie de eventos HYROX en México bajo licencia exclusiva de HYROX World GmbH (Hamburgo). Temporada 2025/2026: 6 eventos en 6 ciudades (CDMX, GDL, MTY, Acapulco, Cancún, Puebla). Gestiona la relación con gimnasios gym partner locales. 152,000 seguidores en Instagram (@hyroxmx). Licencia exclusiva M: Victum es rights holder mex...
Relevancia: HYROX es el formato de fitness competitivo de mayor crecimiento global post-2020. Victum llevó HYROX a México de la misma forma que lo hizo en España: primero licencia exclusiva, luego escalado de ...</t>
  </si>
  <si>
    <t>Tier 1. Controla propiedad / capital en Fútbol.
Sinergia Deportiva SA de CV administra 100% de Tigres por cesión UANL (acuerdo original 1996, renovado 30 años). Creada CEMEX-FEMSA 50/50; FEMSA salió en 2000 dejando control total a CEMEX (familia Zambrano). No aparece en filings 20-F SEC como subsidiaria material. Proyecto Nuevo Estadio Volcán: USD 320M, 65,000 asientos, cancha retráctil (Popu...
Relevancia: La opacidad contable es el caso más documentado de disociación entre la magnitud deportiva de un actor (Tigres, plantilla más cara Liga MX) y su ausencia de reporting estándar.</t>
  </si>
  <si>
    <t>Tier 1. Controla propiedad / capital en Fútbol.
Holding más capitalizado y opaco del fútbol mexicano: ~45+ casinos, ~50% mercado apuestas deportivas MX. Renegociación JV Playtech sep-2024: Caliente Interactive Inc. (EUA), Playtech 30.8% equity + USD 140M cash. Vendió Querétaro a Innovatio Capital (USD 120M, jul-2025) para resolver multipropiedad. Caliente TV adquirida por Fox Corp en jun-2025.
Relevancia: El actor con más poder unilateral en Liga MX: shirt sponsor ~13 clubes + dueño Xolos + ~50% mercado apuestas. La adquisición de Caliente TV por Fox Corp crea nueva arquitectura media-apuestas que r...</t>
  </si>
  <si>
    <t>Tier 1. Controla propiedad / capital en Fútbol.
Compite internacionalmente en FIFA, CONCACAF y eventos de preparación. Genera el mayor volumen de audiencia puntual del ecosistema deportivo mexicano. Sus partidos de clasificación mundialista, amistosos y participaciones en Copa Oro y Copa América son el producto con mayor demanda de patrocinio del mercado.
Relevancia: La SNM es el activo de mayor concentración de patrocinios en un solo producto deportivo de México: Adidas (kit USD 290M/10 años), AT&amp;T (telecom exclusivo), Amazon (triple deal mar-2025), Caliente.m...</t>
  </si>
  <si>
    <t>Tier 2. Controla propiedad / capital en Fútbol.
Genera el inventario comercial del segmento femenil del ecosistema deportivo mexicano junto con la Liga MX Femenil. Amazon, AT&amp;T y Scotiabank firmaron acuerdos específicos de patrocinio femenil.
Relevancia: Activo con crecimiento acelerado de patrocinios femeniles. El triple deal Amazon incluye Liga MX Femenil. Scotiabank pivotó a ecosistema femenil Concacaf + Chivas fuerzas básicas. Primera Sub-20 fe...</t>
  </si>
  <si>
    <t>Tier 2. opera en su categoría en Boxeo.
Sancionar peleas y rankings boxeo profesional mundial. Otorga cinturón verde WBC.
Relevancia: Una de las 4 federaciones principales mundo (WBC, WBA, IBF, WBO). Sede CDMX desde 1963. Mauricio Sulaimán presidente.</t>
  </si>
  <si>
    <t>Tier 1. Controla propiedad / capital en Boxeo.
El atleta individual de mayor valor comercial de México. DAZN como broadcaster exclusivo. Hennessy, Tecate, Michelob Ultra y Oakley como sponsors principales. GGG vs Canelo generó más de USD 160M en PPV en EE.UU.
Relevancia: Canelo es el activo deportivo individual más valioso de México. Su modelo de gestión 360° (Reynoso como manager-entrenador-promotor) es único en el boxeo mundial. Los ingresos por pelea superan el ...</t>
  </si>
  <si>
    <t>Tier 3. Controla propiedad / capital en Fútbol.
Club con modelo de ownership mixto que incluye celebridades del deporte norteamericano como accionistas. Broadcaster: Claro Sports (compartido). Segunda Spectrum (Genius Sports) como proveedor de tracking de jugadores.
Relevancia: Primer club Liga MX con tracking de jugadores de nivel NBA. Accionistas celebrity del deporte norteamericano. Presencia en el radar del mercado norteamericano.</t>
  </si>
  <si>
    <t>Tier 2. Controla propiedad / capital en Fútbol.
Comprador de Atlas FC a Grupo Orlegi por ~USD 220-250M (aprobado en asamblea dueños 23-abr-2026; traspaso efectivo 1-jul-2026, sujeto a aprobación de la Comisión Nacional Antimonopolio (CNA, sucesora de COFECE)). Grupo PRODI y José Miguel Bejos son actores nuevos en el ecosistema deportivo mexicano.
Relevancia: La segunda transacción más grande del mercado de clubes en 2026 (después de GA-Ollamani). Atlas es uno de los tres mejores activos de cantera de Liga MX. El perfil de Grupo PRODI/Bejos requiere enr...</t>
  </si>
  <si>
    <t>Tier 2. Controla propiedad / capital en Fútbol.
Su identidad y base de fans CDMX son su principal activo comercial.
Relevancia: Único club Liga MX de propiedad pública universitaria. Base de fans universitaria en la capital.</t>
  </si>
  <si>
    <t>Tier 3. opera en su categoría en Béisbol.
Compite en LMP invernal. Sede Estadio Tomateros.
Relevancia: Tomateros: equipo más popular invernal Sinaloa. Campeón LMP recurrente.</t>
  </si>
  <si>
    <t>Tier 3. opera en su categoría en Béisbol.
Compite en LMB. Sede Estadio Chevron (naming desde 2018).
Relevancia: Toros Tijuana: única franquicia LMB frontera norte. Naming Chevron.</t>
  </si>
  <si>
    <t>Tier 2. Controla propiedad / capital en Fútbol. Origen: EUA.
PRECISIÓN TEMPORAL: Deal anunciado 10-nov-2025; cierre regulatorio Q1-2026; control efectivo desde 2026, no nov-2025. Adquirió control mayoritario del Atlético de Madrid (cerrado nov-2025, valoración EUR 2.5Bn / ~USD 2.89Bn). El Atlético de Madrid controla 51% del Atlético de San Luis (Liga MX). Exposición indirecta a Liga MX. Distinto del Apoll...
Relevancia: Su posición en Atlético de San Luis es la única exposición de PE global de gran formato en un club de Liga MX a través de control accionario (no deal de comercialización). Define el precedente de p...</t>
  </si>
  <si>
    <t>Tier 2. Controla propiedad / capital en Fútbol.
Modelo de sociedad cooperativa sin dueño único — el único en Liga MX. Busca estadio propio a largo plazo.
Relevancia: Modelo de ownership cooperativo único en Liga MX (sin dueño persona física o empresa).</t>
  </si>
  <si>
    <t>Tier 1. Controla propiedad / capital en Running / Wellness.
Rights holder y presidente del comité organizador del Medio Maratón Internacional Guadalajara Electrolit (XL edición 2026: 23,000 participantes, WA Platinum Label, Patrimonio Cultural Inmaterial de Guadalajara) y del Maratón Internacional Guadalajara Skarch (XLI edición 2025: 4,000 participantes). Equivalente funcional al INDEPORTE para la Ciuda...
Relevancia: Gatekeeper institucional de los dos eventos de running con mayor convocatoria de Guadalajara. El Medio Maratón GDL Electrolit con WA Platinum Label y 23,000 participantes es más relevante técnicame...</t>
  </si>
  <si>
    <t>Tier 1. Controla propiedad / capital en Running / Wellness.
Rights holder institucional y presidente del comité organizador del Maratón CDMX Telcel (XLIII edición 2026, WA Gold Label, ~30,000 inscritos) y del Medio Maratón CDMX BBVA (XIX edición 2026, AIMS certificado, ~30,000 inscritos). Opera las plataformas de registro oficial (maraton.cdmx.gob.mx y 21k.cdmx.gob.mx). Negocia y otorga los naming rights...
Relevancia: Controla el inventario comercial de los dos eventos de running más convocados de México: 60,000+ registros combinados. La negociación de title sponsorship (BBVA, Telcel) pasa por INDEPORTE como rig...</t>
  </si>
  <si>
    <t>Tier 2. opera en su categoría.
Compite en NBA G-League. Único equipo NBA-affiliated en LATAM.
Relevancia: Plataforma para introducir baloncesto NBA-grade en MX. Operación Arena CDMX (sub-arrendamiento).</t>
  </si>
  <si>
    <t>Tier 2. opera en su categoría en Béisbol.
Compite en LMB. Sede Estadio Monterrey con naming Walmart desde 2024.
Relevancia: Sultanes: institución LMB norte. Único naming Walmart en deporte profesional MX.</t>
  </si>
  <si>
    <t>Tier 2. opera en su categoría en Béisbol.
Doble franquicia LMB verano y LMP invierno. Sede Estadio Panamericano (Zapopan).
Relevancia: Charros Jalisco: única franquicia con doble temporada activa. Campeón LMP 2018-19. Mercado GDL.</t>
  </si>
  <si>
    <t>Tier 3. opera en su categoría en Béisbol.
Compite en LMP invernal. Sede Estadio Sonora.
Relevancia: Naranjeros: plurihistórico Serie del Caribe. Tradición LMP Sonora.</t>
  </si>
  <si>
    <t>Tier 3. opera en su categoría en Béisbol.
Compite en LMP invernal. Sede Estadio Teodoro Mariscal.
Relevancia: Venados: plurihistórico Serie del Caribe. Tradición LMP Sinaloa.</t>
  </si>
  <si>
    <t>V2 MEDIA &amp; DISTRIBUTION</t>
  </si>
  <si>
    <t>23 actores con presencia en V2. Ordenado por Score Compuesto descendente.</t>
  </si>
  <si>
    <t>Tier 2. Controla audiencia en Fútbol. Origen: EUA.
Primer OTT global con acuerdo exclusivo de un club Liga MX. También firmó triple deal de patrocinio (Tri + Liga MX + Liga MX Femenil) desde mar-2025 vía Amazon/AWS. NBA y NFL TNF en Prime Video México.
Relevancia: El acuerdo Chivas-Amazon reescribió el modelo de broadcasting local y fijó un benchmark que presiona al alza todos los contratos club-por-club. El triple deal de patrocinio inauguró la era del tech...</t>
  </si>
  <si>
    <t>Tier 2. Controla audiencia en Eventos premium. Origen: Reino Unido.
Broadcaster exclusivo de Canelo Álvarez en México y EE.UU. Derechos de boxeo premium global. Adquirió sublicencia del FIFA Club World Cup 2025 de TelevisaUnivision. DAZN es el único OTT con distribución exclusiva del activo deportivo individual más valioso de México.
Relevancia: Sin Canelo, DAZN pierde su producto premium en México. El activo Canelo generó más de USD 160M por pelea en PPV en EE.UU. Único broadcaster que rompe la dicotomía TUDN/FOX/Amazon en el mercado prem...</t>
  </si>
  <si>
    <t>Tier 2. Controla audiencia en Multideporte. Origen: EUA.
ESPN como canal deportivo de TV de paga con derechos de Liga MX (algunos clubes), NBA México, NFL y Champions League (a partir de 2027). Bundle ViX+Disney+ desde jun-2025 (MXN 199/mes) crea nueva sinergia con TelevisaUnivision en el mercado mexicano.
Relevancia: Bundle ViX+Disney+ es la alianza de distribución más relevante del ecosistema streaming en México 2025-2026. ESPN retiene derechos deportivos premium que complementan el portafolio de ViX.</t>
  </si>
  <si>
    <t>Tier 1. Controla audiencia en Multideporte. Origen: EUA.
Entró directamente al mercado mexicano comprando Caliente TV (jun-2025). Opera triple stack: Tubi México (AVOD, hereda audiencia Caliente TV), FOX One (SVOD, derechos Liga MX: Pachuca, Tigres, Juárez, Mazatlán y otros), canal lineal. Reemplaza a Fox Sports México/Lauman que colapsa entre multas y pérdida de licencia.
Relevancia: El tercer actor en tamaño del ecosistema de medios deportivos mexicano. Su entrada vía Caliente TV (jun-2025) reconfiguró el mapa de derechos de Liga MX en TV de paga. La sinergia FOX-Caliplay (apu...</t>
  </si>
  <si>
    <t>Tier 3. Controla audiencia en Fútbol.
Canal deportivo de TV de paga que operó como brazo de distribución de Fox Sports LatAm en México. En proceso de salida del mercado (nov-2026) tras multas de la autoridad regulatoria y pérdida de la licencia de marca Fox Sports ante el avance directo de Fox Corporation (Tubi/FOX One).
Relevancia: Su desaparición reordena el mapa de TV de paga deportiva en México, acelerando la concentración en TUDN/ViX, Amazon, Netflix y Fox Corporation directa.</t>
  </si>
  <si>
    <t>Tier 2. Controla audiencia en Fútbol. Origen: EUA.
Firmó el 14 de abril de 2026 el primer acuerdo exclusivo país-México con Concacaf: Copa Oro y Nations League Finals 2027-2029. Coloca a la Selección Mexicana detrás de paywall en torneos masivos por primera vez en la historia. VP Carolina Leconte como arquitecta del deal.
Relevancia: El deal Netflix-Concacaf es el evento de disrupción más reciente del ecosistema de medios deportivos mexicano. Pone la Selección Mexicana (en torneos CONCACAF) detrás de paywall por primera vez, fo...</t>
  </si>
  <si>
    <t>Tier 3. Controla propiedad / capital en Multideporte.
No posee clubes Liga MX, MLB ni LMB. Arturo Elías Ayub anunció venta de participación restante en Real Oviedo (diluida desde 35% original en 2012 cuando Pachuca tomó mayoría). Carso participa en el fideicomiso privado del GP México junto a ~100 inversionistas. Escudería Telmex Telcel era programa de patrocinios (no equipo F1), concluido con sali...
Relevancia: La desinversión de Real Oviedo y la ausencia de nuevas posiciones deportivas de capital sugieren alejamiento estratégico del deporte como clase de activo, en contraste con el ciclo alcista 2024-202...</t>
  </si>
  <si>
    <t>Tier 2. Controla audiencia en Fútbol. Origen: EUA.
Broadcaster exclusivo de la Leagues Cup (torneo MLS vs Liga MX) en EE.UU. y México desde 2023. Apple TV capturó el torneo crossborder más relevante del fútbol norteamericano. Modelo de suscripción sin publicidad.
Relevancia: La Leagues Cup bajo Apple TV representa el primer acuerdo de gran escala de un tech giant en el fútbol de liga de la región. El acceso bajo paywall fragmenta la audiencia del torneo más relevante d...</t>
  </si>
  <si>
    <t>Tier 3. Controla audiencia en Fútbol. Origen: Otros.
Better Collective adquirió Futbol Sites (que incluye Bolavip, Transfermarkt LatAm, y otros portales nativos digitales) para construir la mayor red de media deportiva nativa digital de LatAm. Bolavip como portal de contenido fútbol en español.
Relevancia: Único nativo digital con escala industrial en LatAm. La integración Better Collective-Futbol Sites crea el mayor portafolio de media deportiva digital en español de la región.</t>
  </si>
  <si>
    <t>Tier 3. Controla audiencia en Fútbol. Origen: EUA.
Uno de los broadcasters de la UEFA Champions League en México (compartida). Derechos europeos de fútbol de clubes como ancla deportiva en el mercado mexicano.
Relevancia: La Champions League es el producto europeo con mayor audiencia en México. Max compite con ESPN/Disney+ en el segmento de fútbol europeo de élite.</t>
  </si>
  <si>
    <t>Tier 3. Controla audiencia en Fútbol.
Portal deportivo digital con enfoque en fútbol mexicano. Fuente de referencia editorial para el ecosistema. Propiedad compartida entre Grupo Multimedios (noreste) y Milenio.
Relevancia: Referente editorial digital del ecosistema deportivo mexicano. Fuente primaria de cobertura de Liga MX para audiencias digitales.</t>
  </si>
  <si>
    <t>Tier 3. Controla audiencia en Eventos premium. Origen: EUA.
Broadcaster exclusivo de UFC en Latinoamérica desde oct-2025. La alianza UFC-Paramount+ desplazó a ESPN/Disney como broadcaster de las peleas en México. Pluto TV como canal AVOD gratuito complementario.
Relevancia: El deal UFC-Paramount+ reconfiguró el mapa de derechos de MMA en LatAm. Paramount+ posiciona a UFC como su ancla deportiva en la región.</t>
  </si>
  <si>
    <t>Tier 3. Controla audiencia en Fútbol.
Diario deportivo de referencia en México. Cobertura especializada de fútbol, boxeo y otros deportes. Combina presencia impresa y digital.
Relevancia: Referente editorial deportivo en CDMX. Fuente primaria de noticias de transferencias y mercado para el ecosistema.</t>
  </si>
  <si>
    <t>Tier 3. Controla audiencia en Motorsport. Origen: EUA / México.
Broadcaster de Fórmula 1 en México desde el GP de Singapur 2025 hasta 2028. El acuerdo fue ganado en el ciclo de renovación de derechos de F1 en el mercado latinoamericano.
Relevancia: Único broadcaster de F1 con cobertura completa del Gran Premio de México 2025-2028. Compite con la distribución libre de F1 en plataformas digitales.</t>
  </si>
  <si>
    <t>Tier 1. opera en su categoría. Origen: Otros.
Distribución contenido video globalmente. Canales oficiales clubes Liga MX. Highlights, fan content. Transmisión de FutFem Donde Sea de la Liga MX Femenil
Relevancia: Plataforma #1 video mundo. NFL Sunday Ticket. En MX: canales clubes, contenido user-generated, YouTube TV.</t>
  </si>
  <si>
    <t>Tier 2. opera en su categoría. Origen: Reino Unido.
Productora detrás de F1 Drive to Survive. Partnership exclusivo mundial con Canelo Media.
Relevancia: Definió el storytelling sports moderno. Trae estándar premium a LATAM via Canelo Media.</t>
  </si>
  <si>
    <t>V3 COMMERCIALIZATION</t>
  </si>
  <si>
    <t>29 actores con presencia en V3. Ordenado por Score Compuesto descendente.</t>
  </si>
  <si>
    <t>Tier 1. Pone dinero en Fútbol. Origen: Otros.
Financia la visibilidad de marca más transversal del fútbol mexicano: title de Liga BBVA MX (varonil, femenil y Expansión desde 2016), naming del Estadio BBVA de Rayados (desde 2015), jersey sponsor de Rayados. Doble renovación en jul-2025.
Relevancia: Único patrocinador con naming simultáneo de liga y estadio. Estrategia declarada: 'banco del deporte'. Doble renovación jul-2025: Liga MX hasta 2028, Estadio BBVA hasta 2030. Inversión deportiva es...</t>
  </si>
  <si>
    <t>Tier 2. Pone dinero en Multideporte.
Bebida oficial de 8+ clubes Liga MX y &gt;30 patrocinios activos en el ecosistema deportivo mexicano. Electrolit reposicionó el suero de rehidratación oral como bebida deportiva premium, disrumpiendo a Gatorade y Powerade.
Relevancia: El mayor patrocinador de bebidas deportivas del ecosistema mexicano por volumen de acuerdos activos (&gt;30). Disrumpió el duopolio Gatorade-Powerade en el segmento premium de bebidas deportivas.</t>
  </si>
  <si>
    <t>Tier 3. Pone dinero en Fútbol.
Sin deal formal activo confirmado con Liga MX ni con la Selección. La escala de OXXO (&gt;22,000 tiendas en México) y su pertenencia a FEMSA (propietaria de Rayados) lo hacen un patrocinador potencial estructural.
Relevancia: La escala de distribución de OXXO (&gt;22,000 puntos de venta) y su pertenencia a FEMSA (propietaria de Rayados) crean la posibilidad de un deal de distribution/activation masivo sin precedente. Sin e...</t>
  </si>
  <si>
    <t>Tier 1. Pone dinero en Fútbol. Origen: Alemania.
Renovó con FMF hasta 2034 (10 años, USD 290M — el deal de kit más grande de la historia del fútbol mexicano). Reemplazó a Nike en Club América en jul-2025. Kit de Tigres UANL. DG México: Jorge Dionne.
Relevancia: El deal FMF-Adidas (USD 290M/10 años) es el contrato de kit más grande de la historia del fútbol mexicano.</t>
  </si>
  <si>
    <t>Tier 1. Pone dinero en Multideporte.
Rebautizó el Estadio Azteca como Estadio Banorte combinando deuda estructurada (MXN 2,100M + MXN 468M IVA = MXN 2,568M a 12 años) con naming rights. NFL México City Games presenting partner 2016-2028. Socio LGCT México.
Relevancia: La operación Banorte-Ollamani es la más sofisticada del ecosistema: naming del estadio más icónico + deuda estructurada + presenting NFL México. Sin equivalente en el mercado mexicano. Inversión es...</t>
  </si>
  <si>
    <t>Tier 2. Pone dinero en Fútbol. Origen: EUA / México.
Socio FIFA de Tier 1 global, lo que le garantiza presencia exclusiva en categoría bebidas no alcohólicas en los 13 partidos del WC26 en México. Sponsor de la Selección Mexicana y de Liga MX. Coca-Cola FEMSA opera la distribución y parte de los derechos de marca en México.
Relevancia: La categoría exclusiva de bebidas no alcohólicas en WC26 es la activación de mayor alcance disponible en México 2026. La doble estructura Coca-Cola/Coca-Cola FEMSA crea sinergias entre el sponsor g...</t>
  </si>
  <si>
    <t>Tier 2. Pone dinero en Motorsport. Origen: Otros.
Title sponsor del Gran Premio de México F1 (Heineken Gran Premio de México, antes Gran Premio de México a secas). Socio del fideicomiso privado del GP México. Heineken es el title sponsor global de F1 (partnership con Liberty Media).
Relevancia: La combinación de title local (GP México) + partnership global F1 (Heineken es el title partner global) le da a Heineken México la mayor cobertura de patrocinio F1 en el mercado nacional.</t>
  </si>
  <si>
    <t>Tier 2. Pone dinero en Fútbol.
Viva Aerobus como aerolínea oficial de la Selección Mexicana. Volaris como sponsor de Pumas UNAM y Club Toluca. La fusión dic-2025 unificará en una sola estructura los patrocinios de El Tri, Pumas y Toluca, obligando a renegociar exclusividades post-Mundial.
Relevancia: La fusión Viva-Volaris concentrará todos los patrocinios de aerolíneas del ecosistema en una sola entidad, creando un actor con poder de negociación inédito en el segmento. La renegociación de excl...</t>
  </si>
  <si>
    <t>Tier 2. Pone dinero en Fútbol. Origen: España.
Jersey sponsor de Rayados de Monterrey (hasta 2029) y Rayadas femenil. Sponsor en LMB. Segundo operador de apuestas con presencia estructural en el ecosistema tras Caliente.mx.
Relevancia: La concentración de jersey de Rayados (activo FEMSA, el club corporativo más sólido) con Codere como sponsor da al operador español la asociación de mayor calidad institucional en el segmento de ap...</t>
  </si>
  <si>
    <t>Tier 3. Pone dinero en Fútbol. Origen: Otros.
Pivotó estratégicamente al ecosistema femenil: Concacaf (derechos femeniles) y Chivas fuerzas básicas (desarrollo). Sale del ecosistema varonil de Liga MX. La estrategia de género es su diferenciador en un ecosistema dominado por sponsorship varonil.
Relevancia: Scotiabank es el único banco extranjero con estrategia deportiva exclusivamente femenil en México. Su pivot reposiciona la marca en un segmento con crecimiento acelerado de inversión.</t>
  </si>
  <si>
    <t>Tier 3. Pone dinero en Fútbol. Origen: Otros.
Cerveza oficial de Liga MX (varonil y femenil). Sponsor del ecosistema de boxeo mexicano (Canelo adjacente). Tecate coexiste con Corona/Modelo en el ecosistema como la marca cervecera de liga.
Relevancia: Tecate capturó el title de cerveza oficial de Liga MX mientras Corona mantiene la Selección. Comparte con Heineken (GP México) el duopolio de cervezas premium en el ecosistema deportivo mexicano.</t>
  </si>
  <si>
    <t>Tier 2. Pone dinero en Fútbol. Origen: EUA.
Primer triple deal de tech giant en el ecosistema deportivo mexicano: patrocinio simultáneo de la Selección Mexicana, Liga MX y Liga MX Femenil desde mar-2025. Combinado con Amazon Prime Video como broadcaster exclusivo de Chivas.
Relevancia: Amazon inauguró la era del tech-as-sponsor en el ecosistema deportivo mexicano. La doble presencia (sponsor + broadcaster) en Chivas y Selección es el modelo más integrado del mercado.</t>
  </si>
  <si>
    <t>Tier 2. Pone dinero en Fútbol. Origen: EUA / México.
Patrocinador de telecomunicaciones exclusivo de la Selección Mexicana desde 2019 hasta 2027. En proceso de venta corporativa de AT&amp;T México. La transacción puede impactar la continuidad del deal con la FMF post-2027. Adicionalmente: proveedor venue WC26 (función V8 secundaria de telecom para sedes mundialistas).
Relevancia: El deal AT&amp;T-Selección (exclusivo telecom hasta 2027) es el contrato de telecomunicaciones más relevante del ecosistema. La venta corporativa de AT&amp;T México introduce incertidumbre sobre su continu...</t>
  </si>
  <si>
    <t>Tier 2. Pone dinero en Fútbol.
Regresó al jersey del Club América para la temporada 2025-26 después de una pausa. Sponsor histórico del fútbol mexicano.
Relevancia: El regreso de Bimbo al jersey del América es la señal más clara del incremento del inventario comercial del activo post-General Atlantic. Bimbo es un sponsor con historial de largo plazo en el ecos...</t>
  </si>
  <si>
    <t>Tier 2. Pone dinero en Fútbol. Origen: Otros.
Cerveza oficial de la Selección Mexicana de Fútbol desde 2006 — el patrocinio de bebidas alcohólicas más longevo del ecosistema. Cassiano De Stefano como director de marketing.
Relevancia: La relación Selección-Corona es uno de los deals de bebidas alcohólicas más longevo del fútbol mexicano (20 años). Corona es la cerveza más reconocida globalmente entre las marcas mexicanas.</t>
  </si>
  <si>
    <t>Tier 1. Pone dinero en Multideporte.
Aseguradora del Grupo BAL (Familia Baillères) con presencia estructural en sponsorship deportivo mexicano. Title sponsor del Estadio GNP Seguros (ex Foro Sol) en concesión con CIE/OCESA. Sponsor del Maratón Banorte. Cobertura de seguros para múltiples eventos deportivos.
Relevancia: Único sponsor V3 mexicano con naming rights de venue premium del país (Estadio GNP Seguros). Integra capital aseguradora con presencia simultánea en venue, running y eventos puntuales. Cross-link a...</t>
  </si>
  <si>
    <t>Tier 3. Pone dinero en Eventos premium. Origen: Otros.
Patrocinador FIFA de Tier 1 global para el WC26, lo que le garantiza visibilidad en los 13 partidos del WC26 en México (estadios, transmisiones, hospitality). No tiene patrocinio directo con la FMF, Liga MX ni clubes mexicanos.
Relevancia: La presencia de Hisense en México es exclusivamente vía el deal FIFA global. No tiene activación local directa. Su visibilidad en los 13 partidos en México es parte del deal global.</t>
  </si>
  <si>
    <t>Tier 3. Pone dinero en Fútbol.
Firmó los naming rights del estadio del Atlético de San Luis desde ene-2026. Primer acuerdo de naming de estadio Liga MX para una fintech mexicana.
Relevancia: Primer fintech mexicana con naming rights de estadio Liga MX. El acuerdo con Atlético de San Luis (propiedad del Atlético de Madrid/Apollo) crea una relación sponsor-activo transnacional inusual.</t>
  </si>
  <si>
    <t>Tier 3. Pone dinero en Fútbol. Origen: Suiza.
Alianza oficial entre Maggi/Nestlé y la FMF desde abr-2025 hasta dic-2026. Cubre la ventana del WC26 en México. Activaciones de marca vinculadas a la Selección Mexicana.
Relevancia: Maggi inaugura la categoría de alimentos procesados como sponsor de la Selección Mexicana en la ventana mundialista. Deal de corto plazo (21 meses) pero estratégicamente posicionado alrededor del W...</t>
  </si>
  <si>
    <t>Tier 3. Pone dinero en Running / Wellness. Origen: EUA / México.
Licencia la marca Barbie para la Barbie Run México, evento de running organizado por ASdeporte. Edición 2024 (primera en México): CDMX y Monterrey. Edición 2025: CDMX (23 nov, 15,000 participantes esperados), Guadalajara y Monterrey. 40,000+ participantes acumulados en LATAM.
Relevancia: Primer caso verificado en el ecosistema Running/Wellness mexicano de una empresa de entretenimiento/IP (no telecom, no bebidas deportivas, no financiero) usando el running como plataforma de activa...</t>
  </si>
  <si>
    <t>Tier 3. Pone dinero en Fútbol. Origen: Otros.
Jersey sponsor de Chivas en la temporada 2024-25. No tiene deal formal con Liga MX. La posición de Mercado Pago en Chivas (el club con mayor fandom popular de México) es estratégicamente valiosa.
Relevancia: Mercado Pago en Chivas es la fintech con mayor alcance de marca en el ecosistema de clubes mexicanos. Deal formal Liga MX pendiente de confirmación.</t>
  </si>
  <si>
    <t>Tier 3. Pone dinero en Fútbol. Origen: EUA.
Kit técnico del Club Toluca (bicampeón Liga MX 2025). Reemplazó a Under Armour en 2023. El bicampeonato de Toluca en 2025 eleva significativamente el perfil de New Balance en el mercado mexicano.
Relevancia: El bicampeonato de Toluca posiciona a New Balance en el ecosistema como el kit de los campeones 2025. Potencial palanca para expandir contratos en Liga MX.</t>
  </si>
  <si>
    <t>Tier 2. Pone dinero en Fútbol. Origen: EUA.
Perdió el kit del Club América frente a Adidas en jul-2025. Recuperaría el kit de Chivas en jul-2026 (Puma sale). Presencia decreciente en Liga MX. Nike mantiene Pumas UNAM y recupera Chivas.
Relevancia: La pérdida del América (por Adidas) y la transición en Chivas (sale Puma, entra Nike jul-2026) redefinen el mapa de kit deals del fútbol mexicano. Nike queda en segundo lugar detrás de Adidas en el...</t>
  </si>
  <si>
    <t>Tier 2. Pone dinero en Fútbol. Origen: Alemania.
Kit de Rayados de Monterrey (hasta 2029) y Pumas UNAM (desde 2026-27). Sale de Chivas en jul-2026 (Nike entra). Puma mantiene presencia en dos activos relevantes del ecosistema.
Relevancia: Puma pierde Chivas (activo de fandom masivo) pero retiene Rayados (corporativo FEMSA) y añade Pumas UNAM. El balance net de su portafolio mejora en calidad institucional aunque pierde en volumen de...</t>
  </si>
  <si>
    <t>Tier 3. Pone dinero en Fútbol. Origen: EUA.
Kit técnico del Club Pachuca desde jul-2025 — el primer contrato de kit con un club de fútbol profesional en la historia de Skechers a nivel global. Pachuca es el primer club de fútbol en el portafolio de Skechers.
Relevancia: Un acuerdo sin precedente en el mercado de kit deals: una marca de calzado/athletic sin historia en fútbol firma su primer contrato global en Liga MX. Club Pachuca como laboratorio de expansión al ...</t>
  </si>
  <si>
    <t>Tier 2. Pone dinero en Running / Wellness. Origen: Brasil.
Opera la red de gimnasios de bajo costo más grande de México (395+ sucursales, 1 millón+ usuarios). Es el naming partner de toda la temporada HYROX México 2025/2026 ('Smart Fit HYROX [ciudad]'), lo que la convierte en el sponsor deportivo activo de mayor escala en el segmento fitness competitivo en México.
Relevancia: La alianza Smart Fit-HYROX es el deal de sponsorship deportivo más estratégico del segmento fitness mexicano en 2025-2026: Smart Fit usa HYROX para posicionarse como el gimnasio de los corredores c...</t>
  </si>
  <si>
    <t>Tier 3. Pone dinero en Fútbol. Origen: EUA.
Triple deal oficial desde oct-2025: Selección Mexicana, Liga MX y Liga MX Femenil. Combinado con activaciones de Uber Eats en matchdays. Segundo tech giant (después de Amazon) con triple deal en el ecosistema.
Relevancia: El triple deal Uber consolida la tendencia de tech giants como sponsors sistémicos del ecosistema deportivo mexicano (Amazon desde mar-2025, Uber desde oct-2025). Ambos eligieron el mismo modelo de...</t>
  </si>
  <si>
    <t>Tier 2. opera en su categoría en Béisbol. Origen: Otros.
Walmart México retail. Naming Walmart Park (Estadio Sultanes Monterrey) desde 2024. En pláticas con América para patrocinio.
Relevancia: Único naming retail en deporte profesional MX. Activación con béisbol LMB norte.</t>
  </si>
  <si>
    <t>V4 AGENCIES &amp; TALENT</t>
  </si>
  <si>
    <t>16 actores con presencia en V4. Ordenado por Score Compuesto descendente.</t>
  </si>
  <si>
    <t>Tier 2. Intermedia dinero en Tenis. Origen: EUA.
Consultoría de patrocinios, representación de atletas y gestión global de derechos WTA.
Relevancia: Agencia global WTA con relación con GS Sports y HG Promotores para licencias femeniles México.</t>
  </si>
  <si>
    <t>Tier 1. Intermedia dinero en Multideporte. Origen: Otros.
Activa para SF 49ers en México (Academia Fundación 49ers, Watch Party MTY, partnerships Fox Sports/Radio Fórmula); representación futbolistas vía Rodrigo Morales; consultoría de marca. Adicionalmente opera Wasserman Events (división de eventos Golf desde mar-2026, función V5 secundaria de operación de eventos premium con anclaje USA / LATAM).
Relevancia: Punto de contacto local de la agencia global dominante; pivote rumbo WC26 y NFL México.</t>
  </si>
  <si>
    <t>Tier 2. Intermedia dinero en Fútbol. Origen: EUA.
Via LaLiga North America (JV 50/50): gestiona derechos audiovisuales LaLiga en México, soporte a SKY Sports, activación comercial, producción en Guadalajara.
Relevancia: Settlement Relevent-USSF 2025 abre camino Liga MX oficial en EE.UU.; Ross controla Hard Rock Stadium.</t>
  </si>
  <si>
    <t>Tier 3. Intermedia dinero en Fútbol. Origen: Alemania.
Venta de derechos, consultoría de patrocinios y activación para propiedades deportivas en LatAm.
Relevancia: Relaciones con clubes Liga MX mencionadas en prensa; sin estructura pública verificada</t>
  </si>
  <si>
    <t>Tier 2. Controla experiencia en Multideporte. Origen: Otros.
Consultoría de patrocinios, activaciones BTL, PR deportiva, eventos experienciales y medición ROI. Lanzamiento México feb-2026 coincidiendo con ramp-up WC26+F1+NBA+lucha libre.
Relevancia: Única agencia global sport-marketing recién instalada en México justo antes del ciclo WC26+F1+NFL Banorte.</t>
  </si>
  <si>
    <t>Tier 3. Intermedia dinero en Multideporte.
Relaciones públicas olímpicos/paralímpicos; gestión patrocinios; organización Deportium Puebla; activaciones BTL; programa Nutre tu Empresa; Valencia CF Soccer Camp México.
Relevancia: Única agencia mexicana con congreso consolidado de industria (Deportium, 6 ediciones). Puerta marcas con olímpicos.</t>
  </si>
  <si>
    <t>Tier 3. Intermedia dinero en Multideporte.
Diagnóstico/selección propiedades; valuación tangible/intangible patrocinio y naming; reportes ROI con eye-tracker y ROO con IA; estrategia multimedia.
Relevancia: Produce inteligencia pública sobre mercado mexicano de patrocinios. Referente editorial ESPN, Forbes, El Economista.</t>
  </si>
  <si>
    <t>Tier 2. Intermedia dinero en Fútbol. Origen: Suiza.
Consultoría en desarrollo/valuación de conceptos de derechos; venta exclusiva derechos globales medios selecciones mexicanas para ciclos 2026-30 y 2030-34.
Relevancia: Controla canal de entrada de broadcasters extranjeros hacia la Selección Mexicana; primer intermediario europeo de primer orden en LatAm.</t>
  </si>
  <si>
    <t>Tier 1. Controla data en Fútbol. Origen: EUA.
Plataforma propietaria de Customer Data Platform y consultoría de fan experience contratada por Grupo Águilas (Club América + Estadio Banorte) tras entrada de General Atlantic con 49% (dic-2025). Ambición declarada: 45 millones de aficionados (30M México + 15M EE.UU.).
Relevancia: Primer caso público de proveedor estadounidense de fan analytics integrado al club más grande de México de cara al Mundial 2026; define el estándar competitivo post-2026 para Rayados, Tigres y Chivas.</t>
  </si>
  <si>
    <t>Tier 2. Intermedia dinero en Fútbol. Origen: EUA.
Asesor financiero de Liga MX en las negociaciones de 'La Comercializadora' y en la separación jurídica como AC. Banco de inversión independiente especializado en reestructuras y deals corporativos complejos.
Relevancia: El asesor financiero elegido por Liga MX define el framing metodológico para cualquier futura centralización comercial. Su presencia institucionaliza el proceso de valoración y due diligence que an...</t>
  </si>
  <si>
    <t>Tier 2. Intermedia dinero en Fútbol.
Revende: inserciones virtuales en transmisiones TV Azteca; publicidad cancha en Selección/Liga MX; paquetes patrocinio ligados a propiedades TV Azteca.
Relevancia: Gatekeeper comercial de pantallas/canchas en ecosistema FMF-TV Azteca; dos décadas de exclusividad.</t>
  </si>
  <si>
    <t>Tier 1. Intermedia dinero en Fútbol. Origen: EUA.
Comercializa Liga MX en EE.UU.; gestiona Leagues Cup y Campeones Cup; rights intermediary entre Liga MX y mercado norteamericano.
Relevancia: Intermediario histórico de Liga MX en el mercado hispano de EE.UU.</t>
  </si>
  <si>
    <t>Tier 1. Intermedia dinero en Fútbol.
Representación 360° futbolistas: contratos, transferencias, asesoría jurídica/fiscal, imagen. Opera en MX, ES, IT, CH, UY, PA, UK.
Relevancia: Market-maker del traspaso mexicano; &gt;50 jugadores MX representados; sanción FIFA ago-2025 en curso.</t>
  </si>
  <si>
    <t>Tier 1. Intermedia dinero en Fútbol.
Administración contratos, negociación traspasos Europa/MLS, representación DTs, gestión imagen.
Relevancia: Históricamente agencia #1 del fútbol mexicano; top 3 en 2026 con 27-44 jugadores Liga MX.</t>
  </si>
  <si>
    <t>Tier 2. Intermedia dinero en Multideporte.
Agencia mexicana de representación comercial de futbolistas y creadores de contenido. Fundada 2015 en CDMX por Rafael Coronel y Patrycja Giemza. Representa exclusivamente a Héctor Herrera, Edson Álvarez, Diego Reyes, Carlos Rodríguez, Nailea Vidrio, Jana Gutiérrez, Alondra González en fútbol; Paco de Miguel, Chingu Amiga, Los Chicaneros y otros ...
Relevancia: Agencia #1 de representación comercial de futbolistas mexicanos. Más de 2,500 campañas con marcas globales ejecutadas. Modelo full-service: gestión de contratos publicitarios, asesoría de imagen, m...</t>
  </si>
  <si>
    <t>V5 EVENTS &amp; EXPERIENCES</t>
  </si>
  <si>
    <t>24 actores con presencia en V5. Ordenado por Score Compuesto descendente.</t>
  </si>
  <si>
    <t>Tier 1. Activa dinero en Eventos premium.
Opera GP México F1; Experiencias+; JV OVG Hospitality F&amp;B; Estadio GNP, AHR, Palacio Deportes, Centro Citibanamex; vende Paddock Club con F1 Experiences.
Relevancia: Único gatekeeper con permiso venue federal/local, rights holder internacional y canal ticketing unificado para el evento más rentable del país.</t>
  </si>
  <si>
    <t>Tier 2. Opera venue en Multi-deporte / Entretenimiento.
Venue ex-Estadio 3 de Marzo (1971-2026), rebautizado abr-2026 con naming GNP Seguros. Operado por OCESA bajo contrato de arrendamiento de 10 años (firmado nov-2025 con UAG, propietaria del inmueble). Capacidad 30,000 (modo concierto), 18,779 (modo deportivo). Apertura formal agosto 2026. Sede de 3 partidos del Mundial 2026.
Relevancia: Venue nuevo enfocado en entretenimiento masivo en Guadalajara (mercado #2 nacional), competencia directa al Estadio BBVA en NL como referente regional. Incluye sede WC26.</t>
  </si>
  <si>
    <t>Tier 2. Controla experiencia en Fútbol. Origen: EUA.
Diseña, vende y opera la capa premium del Estadio Banorte (contrato 10 años con Ollamani, jul-2025): Tunnel Club, Super Seats, Corner Club, Locker Club, Chairman's Club, Suites.
Relevancia: Inaugura modelo NFL/NBA 'premium seating as product' en Liga MX; opera venue inaugural WC26 (11 jun). Define estándar que Liga MX emulará.</t>
  </si>
  <si>
    <t>Tier 2. Controla experiencia en Eventos premium.
Agente autorizado oficial On Location para FIFA WC26 en territorio México desde jul-2025. Compra inventario hospitality, suma aereo+hotel 5*+logística+concierge y revende a corporativos y HNWI.
Relevancia: Único canal oficial FIFA-26 hospitality en México. Once Mundiales consecutivos como agente (desde México 86).</t>
  </si>
  <si>
    <t>Sin función mapeada</t>
  </si>
  <si>
    <t>Tier 3. Controla experiencia en Eventos premium.
Agencia mexicana especializada en paquetes deportivos: Super Bowl, F1, Champions League, NBA, MLB, tenis. Combina boletos, hotel, traslados y experiencias para fan premium.
Relevancia: Única agencia mexicana verificada con portafolio multi-propiedad que incluye F1, NFL, Champions y NBA.</t>
  </si>
  <si>
    <t>Tier 3. Controla experiencia en Eventos premium. Origen: Otros.
Arma paquetes customizados para NFL International incluido NFL Mexico City Game en Estadio Banorte 2026. Combina boletos, vuelos, hotel, traslados y experiencias.
Relevancia: Uno de los pocos operadores no afiliados con línea verificada específica para NFL Mexico City Game 2026 en Banorte.</t>
  </si>
  <si>
    <t>Tier 2. Controla experiencia en Motorsport. Origen: EUA.
Vende Paddock Club, F1 Experiences Suite, Team Suites (Red Bull, Ferrari, Mercedes, Aston Martin, Alpine), Champions Club para los 24 GPs incluido GP México.
Relevancia: Único canal oficial Paddock Club y Team Suites para GP México. Mayor margen por cliente en el evento más rentable del país.</t>
  </si>
  <si>
    <t>V6 TICKETING &amp; ACCESS</t>
  </si>
  <si>
    <t>19 actores con presencia en V6. Ordenado por Score Compuesto descendente.</t>
  </si>
  <si>
    <t>Tier 1. Controla propiedad / capital en Multideporte.
Holding patrimonial de Guillermo Salinas Pliego (hermano de Ricardo Salinas pero negocios separados). Controla Zignia Venues (Arena CDMX, Arena Monterrey, Arena Guadalajara) y Superboletos.
Relevancia: Operador V7 más amplio del ecosistema MX (3 arenas multi-uso) + plataforma ticketing primaria propia (Superboletos). Concentra control de venues entretenimiento del país.</t>
  </si>
  <si>
    <t>Tier 1. Controla acceso en Fútbol.
Boletera oficial del Estadio Akron (Chivas), Estadio Universitario El Volcán (Tigres UANL) y Pachuca FC, entre otros clubes Liga MX y Liga Mexicana de Béisbol. Gestiona venta en línea, taquilla y control de acceso con QR. Opera el mercado secundario regulado para Chivas.
Relevancia: Es el contrapeso real de Ticketmaster en el fútbol mexicano fuera del eje Ollamani; al controlar Chivas y Tigres opera dos de los cuatro equipos con mayor ingreso por gate receipts del país y es bo...</t>
  </si>
  <si>
    <t>Tier 1. Controla acceso en Fútbol. Origen: Otros.
Opera como boletera oficial del Estadio Banorte desde diciembre 2025, gestionando venta digital, acceso por QR e infraestructura fintech. Cartera: Club América, Atlas FC, Club Celaya, Piratas de Campeche, WBC, Federación Mexicana de Pádel. Opera los cinco partidos del Mundial 2026 en el Estadio Banorte, incluido el partido inaugural.
Relevancia: Representa la primera fractura relevante del oligopolio Ticketmaster en el segmento deportivo de alto perfil en CDMX; capturó el inmueble más importante del país y opera la venta primaria de los ci...</t>
  </si>
  <si>
    <t>Tier 1. Controla acceso en Eventos premium. Origen: Suiza.
Venta primaria exclusiva vía FIFA.com/tickets (Visa Presale Draw, Early Ticket Draw, Random Selection Draw, Last-Minute Sales desde 1-abr-2026). Régimen dual de reventa: FIFA Resale Marketplace para residentes fuera de México; Mercado de Intercambio (sin lucro) para residentes de México. Boletos 100% digitales.
Relevancia: FIFA arrebata temporalmente la soberanía comercial de los venues a sus operadores habituales (Fanki, Boletomóvil, Ticketmaster); el único proveedor oficial de hospitalidad es On Location.</t>
  </si>
  <si>
    <t>Tier 3. Controla acceso en Multideporte. Origen: España.
Provee infraestructura SaaS de ticketing (backoffice de venue, motor de venta, integración de control de acceso) que otras boleteras white-label utilizan en México. Dos marcas mexicanas identificadas: FunTicket MX y TicketBoss MX. Opera en 13 países. (Reclasificación T-07: actor único, era duplicado V5-014 + V6-005, fusionados.)
Relevancia: Tercer pilar SaaS detrás de Boletomóvil y Fanki, pero operando en la sombra; permite a promotores, venues regionales y clubes menores montar su propia boletera sin depender de Ticketmaster.</t>
  </si>
  <si>
    <t>Tier 2. Controla acceso en Fútbol. Origen: EUA.
Opera el mercado de reventa oficial licenciado con Club Tijuana Xoloitzcuintles desde enero 2017 (primer marketplace oficial de reventa de un club Liga MX). Acepta listados para Tigres, Cruz Azul, Pumas y otros clubes Liga MX.
Relevancia: Única plataforma internacional con acuerdo oficial con un club Liga MX (Xolos, desde 2017); referencia regulatoria para el mercado secundario mexicano.</t>
  </si>
  <si>
    <t>Tier 3. Controla acceso en Multideporte. Origen: Suiza.
Listan reventa de boletos para eventos en México (Liga MX, Selección, conciertos). Operan sin representación legal formal en territorio mexicano. HelloTicket estableció recientemente representación legal en México.
Relevancia: Exhortadas por Profeco en febrero 2026; HelloTicket podría enfrentar Procedimiento por Infracción con multa bajo legislación mexicana.</t>
  </si>
  <si>
    <t>V7 INFRASTRUCTURE</t>
  </si>
  <si>
    <t>27 actores con presencia en V7. Ordenado por Score Compuesto descendente.</t>
  </si>
  <si>
    <t>Tier 2. Controla venue en Fútbol.
Aforo: 34,253. Club inquilino actual: Club América (provisional durante remodelación Banorte). Cruz Azul salió en enero 2025 rumbo a CU; Atlante salió diciembre 2024. Crisis noviembre 2024: alcaldía BJ clausuró el estadio por falta de certificaciones de seguridad. Ingresos familia Cossío 2024: ~MXN 50M por renta y comisiones.
Relevancia: Único estadio de primera división en propiedad privada familiar en CDMX; clausura noviembre 2024 evidenció fragilidad de la gobernanza privada sin estándares homologados.</t>
  </si>
  <si>
    <t>Tier 2. Controla propiedad / capital en Eventos premium.
Holding de Daniel Chávez Morán propietario de Vidanta Vallarta (sede PGA Tour MX). Co-promotor del Mexico Open con Grupo Salinas (Ricardo).
Relevancia: Único holding mexicano con propiedad de venue de golf de PGA Tour (Vidanta Vallarta) y co-promoción de evento ATP/PGA premium nacional.</t>
  </si>
  <si>
    <t>Tier 2. Controla venue en Fútbol.
Aforo 55,000-63,163 espectadores. Inaugurado 1960. Clubes inquilinos activos: Atlas FC (Liga MX) y Leones Negros (Liga de Expansión MX). Inversiones 2025: MXN 13,989,000 (cerco perimetral, taquillas, cámaras, vestidores, butacas, baños, audio). No asignado WC26 por antigüedad e infraestructura.
Relevancia: Único estadio de propiedad compartida multi-club en México; modelo de governance colectivo sin precedente en Liga MX.</t>
  </si>
  <si>
    <t>Tier 2. Controla venue en Fútbol.
Propiedad UNAM. Aforo operativo contemporáneo: ~58,445. Patrimonio UNESCO (2007), lo que impide modificaciones estructurales relevantes e inhabilita uso mundialista.
Relevancia: Segundo estadio más grande de la CDMX;</t>
  </si>
  <si>
    <t>V8 SPORTS TECH &amp; DATA</t>
  </si>
  <si>
    <t>18 actores con presencia en V8. Ordenado por Score Compuesto descendente.</t>
  </si>
  <si>
    <t>Tier 1. Controla data en Fútbol. Origen: Reino Unido.
Socio oficial exclusivo de datos, streaming e integridad de Liga MX, Liga Expansión, Copa MX y Liga MX Femenil desde nov-2020. Opera Bet Monitoring System (912 partidos temporada 2023-2024). Desde ene-2026 despliega SAOT (GeniusIQ, 28 cámaras adicionales por estadio, mesh tracking 10,000 puntos por jugador). Inversión declarada: USD 1.43M por te...
Relevancia: Concentra cuatro funciones estratégicas exclusivas (datos, streaming, integridad, SAOT/arbitraje) en un solo proveedor extranjero; Liga MX se promociona como primera liga del continente americano c...</t>
  </si>
  <si>
    <t>Tier 1. Controla data en Fútbol.
110 sistemas de cámaras automatizadas instalados en clubes Liga MX, Femenil, Expansión y Selección Nacional. Presente en todos los estadios de Liga BBVA MX y Liga BBVA Expansión MX. Alianza con Pixellot (Israel) y Spiideo (Suecia). Integró izzi para transmitir Clásico Capitalino Sub-23 con IA.
Relevancia: Actor poco visible públicamente pero estratégicamente crítico; ocupa el nicho de TRACAB en el fútbol mexicano; startup mexicana en colaboración con tech israelí/sueca.</t>
  </si>
  <si>
    <t>Tier 1. Controla data en Fútbol. Origen: EUA.
Plataforma turnkey OTT que opera AVOD, SVOD, Live, FAST, ingesta, programación de canales, dynamic ad insertion y DRM para ViX (TelevisaUnivision). Comunicado oficial octubre 2023. Es el stack real de streaming de Liga MX en TelevisaUnivision/ViX. Construido en 9 meses con ~150 ingenieros y Google Cloud bajo arquitecto Michael Cerda.
Relevancia: Es el stack OTT real de Liga MX en ViX; su elección por TelevisaUnivision sobre Deltatre (ausente en México) define la arquitectura de streaming del fútbol mexicano.</t>
  </si>
  <si>
    <t>Tier 2. Controla data en Multideporte.
Primera plataforma DFS en español para LATAM. Lanzada enero 2022. Total levantado: USD 41M en 4 rondas (Sequoia, Kaszek, Bullpen). Inversores: Pau Gasol, Iker Casillas, Kevin Durant, Travis Kelce, Odell Beckham Jr., Jay-Z, The Chainsmokers. Acuerdo oficial con FMF/Selección Nacional Mexicana + acuerdo NFL/NFLPA.
Relevancia: Primera plataforma DFS en español de LATAM con mandato FMF/Selección + NFL/NFLPA; respaldada por atletas globales de primer nivel.</t>
  </si>
  <si>
    <t>Tier 1. Controla data en Fútbol.
Clientes oficiales declarados: Liga MX, Liga de Desarrollo, Liga MX Femenil, Sub-20, Sub-17, Sub-15. 19 clubes contratan el servicio en vivo. Software oficial de Club América y Chivas. Exporta a EE.UU., Brasil, Alemania, Qatar y FAA Argentina. Socio oficial CITEC con tres herramientas IA presentadas en taller sept-2025.
Relevancia: Es la única startup mexicana sportstech con mandato Liga MX/FMF a nivel sistémico; refuta la narrativa de dependencia tecnológica total de proveedores extranjeros.</t>
  </si>
  <si>
    <t>Tier 1. Controla data en Fútbol. Origen: Reino Unido.
VAR Technology Provider oficial de FIFA para el Mundial 2026 en los 16 venues, incluidos los tres mexicanos. Provee SAOT (12 cámaras ópticas, tracking 29 puntos por jugador a 50fps) y Goal-Line Technology (14 cámaras alta velocidad por estadio). JV con FIFA: Football Technology Centre AG.
Relevancia: Es la única tecnología de officiating habilitada por FIFA en sus torneos; coexistirá temporalmente con la infraestructura Genius/Mediapro instalada en venues mexicanos para Liga MX.</t>
  </si>
  <si>
    <t>Tier 1. Controla data en Fútbol. Origen: EUA.
Stack tecnológico oficial del fútbol mexicano vía alianza 7+ años con la FMF y el CITEC. WIMU PRO (GPS wearable híbrido GPS+UWB) desplegado en 18 clubes Liga MX y selecciones. Wyscout para scouting global. Sportscode documentado en case study con Cruz Azul. Taller conjunto Hudl-CITEC en sede FMF Toluca (sept-2025).
Relevancia: Integrador de facto del performance en Liga MX; desplaza a Catapult, STATSports y Polar por mandato institucional CITEC; cualquier cambio en la relación Hudl-CITEC reverberaría en los 18 cuerpos té...</t>
  </si>
  <si>
    <t>Tier 1. Controla acceso en Fútbol. Origen: Otros.
Proveedor tecnológico exclusivo del Fan ID de la Liga MX: sistema obligatorio de verificación biométrica para ingresar a todos los estadios Liga MX desde noviembre 2022. Mandato: 35 equipos, 30+ estadios, 400+ partidos al año. Opera mediante selfie + escaneo de INE + QR personal e intransferible.
Relevancia: Controla la infraestructura de identidad del 100% del fútbol profesional mexicano; ninguna boletera puede completar el journey del fan al torniquete sin el API de Incode, creando una dependencia es...</t>
  </si>
  <si>
    <t>Tier 3. Controla experiencia en Eventos premium.
Provee infraestructura AV gran formato (pantallas LED, sistemas de sonido, producción en vivo) para Fan Zones del Mundial 2026. Mandato WC26 verificado.
Relevancia: Proveedor AV que materializa experiencia visual en Fan Zones del evento más importante de México 2026.</t>
  </si>
  <si>
    <t>Tier 1. Controla data en Eventos premium. Origen: Otros.
Provee infraestructura/hardware/AI para FIFA WC26 en los 16 venues incluidos los tres mexicanos: ThinkPad, Motorola, servidores, Football AI Pro (asistente IA generativa), avatares 3D para SAOT, Referee View con estabilización IA. Soporta a Hawk-Eye en operaciones VAR.
Relevancia: Único Official Technology Partner FIFA WC26; la combinación Lenovo+Hawk-Eye define la arquitectura tecnológica de los 13 partidos mundialistas en suelo mexicano.</t>
  </si>
  <si>
    <t>Tier 1. Controla data en Fútbol. Origen: España.
Operador histórico del VAR de Liga MX desde su debut el 19-oct-2018 (Atlas vs Veracruz). Mantiene dos centros de producción en CDMX y Monterrey con tecnología EVS y Sony. En la nueva arquitectura SAOT 2026, Mediapro conserva la operación mientras Genius Sports aporta la capa de visión por computadora.
Relevancia: 8 años de continuidad operativa VAR Liga MX; su relación con Genius Sports en el rollout SAOT 2026 lo consolida como brazo operativo de la infraestructura de arbitraje.</t>
  </si>
  <si>
    <t>Tier 1. Controla data en Fútbol. Origen: EUA.
Panduit: fibra óptica e infraestructura de red en Estadio Banorte (~1,200 antenas Wi-Fi 6). CommScope: infraestructura cableada del Estadio BBVA desde 2015 (Cat 6A GigaSpeed X10D, +25,000 m de fibra óptica en &gt;50 enlaces). Alerta: 1,200 antenas Banorte insuficientes para 87,000 asistentes simultáneos (falla reapertura 28-mar-2026).
Relevancia: Proveedores de la infraestructura de conectividad en los dos principales venues WC26 mexicanos; la falla de red en la reapertura del Banorte expone el riesgo operativo de cara al torneo.</t>
  </si>
  <si>
    <t>Tier 2. Intermedia dinero en Fútbol.
Implementa tecnología Supponor AIR para reemplazar perímetros publicitarios en transmisiones TV en tiempo real, regionalizando marcas.
Relevancia: Eje tecnológico que permite Liga MX y FMF monetizar internacionalmente vía publicidad virtual diferenciada.</t>
  </si>
  <si>
    <t>Tier 1. Controla data en Fútbol. Origen: EUA.
Implementación documentada de Salesforce Marketing Cloud en Club América (caso éxito oficial, ~6 meses, objetivos: unificar bases de datos, segmentación, automatización multicanal). Valtech desarrolló la app 'Mi Selección MX' para FMF sobre Salesforce Marketing Cloud + Service Cloud.
Relevancia: Plataforma #1 mundial CRM con cliente verificado top (Club América) y mandato FMF; domina frente a Microsoft Dynamics y HubSpot que no tienen implementaciones documentadas en Liga MX.</t>
  </si>
  <si>
    <t>Tier 2. Controla data en Fútbol. Origen: Alemania.
Implementaciones de SAP Sports One en Club América, Xolos de Tijuana y Atlas FC vía integrador local Enable; uso en análisis predictivo 'What-If' para cuerpos técnicos. NO funciona como CRM comercial en estos clubes (función cubierta por Salesforce Marketing Cloud).
Relevancia: Segundo proveedor de software institucional en Liga MX después de Salesforce; su presencia en Club América, Atlas y Xolos cubre la capa de análisis de rendimiento corporativo deportivo.</t>
  </si>
  <si>
    <t>V9 CAPITAL &amp; INVESTMENT</t>
  </si>
  <si>
    <t>22 actores con presencia en V9. Ordenado por Score Compuesto descendente.</t>
  </si>
  <si>
    <t>Tier 2. Controla propiedad / capital en Multideporte.
Adquiere y escala IP en sports/entertainment/lifestyle. JV WWE-AAA (49% Fillip / 51% WWE): adquirió marcas, derechos de autor y personajes de AAA en may-2025. Investidor en Kings League (VC feb-2026). Levantó USD 20M; inversores: DILA Capital, NAZCA, FEMSA Ventures, Axo Finans. Usa IA y content creation para ampliar TAM de activos IP.
Relevancia: Actor emergente en el mercado de IP deportiva en México: la JV WWE-AAA lo pone en el mapa de la lucha libre profesional mexicana al nivel de TKO/WWE. Su portfolio de inversores (FEMSA Ventures, NAZ...</t>
  </si>
  <si>
    <t>Tier 1. Controla propiedad / capital en Fútbol. Origen: EUA.
Adquirió 49% de Grupo Águilas (holdco Club América + Estadio Banorte) en dic-2025 a enterprise value de USD 490M. Aporta capital institucional, acceso a red global y presión hacia estándares de gobierno corporativo y fan analytics (KAGR).
Relevancia: Primera entrada de PE global de gran formato al fútbol mexicano; valida múltiplo 5-7x revenue y fija el piso de referencia para futuros deals en Liga MX. Con ~USD 118Bn AUM es el inversor externo m...</t>
  </si>
  <si>
    <t>Tier 3. Controla propiedad / capital en Fútbol. Origen: Reino Unido.
Track record deportivo: LaLiga Impulso EUR 2.0Bn por 8.25%/50 años; Ligue 1 USD 1.66Bn por 13%; MotoGP (control). No ha hecho aproximación documentada a Liga MX o activos deportivos mexicanos.
Relevancia: Su modelo de inversión en ligas europeas es el blueprint más relevante para una eventual centralización comercial de Liga MX (similar a 'La Comercializadora'). La ausencia de deals documentados lo ...</t>
  </si>
  <si>
    <t>Tier 2. Controla propiedad / capital en Eventos premium. Origen: Arabia Saudita.
USD 913Bn AUM (cierre 2024). Financia LIV Golf (USD 5.3Bn comprometidos desde 2022, pérdidas &gt;USD 1Bn 2022-2024). CEO Scott O'Neil confirmó financiamiento solo hasta 2026. LIV Golf Mexico City en Club de Golf Chapultepec (2025-2027 confirmado). Estrategia 2026-2030: reduce inversión internacional de 30% a 18-20% del portafolio.
Relevancia: El único fondo soberano con presencia de eventos en México (LIV Golf CDMX), pero sin inversión en activos deportivos mexicanos. La reducción de inversión internacional 2026-2030 hace poco probable ...</t>
  </si>
  <si>
    <t>Tier 3. Controla propiedad / capital en Multideporte. Origen: EUA.
Sin deals públicamente confirmados con Liga MX ni clubes mexicanos. Exposición global indirecta a México solo vía control de Endeavor/TKO (UEFA, F1, UFC, WWE). Privatizó Endeavor con Mubadala y familia Dell como co-inversores en mar-2025.
Relevancia: Es el PE de tech-media deportiva más relevante del mundo sin posición en México. Su track record (UFC, City Football Group indirecto, WME) lo hace el candidato más plausible para una eventual entra...</t>
  </si>
  <si>
    <t>ID Vert</t>
  </si>
  <si>
    <t>Vert. Prim.</t>
  </si>
  <si>
    <t>Las subcapacidades de Amplitud Funcional son binarias, no impresiones. Si un sponsor dice "tenemos activación 360" pero solo paga jersey, no califica activación 360. La evidencia manda sobre el comunicado oficial.</t>
  </si>
  <si>
    <t>No hay celda sin fuente. No hay decisión sin regla detrás. No hay versión sin entrada en CHANGELOG. Esto permite que el sistema sobreviva al autor: se puede persona puede entrar en 6 meses y reconstruir por qué cada decisión es como es.</t>
  </si>
  <si>
    <t>Sin Profundidad, los holdings arrasan cualquier ranking y los especialistas desaparecen. Octagon (Especialista V4) y Endeavor (Diversificado) tienen Score Compuesto similar porque ambos perfiles son relevantes para el cliente. El doble eje es la decisión metodológica más fundamental del scoring.</t>
  </si>
  <si>
    <t>Renovó con FMF hasta 2034 (10 años, USD 290M  el deal de kit más grande de la historia del fútbol mexicano). Reemplazó a Nike en Club América en jul-2025. Kit de Tigres UANL. DG México: Jorge Dionne.</t>
  </si>
  <si>
    <t>Provedor Servicios Digitales OTT Tunrkey  de ViX (Liga MX streaming) · Construido en 9 meses con ~150 ingenieros</t>
  </si>
  <si>
    <t xml:space="preserve">Flag / Fuentes </t>
  </si>
  <si>
    <t>https://www.akta.tech/customers/univision-televisa-vix/</t>
  </si>
  <si>
    <t>MONTO USD 290M no verificado en fuentes primarias (FMF/Adidas/SBJ/Sportico no reportaron cifra oficial). https://www.marketingregistrado.com/futbol/2024/mexico-adidas-renovaron-alianza-diez-anos-42793/</t>
  </si>
  <si>
    <t>https://www.aboutamazon.mx/noticias/noticias-de-la-compania/amazon-mexico-patrocinador-seleccion-nacional</t>
  </si>
  <si>
    <t>https://www.aboutamazon.mx/noticias/entretenimiento/amazon-prime-chivas-guadalajara</t>
  </si>
  <si>
    <t xml:space="preserve">Segunda plataforma de streaming mas grande en el mundo. </t>
  </si>
  <si>
    <t>Adquirió control mayoritario del Atlético de Madrid (cerrado nov-2025, valoración EUR 2.5Bn / ~USD 2.89Bn). El Atlético de Madrid controla 51% del Atlético de San Luis (Liga MX). Exposición indirecta a Liga MX. tambien hubo un proyecto fallido con Liga MX</t>
  </si>
  <si>
    <t>Stremer De Apple</t>
  </si>
  <si>
    <t>https://www.atleticodemadrid.com/noticias/el-atletico-de-madrid-incorporara-a-apollo-sports-capital-como-accionista-mayoritario</t>
  </si>
  <si>
    <t xml:space="preserve">2 propiedades absorbidas. Atlético San Luis: control mayoritario [v1.00.29: CEO Al Tylis (personalmente co-chairman Club Necaxa A-021 vía family office, NO directamente Apollo). Apollo planea $6B blitz sports 2026. </t>
  </si>
  <si>
    <t>https://mexico.as.com/futbol/futbol-mexicano/leagues-cup-transmitira-a-traves-de-apple-tv-en-mexico-n/</t>
  </si>
  <si>
    <t>Title sponsor Liga BBVA MX (varonil+femenil+Expansión) desde 2016; naming Estadio BBVA hasta 2030; doble renovación jul-2025</t>
  </si>
  <si>
    <t>Clusters de poder</t>
  </si>
  <si>
    <t>Ningún slide, gráfico, hoja o ficha se construye "porque queda bien". Cada elemento del workbook tiene un sentido y valor agreagado.</t>
  </si>
  <si>
    <t>El campo Certeza distingue Verificado (2+ fuentes), Fuente única (pendiente cross-check) y Desactivado. Una afirmación  no sustituye verificación. Si no podemos contrastar, lo decimos: "Fuente única".</t>
  </si>
  <si>
    <t>si</t>
  </si>
  <si>
    <t>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</si>
</sst>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yyyy\-mm\-dd"/>
    <numFmt numFmtId="167" formatCode="yyyy\-mm\-dd\ h:mm:ss"/>
    <numFmt numFmtId="168" formatCode="0.0000"/>
  </numFmts>
  <fonts count="79" x14ac:knownFonts="1">
    <font>
      <sz val="11"/>
      <color theme="1"/>
      <name val="Calibri"/>
      <family val="2"/>
      <charset val="1"/>
    </font>
    <font>
      <sz val="10"/>
      <name val="Arial"/>
      <family val="2"/>
    </font>
    <font>
      <b/>
      <sz val="22"/>
      <color rgb="FF1F2A44"/>
      <name val="Calibri"/>
      <family val="2"/>
    </font>
    <font>
      <b/>
      <sz val="14"/>
      <color rgb="FF2E75B6"/>
      <name val="Calibri"/>
      <family val="2"/>
    </font>
    <font>
      <i/>
      <sz val="10"/>
      <color rgb="FF6B7280"/>
      <name val="Calibri"/>
      <family val="2"/>
    </font>
    <font>
      <sz val="9"/>
      <color rgb="FF6B7280"/>
      <name val="Calibri"/>
      <family val="2"/>
    </font>
    <font>
      <b/>
      <sz val="13"/>
      <color rgb="FF1F2A44"/>
      <name val="Calibri"/>
      <family val="2"/>
    </font>
    <font>
      <b/>
      <sz val="8"/>
      <color rgb="FF6B7280"/>
      <name val="Calibri"/>
      <family val="2"/>
    </font>
    <font>
      <i/>
      <sz val="9"/>
      <color rgb="FF9CA3AF"/>
      <name val="Calibri"/>
      <family val="2"/>
    </font>
    <font>
      <i/>
      <sz val="9"/>
      <color rgb="FF6B7280"/>
      <name val="Calibri"/>
      <family val="2"/>
    </font>
    <font>
      <b/>
      <sz val="10"/>
      <color rgb="FF1F2937"/>
      <name val="Calibri"/>
      <family val="2"/>
    </font>
    <font>
      <b/>
      <u/>
      <sz val="11"/>
      <color rgb="FF2E75B6"/>
      <name val="Calibri"/>
      <family val="2"/>
    </font>
    <font>
      <b/>
      <sz val="14"/>
      <color rgb="FF8B5CF6"/>
      <name val="Calibri"/>
      <family val="2"/>
    </font>
    <font>
      <b/>
      <sz val="14"/>
      <color rgb="FF10B981"/>
      <name val="Calibri"/>
      <family val="2"/>
    </font>
    <font>
      <b/>
      <sz val="14"/>
      <color rgb="FFF59E0B"/>
      <name val="Calibri"/>
      <family val="2"/>
    </font>
    <font>
      <b/>
      <sz val="14"/>
      <color rgb="FFEF4444"/>
      <name val="Calibri"/>
      <family val="2"/>
    </font>
    <font>
      <b/>
      <sz val="14"/>
      <color rgb="FF06B6D4"/>
      <name val="Calibri"/>
      <family val="2"/>
    </font>
    <font>
      <b/>
      <sz val="14"/>
      <color rgb="FFEC4899"/>
      <name val="Calibri"/>
      <family val="2"/>
    </font>
    <font>
      <b/>
      <sz val="14"/>
      <color rgb="FF6366F1"/>
      <name val="Calibri"/>
      <family val="2"/>
    </font>
    <font>
      <b/>
      <sz val="14"/>
      <color rgb="FF84CC16"/>
      <name val="Calibri"/>
      <family val="2"/>
    </font>
    <font>
      <b/>
      <sz val="9"/>
      <color rgb="FFFFFFFF"/>
      <name val="Calibri"/>
      <family val="2"/>
    </font>
    <font>
      <b/>
      <sz val="10"/>
      <color rgb="FF6B7280"/>
      <name val="Calibri"/>
      <family val="2"/>
    </font>
    <font>
      <b/>
      <u/>
      <sz val="10"/>
      <color rgb="FF2E75B6"/>
      <name val="Calibri"/>
      <family val="2"/>
    </font>
    <font>
      <b/>
      <sz val="9"/>
      <color rgb="FF6B7280"/>
      <name val="Calibri"/>
      <family val="2"/>
    </font>
    <font>
      <b/>
      <sz val="9"/>
      <color rgb="FF84CC16"/>
      <name val="Calibri"/>
      <family val="2"/>
    </font>
    <font>
      <sz val="9"/>
      <color rgb="FF1F2937"/>
      <name val="Calibri"/>
      <family val="2"/>
    </font>
    <font>
      <b/>
      <sz val="11"/>
      <color rgb="FF2E75B6"/>
      <name val="Calibri"/>
      <family val="2"/>
    </font>
    <font>
      <b/>
      <sz val="9"/>
      <color rgb="FFEF4444"/>
      <name val="Calibri"/>
      <family val="2"/>
    </font>
    <font>
      <b/>
      <sz val="9"/>
      <color rgb="FF2E75B6"/>
      <name val="Calibri"/>
      <family val="2"/>
    </font>
    <font>
      <b/>
      <sz val="9"/>
      <color rgb="FFF59E0B"/>
      <name val="Calibri"/>
      <family val="2"/>
    </font>
    <font>
      <i/>
      <u/>
      <sz val="9"/>
      <color rgb="FF2E75B6"/>
      <name val="Calibri"/>
      <family val="2"/>
    </font>
    <font>
      <u/>
      <sz val="10"/>
      <color rgb="FF2E75B6"/>
      <name val="Calibri"/>
      <family val="2"/>
    </font>
    <font>
      <sz val="10"/>
      <color rgb="FF1F2937"/>
      <name val="Calibri"/>
      <family val="2"/>
    </font>
    <font>
      <b/>
      <sz val="11"/>
      <color rgb="FFFFFFFF"/>
      <name val="Calibri"/>
      <family val="2"/>
    </font>
    <font>
      <b/>
      <sz val="26"/>
      <color rgb="FF1F2A44"/>
      <name val="Calibri"/>
      <family val="2"/>
    </font>
    <font>
      <i/>
      <sz val="11"/>
      <color rgb="FF6B7280"/>
      <name val="Calibri"/>
      <family val="2"/>
    </font>
    <font>
      <b/>
      <sz val="42"/>
      <color rgb="FF2E75B6"/>
      <name val="Calibri"/>
      <family val="2"/>
    </font>
    <font>
      <b/>
      <sz val="16"/>
      <color rgb="FF1F2A44"/>
      <name val="Calibri"/>
      <family val="2"/>
    </font>
    <font>
      <i/>
      <sz val="13"/>
      <color rgb="FF2E75B6"/>
      <name val="Calibri"/>
      <family val="2"/>
    </font>
    <font>
      <sz val="11"/>
      <color rgb="FF1F2937"/>
      <name val="Calibri"/>
      <family val="2"/>
    </font>
    <font>
      <b/>
      <sz val="11"/>
      <color rgb="FFFFFFFF"/>
      <name val="Arial"/>
      <family val="2"/>
      <charset val="1"/>
    </font>
    <font>
      <b/>
      <sz val="14"/>
      <color rgb="FFFFFFFF"/>
      <name val="Arial"/>
      <family val="2"/>
      <charset val="1"/>
    </font>
    <font>
      <i/>
      <sz val="9"/>
      <color rgb="FFFFFFFF"/>
      <name val="Arial"/>
      <family val="2"/>
      <charset val="1"/>
    </font>
    <font>
      <sz val="9"/>
      <color rgb="FF6B7280"/>
      <name val="Arial"/>
      <family val="2"/>
      <charset val="1"/>
    </font>
    <font>
      <b/>
      <sz val="10"/>
      <color rgb="FFFFFFFF"/>
      <name val="Arial"/>
      <family val="2"/>
      <charset val="1"/>
    </font>
    <font>
      <i/>
      <sz val="9"/>
      <color rgb="FF6B7280"/>
      <name val="Arial"/>
      <family val="2"/>
      <charset val="1"/>
    </font>
    <font>
      <b/>
      <sz val="10"/>
      <color rgb="FF1F2937"/>
      <name val="Arial"/>
      <family val="2"/>
      <charset val="1"/>
    </font>
    <font>
      <sz val="10"/>
      <name val="Arial"/>
      <family val="2"/>
      <charset val="1"/>
    </font>
    <font>
      <i/>
      <sz val="10"/>
      <color rgb="FF6B7280"/>
      <name val="Arial"/>
      <family val="2"/>
      <charset val="1"/>
    </font>
    <font>
      <b/>
      <sz val="10"/>
      <color rgb="FF1E40AF"/>
      <name val="Arial"/>
      <family val="2"/>
      <charset val="1"/>
    </font>
    <font>
      <b/>
      <sz val="10"/>
      <color rgb="FF4338CA"/>
      <name val="Arial"/>
      <family val="2"/>
      <charset val="1"/>
    </font>
    <font>
      <b/>
      <sz val="10"/>
      <color rgb="FFC2410C"/>
      <name val="Arial"/>
      <family val="2"/>
      <charset val="1"/>
    </font>
    <font>
      <b/>
      <sz val="10"/>
      <color rgb="FF7E22CE"/>
      <name val="Arial"/>
      <family val="2"/>
      <charset val="1"/>
    </font>
    <font>
      <b/>
      <sz val="10"/>
      <color rgb="FFB45309"/>
      <name val="Arial"/>
      <family val="2"/>
      <charset val="1"/>
    </font>
    <font>
      <b/>
      <sz val="10"/>
      <color rgb="FFBE185D"/>
      <name val="Arial"/>
      <family val="2"/>
      <charset val="1"/>
    </font>
    <font>
      <b/>
      <sz val="10"/>
      <color rgb="FF0F766E"/>
      <name val="Arial"/>
      <family val="2"/>
      <charset val="1"/>
    </font>
    <font>
      <b/>
      <sz val="10"/>
      <color rgb="FF0E7490"/>
      <name val="Arial"/>
      <family val="2"/>
      <charset val="1"/>
    </font>
    <font>
      <b/>
      <sz val="10"/>
      <color rgb="FF92400E"/>
      <name val="Arial"/>
      <family val="2"/>
      <charset val="1"/>
    </font>
    <font>
      <sz val="9"/>
      <color rgb="FF1E40AF"/>
      <name val="Arial"/>
      <family val="2"/>
      <charset val="1"/>
    </font>
    <font>
      <sz val="9"/>
      <color rgb="FF4338CA"/>
      <name val="Arial"/>
      <family val="2"/>
      <charset val="1"/>
    </font>
    <font>
      <sz val="9"/>
      <color rgb="FFC2410C"/>
      <name val="Arial"/>
      <family val="2"/>
      <charset val="1"/>
    </font>
    <font>
      <sz val="9"/>
      <color rgb="FF7E22CE"/>
      <name val="Arial"/>
      <family val="2"/>
      <charset val="1"/>
    </font>
    <font>
      <sz val="9"/>
      <color rgb="FFB45309"/>
      <name val="Arial"/>
      <family val="2"/>
      <charset val="1"/>
    </font>
    <font>
      <sz val="9"/>
      <color rgb="FFBE185D"/>
      <name val="Arial"/>
      <family val="2"/>
      <charset val="1"/>
    </font>
    <font>
      <sz val="9"/>
      <color rgb="FF0F766E"/>
      <name val="Arial"/>
      <family val="2"/>
      <charset val="1"/>
    </font>
    <font>
      <sz val="9"/>
      <color rgb="FF0E7490"/>
      <name val="Arial"/>
      <family val="2"/>
      <charset val="1"/>
    </font>
    <font>
      <sz val="9"/>
      <color rgb="FF92400E"/>
      <name val="Arial"/>
      <family val="2"/>
      <charset val="1"/>
    </font>
    <font>
      <b/>
      <sz val="12"/>
      <color rgb="FFFFFFFF"/>
      <name val="Arial"/>
      <family val="2"/>
      <charset val="1"/>
    </font>
    <font>
      <b/>
      <sz val="10"/>
      <color rgb="FF1F2A44"/>
      <name val="Calibri"/>
      <family val="2"/>
    </font>
    <font>
      <sz val="11"/>
      <name val="Calibri"/>
      <family val="2"/>
    </font>
    <font>
      <i/>
      <sz val="10"/>
      <color rgb="FF2E75B6"/>
      <name val="Calibri"/>
      <family val="2"/>
    </font>
    <font>
      <sz val="10"/>
      <color rgb="FF000000"/>
      <name val="Arial"/>
      <family val="2"/>
      <charset val="1"/>
    </font>
    <font>
      <b/>
      <sz val="10"/>
      <name val="Arial"/>
      <family val="2"/>
      <charset val="1"/>
    </font>
    <font>
      <b/>
      <sz val="18"/>
      <color rgb="FF1F2A44"/>
      <name val="Calibri"/>
      <family val="2"/>
    </font>
    <font>
      <sz val="10"/>
      <color rgb="FF6B7280"/>
      <name val="Calibri"/>
      <family val="2"/>
    </font>
    <font>
      <sz val="10"/>
      <name val="Calibri"/>
      <family val="2"/>
    </font>
    <font>
      <b/>
      <sz val="10"/>
      <name val="Calibri"/>
      <family val="2"/>
    </font>
    <font>
      <u/>
      <sz val="11"/>
      <color theme="10"/>
      <name val="Calibri"/>
      <family val="2"/>
      <charset val="1"/>
    </font>
    <font>
      <b/>
      <sz val="11"/>
      <color theme="1"/>
      <name val="Arial"/>
      <family val="2"/>
      <charset val="1"/>
    </font>
  </fonts>
  <fills count="29">
    <fill>
      <patternFill patternType="none"/>
    </fill>
    <fill>
      <patternFill patternType="gray125"/>
    </fill>
    <fill>
      <patternFill patternType="solid">
        <fgColor rgb="FF2E75B6"/>
        <bgColor rgb="FF0E7490"/>
      </patternFill>
    </fill>
    <fill>
      <patternFill patternType="solid">
        <fgColor rgb="FFFFFFFF"/>
        <bgColor rgb="FFF9FAFB"/>
      </patternFill>
    </fill>
    <fill>
      <patternFill patternType="solid">
        <fgColor rgb="FFF8FAFC"/>
        <bgColor rgb="FFF9FAFB"/>
      </patternFill>
    </fill>
    <fill>
      <patternFill patternType="solid">
        <fgColor rgb="FF1F2A44"/>
        <bgColor rgb="FF1F2937"/>
      </patternFill>
    </fill>
    <fill>
      <patternFill patternType="solid">
        <fgColor rgb="FFFFF7E6"/>
        <bgColor rgb="FFF9FAFB"/>
      </patternFill>
    </fill>
    <fill>
      <patternFill patternType="solid">
        <fgColor rgb="FF1F2937"/>
        <bgColor rgb="FF1F2A44"/>
      </patternFill>
    </fill>
    <fill>
      <patternFill patternType="solid">
        <fgColor rgb="FF4F46E5"/>
        <bgColor rgb="FF4338CA"/>
      </patternFill>
    </fill>
    <fill>
      <patternFill patternType="solid">
        <fgColor rgb="FFF9FAFB"/>
        <bgColor rgb="FFF8FAFC"/>
      </patternFill>
    </fill>
    <fill>
      <patternFill patternType="solid">
        <fgColor rgb="FF1E40AF"/>
        <bgColor rgb="FF4338CA"/>
      </patternFill>
    </fill>
    <fill>
      <patternFill patternType="solid">
        <fgColor rgb="FF4338CA"/>
        <bgColor rgb="FF4F46E5"/>
      </patternFill>
    </fill>
    <fill>
      <patternFill patternType="solid">
        <fgColor rgb="FFC2410C"/>
        <bgColor rgb="FFB45309"/>
      </patternFill>
    </fill>
    <fill>
      <patternFill patternType="solid">
        <fgColor rgb="FF7E22CE"/>
        <bgColor rgb="FF4338CA"/>
      </patternFill>
    </fill>
    <fill>
      <patternFill patternType="solid">
        <fgColor rgb="FFB45309"/>
        <bgColor rgb="FFC2410C"/>
      </patternFill>
    </fill>
    <fill>
      <patternFill patternType="solid">
        <fgColor rgb="FFBE185D"/>
        <bgColor rgb="FF800080"/>
      </patternFill>
    </fill>
    <fill>
      <patternFill patternType="solid">
        <fgColor rgb="FF0F766E"/>
        <bgColor rgb="FF0E7490"/>
      </patternFill>
    </fill>
    <fill>
      <patternFill patternType="solid">
        <fgColor rgb="FF0E7490"/>
        <bgColor rgb="FF0F766E"/>
      </patternFill>
    </fill>
    <fill>
      <patternFill patternType="solid">
        <fgColor rgb="FF92400E"/>
        <bgColor rgb="FFB45309"/>
      </patternFill>
    </fill>
    <fill>
      <patternFill patternType="solid">
        <fgColor rgb="FFDBEAFE"/>
        <bgColor rgb="FFE0E7FF"/>
      </patternFill>
    </fill>
    <fill>
      <patternFill patternType="solid">
        <fgColor rgb="FFE0E7FF"/>
        <bgColor rgb="FFDBEAFE"/>
      </patternFill>
    </fill>
    <fill>
      <patternFill patternType="solid">
        <fgColor rgb="FFFED7AA"/>
        <bgColor rgb="FFFEF3C7"/>
      </patternFill>
    </fill>
    <fill>
      <patternFill patternType="solid">
        <fgColor rgb="FFF3E8FF"/>
        <bgColor rgb="FFFCE7F3"/>
      </patternFill>
    </fill>
    <fill>
      <patternFill patternType="solid">
        <fgColor rgb="FFFEF3C7"/>
        <bgColor rgb="FFFFF7E6"/>
      </patternFill>
    </fill>
    <fill>
      <patternFill patternType="solid">
        <fgColor rgb="FFFCE7F3"/>
        <bgColor rgb="FFF3E8FF"/>
      </patternFill>
    </fill>
    <fill>
      <patternFill patternType="solid">
        <fgColor rgb="FFCCFBF1"/>
        <bgColor rgb="FFCFFAFE"/>
      </patternFill>
    </fill>
    <fill>
      <patternFill patternType="solid">
        <fgColor rgb="FFCFFAFE"/>
        <bgColor rgb="FFCCFBF1"/>
      </patternFill>
    </fill>
    <fill>
      <patternFill patternType="solid">
        <fgColor rgb="FFDCFCE7"/>
        <bgColor rgb="FFCCFBF1"/>
      </patternFill>
    </fill>
    <fill>
      <patternFill patternType="solid">
        <fgColor rgb="FFF3F4F6"/>
        <bgColor rgb="FFF8FAFC"/>
      </patternFill>
    </fill>
  </fills>
  <borders count="13">
    <border>
      <left/>
      <right/>
      <top/>
      <bottom/>
      <diagonal/>
    </border>
    <border>
      <left/>
      <right/>
      <top/>
      <bottom style="thin">
        <color rgb="FFE5E7EB"/>
      </bottom>
      <diagonal/>
    </border>
    <border>
      <left style="medium">
        <color rgb="FF2E75B6"/>
      </left>
      <right/>
      <top/>
      <bottom/>
      <diagonal/>
    </border>
    <border>
      <left style="medium">
        <color rgb="FF8B5CF6"/>
      </left>
      <right/>
      <top/>
      <bottom/>
      <diagonal/>
    </border>
    <border>
      <left style="medium">
        <color rgb="FF10B981"/>
      </left>
      <right/>
      <top/>
      <bottom/>
      <diagonal/>
    </border>
    <border>
      <left style="medium">
        <color rgb="FFF59E0B"/>
      </left>
      <right/>
      <top/>
      <bottom/>
      <diagonal/>
    </border>
    <border>
      <left style="medium">
        <color rgb="FFEF4444"/>
      </left>
      <right/>
      <top/>
      <bottom/>
      <diagonal/>
    </border>
    <border>
      <left style="medium">
        <color rgb="FF06B6D4"/>
      </left>
      <right/>
      <top/>
      <bottom/>
      <diagonal/>
    </border>
    <border>
      <left style="medium">
        <color rgb="FFEC4899"/>
      </left>
      <right/>
      <top/>
      <bottom/>
      <diagonal/>
    </border>
    <border>
      <left style="medium">
        <color rgb="FF6366F1"/>
      </left>
      <right/>
      <top/>
      <bottom/>
      <diagonal/>
    </border>
    <border>
      <left style="medium">
        <color rgb="FF84CC16"/>
      </left>
      <right/>
      <top/>
      <bottom/>
      <diagonal/>
    </border>
    <border>
      <left/>
      <right/>
      <top/>
      <bottom style="thin">
        <color rgb="FFD1D5DB"/>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77" fillId="0" borderId="0" applyNumberFormat="0" applyFill="0" applyBorder="0" applyAlignment="0" applyProtection="0"/>
  </cellStyleXfs>
  <cellXfs count="228">
    <xf numFmtId="0" fontId="0" fillId="0" borderId="0" xfId="0"/>
    <xf numFmtId="0" fontId="0" fillId="2" borderId="0" xfId="0" applyFill="1"/>
    <xf numFmtId="0" fontId="0" fillId="3" borderId="1" xfId="0" applyFill="1" applyBorder="1"/>
    <xf numFmtId="0" fontId="0" fillId="3" borderId="0" xfId="0" applyFill="1"/>
    <xf numFmtId="0" fontId="3" fillId="4" borderId="2" xfId="0" applyFont="1" applyFill="1" applyBorder="1" applyAlignment="1">
      <alignment horizontal="left" vertical="center" indent="1"/>
    </xf>
    <xf numFmtId="0" fontId="11" fillId="4" borderId="0" xfId="0" applyFont="1" applyFill="1" applyAlignment="1">
      <alignment horizontal="right" vertical="center" indent="1"/>
    </xf>
    <xf numFmtId="0" fontId="12" fillId="4" borderId="3" xfId="0" applyFont="1" applyFill="1" applyBorder="1" applyAlignment="1">
      <alignment horizontal="left" vertical="center" indent="1"/>
    </xf>
    <xf numFmtId="0" fontId="13" fillId="4" borderId="4" xfId="0" applyFont="1" applyFill="1" applyBorder="1" applyAlignment="1">
      <alignment horizontal="left" vertical="center" indent="1"/>
    </xf>
    <xf numFmtId="0" fontId="14" fillId="4" borderId="5" xfId="0" applyFont="1" applyFill="1" applyBorder="1" applyAlignment="1">
      <alignment horizontal="left" vertical="center" indent="1"/>
    </xf>
    <xf numFmtId="0" fontId="15" fillId="4" borderId="6" xfId="0" applyFont="1" applyFill="1" applyBorder="1" applyAlignment="1">
      <alignment horizontal="left" vertical="center" indent="1"/>
    </xf>
    <xf numFmtId="0" fontId="16" fillId="4" borderId="7" xfId="0" applyFont="1" applyFill="1" applyBorder="1" applyAlignment="1">
      <alignment horizontal="left" vertical="center" indent="1"/>
    </xf>
    <xf numFmtId="0" fontId="17" fillId="4" borderId="8" xfId="0" applyFont="1" applyFill="1" applyBorder="1" applyAlignment="1">
      <alignment horizontal="left" vertical="center" indent="1"/>
    </xf>
    <xf numFmtId="0" fontId="18" fillId="4" borderId="9" xfId="0" applyFont="1" applyFill="1" applyBorder="1" applyAlignment="1">
      <alignment horizontal="left" vertical="center" indent="1"/>
    </xf>
    <xf numFmtId="0" fontId="19" fillId="4" borderId="10" xfId="0" applyFont="1" applyFill="1" applyBorder="1" applyAlignment="1">
      <alignment horizontal="left" vertical="center" indent="1"/>
    </xf>
    <xf numFmtId="0" fontId="20" fillId="5" borderId="0" xfId="0" applyFont="1" applyFill="1" applyAlignment="1">
      <alignment horizontal="center" vertical="center"/>
    </xf>
    <xf numFmtId="0" fontId="20" fillId="5" borderId="0" xfId="0" applyFont="1" applyFill="1" applyAlignment="1">
      <alignment horizontal="right" vertical="center"/>
    </xf>
    <xf numFmtId="0" fontId="21" fillId="6" borderId="0" xfId="0" applyFont="1" applyFill="1" applyAlignment="1">
      <alignment horizontal="center" vertical="center"/>
    </xf>
    <xf numFmtId="0" fontId="23" fillId="6" borderId="0" xfId="0" applyFont="1" applyFill="1" applyAlignment="1">
      <alignment horizontal="center" vertical="center"/>
    </xf>
    <xf numFmtId="0" fontId="24" fillId="6" borderId="0" xfId="0" applyFont="1" applyFill="1" applyAlignment="1">
      <alignment horizontal="center" vertical="center"/>
    </xf>
    <xf numFmtId="2" fontId="25" fillId="6" borderId="0" xfId="0" applyNumberFormat="1" applyFont="1" applyFill="1" applyAlignment="1">
      <alignment horizontal="right" vertical="center"/>
    </xf>
    <xf numFmtId="164" fontId="26" fillId="6" borderId="0" xfId="0" applyNumberFormat="1" applyFont="1" applyFill="1" applyAlignment="1">
      <alignment horizontal="right" vertical="center"/>
    </xf>
    <xf numFmtId="0" fontId="27" fillId="6" borderId="0" xfId="0" applyFont="1" applyFill="1" applyAlignment="1">
      <alignment horizontal="center" vertical="center"/>
    </xf>
    <xf numFmtId="0" fontId="28" fillId="6" borderId="0" xfId="0" applyFont="1" applyFill="1" applyAlignment="1">
      <alignment horizontal="center" vertical="center"/>
    </xf>
    <xf numFmtId="0" fontId="21" fillId="3" borderId="0" xfId="0" applyFont="1" applyFill="1" applyAlignment="1">
      <alignment horizontal="center" vertical="center"/>
    </xf>
    <xf numFmtId="0" fontId="23" fillId="3" borderId="0" xfId="0" applyFont="1" applyFill="1" applyAlignment="1">
      <alignment horizontal="center" vertical="center"/>
    </xf>
    <xf numFmtId="0" fontId="29" fillId="3" borderId="0" xfId="0" applyFont="1" applyFill="1" applyAlignment="1">
      <alignment horizontal="center" vertical="center"/>
    </xf>
    <xf numFmtId="2" fontId="25" fillId="3" borderId="0" xfId="0" applyNumberFormat="1" applyFont="1" applyFill="1" applyAlignment="1">
      <alignment horizontal="right" vertical="center"/>
    </xf>
    <xf numFmtId="164" fontId="26" fillId="3" borderId="0" xfId="0" applyNumberFormat="1" applyFont="1" applyFill="1" applyAlignment="1">
      <alignment horizontal="right" vertical="center"/>
    </xf>
    <xf numFmtId="0" fontId="28" fillId="3" borderId="0" xfId="0" applyFont="1" applyFill="1" applyAlignment="1">
      <alignment horizontal="center" vertical="center"/>
    </xf>
    <xf numFmtId="0" fontId="21" fillId="4" borderId="0" xfId="0" applyFont="1" applyFill="1" applyAlignment="1">
      <alignment horizontal="center" vertical="center"/>
    </xf>
    <xf numFmtId="0" fontId="23" fillId="4" borderId="0" xfId="0" applyFont="1" applyFill="1" applyAlignment="1">
      <alignment horizontal="center" vertical="center"/>
    </xf>
    <xf numFmtId="0" fontId="28" fillId="4" borderId="0" xfId="0" applyFont="1" applyFill="1" applyAlignment="1">
      <alignment horizontal="center" vertical="center"/>
    </xf>
    <xf numFmtId="2" fontId="25" fillId="4" borderId="0" xfId="0" applyNumberFormat="1" applyFont="1" applyFill="1" applyAlignment="1">
      <alignment horizontal="right" vertical="center"/>
    </xf>
    <xf numFmtId="164" fontId="26" fillId="4" borderId="0" xfId="0" applyNumberFormat="1" applyFont="1" applyFill="1" applyAlignment="1">
      <alignment horizontal="right" vertical="center"/>
    </xf>
    <xf numFmtId="0" fontId="27" fillId="4" borderId="0" xfId="0" applyFont="1" applyFill="1" applyAlignment="1">
      <alignment horizontal="center" vertical="center"/>
    </xf>
    <xf numFmtId="0" fontId="29" fillId="6" borderId="0" xfId="0" applyFont="1" applyFill="1" applyAlignment="1">
      <alignment horizontal="center" vertical="center"/>
    </xf>
    <xf numFmtId="0" fontId="21" fillId="6" borderId="11" xfId="0" applyFont="1" applyFill="1" applyBorder="1" applyAlignment="1">
      <alignment horizontal="center" vertical="center"/>
    </xf>
    <xf numFmtId="0" fontId="23" fillId="6" borderId="11" xfId="0" applyFont="1" applyFill="1" applyBorder="1" applyAlignment="1">
      <alignment horizontal="center" vertical="center"/>
    </xf>
    <xf numFmtId="0" fontId="24" fillId="6" borderId="11" xfId="0" applyFont="1" applyFill="1" applyBorder="1" applyAlignment="1">
      <alignment horizontal="center" vertical="center"/>
    </xf>
    <xf numFmtId="2" fontId="25" fillId="6" borderId="11" xfId="0" applyNumberFormat="1" applyFont="1" applyFill="1" applyBorder="1" applyAlignment="1">
      <alignment horizontal="right" vertical="center"/>
    </xf>
    <xf numFmtId="164" fontId="26" fillId="6" borderId="11" xfId="0" applyNumberFormat="1" applyFont="1" applyFill="1" applyBorder="1" applyAlignment="1">
      <alignment horizontal="right" vertical="center"/>
    </xf>
    <xf numFmtId="0" fontId="36" fillId="3" borderId="0" xfId="0" applyFont="1" applyFill="1" applyAlignment="1">
      <alignment horizontal="left" vertical="center" indent="1"/>
    </xf>
    <xf numFmtId="0" fontId="9" fillId="3" borderId="0" xfId="0" applyFont="1" applyFill="1" applyAlignment="1">
      <alignment horizontal="right" vertical="center" indent="1"/>
    </xf>
    <xf numFmtId="0" fontId="40" fillId="7" borderId="0" xfId="0" applyFont="1" applyFill="1" applyAlignment="1">
      <alignment horizontal="left" vertical="center" indent="1"/>
    </xf>
    <xf numFmtId="0" fontId="41" fillId="7" borderId="0" xfId="0" applyFont="1" applyFill="1" applyAlignment="1">
      <alignment horizontal="center" vertical="center"/>
    </xf>
    <xf numFmtId="0" fontId="42" fillId="8" borderId="0" xfId="0" applyFont="1" applyFill="1" applyAlignment="1">
      <alignment horizontal="left" vertical="center" indent="1"/>
    </xf>
    <xf numFmtId="0" fontId="42" fillId="8" borderId="0" xfId="0" applyFont="1" applyFill="1" applyAlignment="1">
      <alignment horizontal="center" vertical="center"/>
    </xf>
    <xf numFmtId="0" fontId="44" fillId="7" borderId="12" xfId="0" applyFont="1" applyFill="1" applyBorder="1" applyAlignment="1">
      <alignment horizontal="center" vertical="center" wrapText="1"/>
    </xf>
    <xf numFmtId="0" fontId="46" fillId="0" borderId="12" xfId="0" applyFont="1" applyBorder="1" applyAlignment="1">
      <alignment horizontal="center" vertical="top"/>
    </xf>
    <xf numFmtId="0" fontId="47" fillId="0" borderId="12" xfId="0" applyFont="1" applyBorder="1" applyAlignment="1">
      <alignment vertical="top" wrapText="1"/>
    </xf>
    <xf numFmtId="0" fontId="47" fillId="0" borderId="12" xfId="0" applyFont="1" applyBorder="1" applyAlignment="1">
      <alignment horizontal="center" vertical="top"/>
    </xf>
    <xf numFmtId="0" fontId="48" fillId="0" borderId="0" xfId="0" applyFont="1" applyAlignment="1">
      <alignment horizontal="center"/>
    </xf>
    <xf numFmtId="0" fontId="47" fillId="0" borderId="0" xfId="0" applyFont="1"/>
    <xf numFmtId="0" fontId="48" fillId="9" borderId="0" xfId="0" applyFont="1" applyFill="1"/>
    <xf numFmtId="0" fontId="48" fillId="9" borderId="0" xfId="0" applyFont="1" applyFill="1" applyAlignment="1">
      <alignment horizontal="center"/>
    </xf>
    <xf numFmtId="0" fontId="0" fillId="0" borderId="0" xfId="0" applyAlignment="1">
      <alignment horizontal="center" vertical="top" wrapText="1"/>
    </xf>
    <xf numFmtId="0" fontId="48" fillId="9" borderId="0" xfId="0" applyFont="1" applyFill="1" applyAlignment="1">
      <alignment horizontal="left" vertical="top" wrapText="1"/>
    </xf>
    <xf numFmtId="0" fontId="48" fillId="9" borderId="0" xfId="0" applyFont="1" applyFill="1" applyAlignment="1">
      <alignment horizontal="center" vertical="top" wrapText="1"/>
    </xf>
    <xf numFmtId="0" fontId="0" fillId="0" borderId="0" xfId="0" applyAlignment="1">
      <alignment horizontal="left" vertical="top" wrapText="1"/>
    </xf>
    <xf numFmtId="0" fontId="0" fillId="7" borderId="12" xfId="0" applyFill="1" applyBorder="1"/>
    <xf numFmtId="0" fontId="49" fillId="19" borderId="12" xfId="0" applyFont="1" applyFill="1" applyBorder="1" applyAlignment="1">
      <alignment horizontal="center" vertical="center"/>
    </xf>
    <xf numFmtId="0" fontId="50" fillId="20" borderId="12" xfId="0" applyFont="1" applyFill="1" applyBorder="1" applyAlignment="1">
      <alignment horizontal="center" vertical="center"/>
    </xf>
    <xf numFmtId="0" fontId="51" fillId="21" borderId="12" xfId="0" applyFont="1" applyFill="1" applyBorder="1" applyAlignment="1">
      <alignment horizontal="center" vertical="center"/>
    </xf>
    <xf numFmtId="0" fontId="52" fillId="22" borderId="12" xfId="0" applyFont="1" applyFill="1" applyBorder="1" applyAlignment="1">
      <alignment horizontal="center" vertical="center"/>
    </xf>
    <xf numFmtId="0" fontId="53" fillId="23" borderId="12" xfId="0" applyFont="1" applyFill="1" applyBorder="1" applyAlignment="1">
      <alignment horizontal="center" vertical="center"/>
    </xf>
    <xf numFmtId="0" fontId="54" fillId="24" borderId="12" xfId="0" applyFont="1" applyFill="1" applyBorder="1" applyAlignment="1">
      <alignment horizontal="center" vertical="center"/>
    </xf>
    <xf numFmtId="0" fontId="55" fillId="25" borderId="12" xfId="0" applyFont="1" applyFill="1" applyBorder="1" applyAlignment="1">
      <alignment horizontal="center" vertical="center"/>
    </xf>
    <xf numFmtId="0" fontId="56" fillId="26" borderId="12" xfId="0" applyFont="1" applyFill="1" applyBorder="1" applyAlignment="1">
      <alignment horizontal="center" vertical="center"/>
    </xf>
    <xf numFmtId="0" fontId="57" fillId="23" borderId="12" xfId="0" applyFont="1" applyFill="1" applyBorder="1" applyAlignment="1">
      <alignment horizontal="center" vertical="center"/>
    </xf>
    <xf numFmtId="0" fontId="58" fillId="19" borderId="12" xfId="0" applyFont="1" applyFill="1" applyBorder="1" applyAlignment="1">
      <alignment horizontal="center" vertical="center" wrapText="1"/>
    </xf>
    <xf numFmtId="0" fontId="59" fillId="20" borderId="12" xfId="0" applyFont="1" applyFill="1" applyBorder="1" applyAlignment="1">
      <alignment horizontal="center" vertical="center" wrapText="1"/>
    </xf>
    <xf numFmtId="0" fontId="60" fillId="21" borderId="12" xfId="0" applyFont="1" applyFill="1" applyBorder="1" applyAlignment="1">
      <alignment horizontal="center" vertical="center" wrapText="1"/>
    </xf>
    <xf numFmtId="0" fontId="61" fillId="22" borderId="12" xfId="0" applyFont="1" applyFill="1" applyBorder="1" applyAlignment="1">
      <alignment horizontal="center" vertical="center" wrapText="1"/>
    </xf>
    <xf numFmtId="0" fontId="62" fillId="23" borderId="12" xfId="0" applyFont="1" applyFill="1" applyBorder="1" applyAlignment="1">
      <alignment horizontal="center" vertical="center" wrapText="1"/>
    </xf>
    <xf numFmtId="0" fontId="63" fillId="24" borderId="12" xfId="0" applyFont="1" applyFill="1" applyBorder="1" applyAlignment="1">
      <alignment horizontal="center" vertical="center" wrapText="1"/>
    </xf>
    <xf numFmtId="0" fontId="64" fillId="25" borderId="12" xfId="0" applyFont="1" applyFill="1" applyBorder="1" applyAlignment="1">
      <alignment horizontal="center" vertical="center" wrapText="1"/>
    </xf>
    <xf numFmtId="0" fontId="65" fillId="26" borderId="12" xfId="0" applyFont="1" applyFill="1" applyBorder="1" applyAlignment="1">
      <alignment horizontal="center" vertical="center" wrapText="1"/>
    </xf>
    <xf numFmtId="0" fontId="66" fillId="23" borderId="12" xfId="0" applyFont="1" applyFill="1" applyBorder="1" applyAlignment="1">
      <alignment horizontal="center" vertical="center" wrapText="1"/>
    </xf>
    <xf numFmtId="0" fontId="48" fillId="9" borderId="12" xfId="0" applyFont="1" applyFill="1" applyBorder="1"/>
    <xf numFmtId="0" fontId="48" fillId="9" borderId="12" xfId="0" applyFont="1" applyFill="1" applyBorder="1" applyAlignment="1">
      <alignment horizontal="center"/>
    </xf>
    <xf numFmtId="0" fontId="0" fillId="0" borderId="12" xfId="0" applyBorder="1"/>
    <xf numFmtId="165" fontId="49" fillId="19" borderId="12" xfId="0" applyNumberFormat="1" applyFont="1" applyFill="1" applyBorder="1" applyAlignment="1">
      <alignment horizontal="center"/>
    </xf>
    <xf numFmtId="165" fontId="50" fillId="20" borderId="12" xfId="0" applyNumberFormat="1" applyFont="1" applyFill="1" applyBorder="1" applyAlignment="1">
      <alignment horizontal="center"/>
    </xf>
    <xf numFmtId="165" fontId="51" fillId="21" borderId="12" xfId="0" applyNumberFormat="1" applyFont="1" applyFill="1" applyBorder="1" applyAlignment="1">
      <alignment horizontal="center"/>
    </xf>
    <xf numFmtId="165" fontId="52" fillId="22" borderId="12" xfId="0" applyNumberFormat="1" applyFont="1" applyFill="1" applyBorder="1" applyAlignment="1">
      <alignment horizontal="center"/>
    </xf>
    <xf numFmtId="165" fontId="53" fillId="23" borderId="12" xfId="0" applyNumberFormat="1" applyFont="1" applyFill="1" applyBorder="1" applyAlignment="1">
      <alignment horizontal="center"/>
    </xf>
    <xf numFmtId="165" fontId="54" fillId="24" borderId="12" xfId="0" applyNumberFormat="1" applyFont="1" applyFill="1" applyBorder="1" applyAlignment="1">
      <alignment horizontal="center"/>
    </xf>
    <xf numFmtId="165" fontId="55" fillId="25" borderId="12" xfId="0" applyNumberFormat="1" applyFont="1" applyFill="1" applyBorder="1" applyAlignment="1">
      <alignment horizontal="center"/>
    </xf>
    <xf numFmtId="165" fontId="56" fillId="26" borderId="12" xfId="0" applyNumberFormat="1" applyFont="1" applyFill="1" applyBorder="1" applyAlignment="1">
      <alignment horizontal="center"/>
    </xf>
    <xf numFmtId="165" fontId="57" fillId="23" borderId="12" xfId="0" applyNumberFormat="1" applyFont="1" applyFill="1" applyBorder="1" applyAlignment="1">
      <alignment horizontal="center"/>
    </xf>
    <xf numFmtId="165" fontId="40" fillId="7" borderId="12" xfId="0" applyNumberFormat="1" applyFont="1" applyFill="1" applyBorder="1" applyAlignment="1">
      <alignment horizontal="center"/>
    </xf>
    <xf numFmtId="165" fontId="49" fillId="19" borderId="0" xfId="0" applyNumberFormat="1" applyFont="1" applyFill="1" applyAlignment="1">
      <alignment horizontal="center"/>
    </xf>
    <xf numFmtId="165" fontId="50" fillId="20" borderId="0" xfId="0" applyNumberFormat="1" applyFont="1" applyFill="1" applyAlignment="1">
      <alignment horizontal="center"/>
    </xf>
    <xf numFmtId="165" fontId="51" fillId="21" borderId="0" xfId="0" applyNumberFormat="1" applyFont="1" applyFill="1" applyAlignment="1">
      <alignment horizontal="center"/>
    </xf>
    <xf numFmtId="165" fontId="52" fillId="22" borderId="0" xfId="0" applyNumberFormat="1" applyFont="1" applyFill="1" applyAlignment="1">
      <alignment horizontal="center"/>
    </xf>
    <xf numFmtId="165" fontId="53" fillId="23" borderId="0" xfId="0" applyNumberFormat="1" applyFont="1" applyFill="1" applyAlignment="1">
      <alignment horizontal="center"/>
    </xf>
    <xf numFmtId="165" fontId="54" fillId="24" borderId="0" xfId="0" applyNumberFormat="1" applyFont="1" applyFill="1" applyAlignment="1">
      <alignment horizontal="center"/>
    </xf>
    <xf numFmtId="165" fontId="55" fillId="25" borderId="0" xfId="0" applyNumberFormat="1" applyFont="1" applyFill="1" applyAlignment="1">
      <alignment horizontal="center"/>
    </xf>
    <xf numFmtId="165" fontId="56" fillId="26" borderId="0" xfId="0" applyNumberFormat="1" applyFont="1" applyFill="1" applyAlignment="1">
      <alignment horizontal="center"/>
    </xf>
    <xf numFmtId="165" fontId="57" fillId="23" borderId="0" xfId="0" applyNumberFormat="1" applyFont="1" applyFill="1" applyAlignment="1">
      <alignment horizontal="center"/>
    </xf>
    <xf numFmtId="165" fontId="40" fillId="7" borderId="0" xfId="0" applyNumberFormat="1" applyFont="1" applyFill="1" applyAlignment="1">
      <alignment horizontal="center"/>
    </xf>
    <xf numFmtId="0" fontId="49" fillId="19" borderId="12" xfId="0" applyFont="1" applyFill="1" applyBorder="1" applyAlignment="1">
      <alignment horizontal="left" vertical="top" wrapText="1" indent="1"/>
    </xf>
    <xf numFmtId="0" fontId="39" fillId="0" borderId="12" xfId="0" applyFont="1" applyBorder="1" applyAlignment="1">
      <alignment horizontal="left" vertical="top" wrapText="1" indent="1"/>
    </xf>
    <xf numFmtId="0" fontId="50" fillId="20" borderId="12" xfId="0" applyFont="1" applyFill="1" applyBorder="1" applyAlignment="1">
      <alignment horizontal="left" vertical="top" wrapText="1" indent="1"/>
    </xf>
    <xf numFmtId="0" fontId="51" fillId="21" borderId="12" xfId="0" applyFont="1" applyFill="1" applyBorder="1" applyAlignment="1">
      <alignment horizontal="left" vertical="top" wrapText="1" indent="1"/>
    </xf>
    <xf numFmtId="0" fontId="52" fillId="22" borderId="12" xfId="0" applyFont="1" applyFill="1" applyBorder="1" applyAlignment="1">
      <alignment horizontal="left" vertical="top" wrapText="1" indent="1"/>
    </xf>
    <xf numFmtId="0" fontId="53" fillId="23" borderId="12" xfId="0" applyFont="1" applyFill="1" applyBorder="1" applyAlignment="1">
      <alignment horizontal="left" vertical="top" wrapText="1" indent="1"/>
    </xf>
    <xf numFmtId="0" fontId="54" fillId="24" borderId="12" xfId="0" applyFont="1" applyFill="1" applyBorder="1" applyAlignment="1">
      <alignment horizontal="left" vertical="top" wrapText="1" indent="1"/>
    </xf>
    <xf numFmtId="0" fontId="55" fillId="25" borderId="12" xfId="0" applyFont="1" applyFill="1" applyBorder="1" applyAlignment="1">
      <alignment horizontal="left" vertical="top" wrapText="1" indent="1"/>
    </xf>
    <xf numFmtId="0" fontId="33" fillId="10" borderId="12" xfId="0" applyFont="1" applyFill="1" applyBorder="1" applyAlignment="1">
      <alignment horizontal="left" vertical="center" indent="1"/>
    </xf>
    <xf numFmtId="0" fontId="68" fillId="19" borderId="0" xfId="0" applyFont="1" applyFill="1" applyAlignment="1">
      <alignment horizontal="left" vertical="top" wrapText="1" indent="1"/>
    </xf>
    <xf numFmtId="0" fontId="32" fillId="19" borderId="0" xfId="0" applyFont="1" applyFill="1" applyAlignment="1">
      <alignment horizontal="left" vertical="top" wrapText="1" indent="1"/>
    </xf>
    <xf numFmtId="0" fontId="69" fillId="0" borderId="0" xfId="0" applyFont="1" applyAlignment="1">
      <alignment horizontal="left" vertical="top"/>
    </xf>
    <xf numFmtId="0" fontId="68" fillId="3" borderId="0" xfId="0" applyFont="1" applyFill="1" applyAlignment="1">
      <alignment horizontal="left" vertical="top" wrapText="1" indent="1"/>
    </xf>
    <xf numFmtId="0" fontId="32" fillId="3" borderId="0" xfId="0" applyFont="1" applyFill="1" applyAlignment="1">
      <alignment horizontal="left" vertical="top" wrapText="1" indent="1"/>
    </xf>
    <xf numFmtId="0" fontId="68" fillId="4" borderId="0" xfId="0" applyFont="1" applyFill="1" applyAlignment="1">
      <alignment horizontal="left" vertical="top" wrapText="1" indent="1"/>
    </xf>
    <xf numFmtId="0" fontId="32" fillId="4" borderId="0" xfId="0" applyFont="1" applyFill="1" applyAlignment="1">
      <alignment horizontal="left" vertical="top" wrapText="1" indent="1"/>
    </xf>
    <xf numFmtId="0" fontId="70" fillId="19" borderId="0" xfId="0" applyFont="1" applyFill="1" applyAlignment="1">
      <alignment horizontal="left" vertical="top" wrapText="1" indent="1"/>
    </xf>
    <xf numFmtId="0" fontId="70" fillId="4" borderId="0" xfId="0" applyFont="1" applyFill="1" applyAlignment="1">
      <alignment horizontal="left" vertical="top" wrapText="1" indent="1"/>
    </xf>
    <xf numFmtId="0" fontId="70" fillId="3" borderId="0" xfId="0" applyFont="1" applyFill="1" applyAlignment="1">
      <alignment horizontal="left" vertical="top" wrapText="1" indent="1"/>
    </xf>
    <xf numFmtId="0" fontId="46" fillId="27" borderId="12" xfId="0" applyFont="1" applyFill="1" applyBorder="1" applyAlignment="1">
      <alignment horizontal="center" vertical="center"/>
    </xf>
    <xf numFmtId="0" fontId="47" fillId="27" borderId="12" xfId="0" applyFont="1" applyFill="1" applyBorder="1" applyAlignment="1">
      <alignment horizontal="center" vertical="center"/>
    </xf>
    <xf numFmtId="0" fontId="46" fillId="23" borderId="12" xfId="0" applyFont="1" applyFill="1" applyBorder="1" applyAlignment="1">
      <alignment vertical="top" wrapText="1"/>
    </xf>
    <xf numFmtId="0" fontId="46" fillId="27" borderId="12" xfId="0" applyFont="1" applyFill="1" applyBorder="1" applyAlignment="1">
      <alignment vertical="top" wrapText="1"/>
    </xf>
    <xf numFmtId="166" fontId="71" fillId="0" borderId="12" xfId="0" applyNumberFormat="1" applyFont="1" applyBorder="1" applyAlignment="1">
      <alignment vertical="top" wrapText="1"/>
    </xf>
    <xf numFmtId="0" fontId="71" fillId="0" borderId="12" xfId="0" applyFont="1" applyBorder="1" applyAlignment="1">
      <alignment vertical="top" wrapText="1"/>
    </xf>
    <xf numFmtId="166" fontId="47" fillId="0" borderId="12" xfId="0" applyNumberFormat="1" applyFont="1" applyBorder="1" applyAlignment="1">
      <alignment vertical="top" wrapText="1"/>
    </xf>
    <xf numFmtId="166" fontId="0" fillId="0" borderId="0" xfId="0" applyNumberFormat="1"/>
    <xf numFmtId="167" fontId="0" fillId="0" borderId="0" xfId="0" applyNumberFormat="1"/>
    <xf numFmtId="0" fontId="46" fillId="0" borderId="0" xfId="0" applyFont="1"/>
    <xf numFmtId="0" fontId="44" fillId="7" borderId="0" xfId="0" applyFont="1" applyFill="1" applyAlignment="1">
      <alignment horizontal="center" vertical="center"/>
    </xf>
    <xf numFmtId="0" fontId="72" fillId="0" borderId="0" xfId="0" applyFont="1"/>
    <xf numFmtId="0" fontId="33" fillId="5" borderId="12" xfId="0" applyFont="1" applyFill="1" applyBorder="1" applyAlignment="1">
      <alignment horizontal="left" vertical="center" wrapText="1"/>
    </xf>
    <xf numFmtId="0" fontId="75" fillId="6" borderId="12" xfId="0" applyFont="1" applyFill="1" applyBorder="1" applyAlignment="1">
      <alignment horizontal="left" vertical="top" wrapText="1"/>
    </xf>
    <xf numFmtId="0" fontId="76" fillId="6" borderId="12" xfId="0" applyFont="1" applyFill="1" applyBorder="1" applyAlignment="1">
      <alignment horizontal="left" vertical="top" wrapText="1"/>
    </xf>
    <xf numFmtId="2" fontId="75" fillId="6" borderId="12" xfId="0" applyNumberFormat="1" applyFont="1" applyFill="1" applyBorder="1" applyAlignment="1">
      <alignment horizontal="left" vertical="top" wrapText="1"/>
    </xf>
    <xf numFmtId="168" fontId="75" fillId="6" borderId="12" xfId="0" applyNumberFormat="1" applyFont="1" applyFill="1" applyBorder="1" applyAlignment="1">
      <alignment horizontal="left" vertical="top" wrapText="1"/>
    </xf>
    <xf numFmtId="0" fontId="75" fillId="3" borderId="12" xfId="0" applyFont="1" applyFill="1" applyBorder="1" applyAlignment="1">
      <alignment horizontal="left" vertical="top" wrapText="1"/>
    </xf>
    <xf numFmtId="0" fontId="76" fillId="3" borderId="12" xfId="0" applyFont="1" applyFill="1" applyBorder="1" applyAlignment="1">
      <alignment horizontal="left" vertical="top" wrapText="1"/>
    </xf>
    <xf numFmtId="2" fontId="75" fillId="3" borderId="12" xfId="0" applyNumberFormat="1" applyFont="1" applyFill="1" applyBorder="1" applyAlignment="1">
      <alignment horizontal="left" vertical="top" wrapText="1"/>
    </xf>
    <xf numFmtId="168" fontId="75" fillId="3" borderId="12" xfId="0" applyNumberFormat="1" applyFont="1" applyFill="1" applyBorder="1" applyAlignment="1">
      <alignment horizontal="left" vertical="top" wrapText="1"/>
    </xf>
    <xf numFmtId="0" fontId="75" fillId="28" borderId="12" xfId="0" applyFont="1" applyFill="1" applyBorder="1" applyAlignment="1">
      <alignment horizontal="left" vertical="top" wrapText="1"/>
    </xf>
    <xf numFmtId="0" fontId="76" fillId="28" borderId="12" xfId="0" applyFont="1" applyFill="1" applyBorder="1" applyAlignment="1">
      <alignment horizontal="left" vertical="top" wrapText="1"/>
    </xf>
    <xf numFmtId="2" fontId="75" fillId="28" borderId="12" xfId="0" applyNumberFormat="1" applyFont="1" applyFill="1" applyBorder="1" applyAlignment="1">
      <alignment horizontal="left" vertical="top" wrapText="1"/>
    </xf>
    <xf numFmtId="168" fontId="75" fillId="28" borderId="12" xfId="0" applyNumberFormat="1" applyFont="1" applyFill="1" applyBorder="1" applyAlignment="1">
      <alignment horizontal="left" vertical="top" wrapText="1"/>
    </xf>
    <xf numFmtId="0" fontId="77" fillId="0" borderId="12" xfId="1" applyBorder="1" applyAlignment="1">
      <alignment vertical="top" wrapText="1"/>
    </xf>
    <xf numFmtId="0" fontId="46" fillId="0" borderId="0" xfId="0" applyFont="1" applyAlignment="1">
      <alignment horizontal="center" vertical="top"/>
    </xf>
    <xf numFmtId="0" fontId="47" fillId="0" borderId="0" xfId="0" applyFont="1" applyAlignment="1">
      <alignment horizontal="center" vertical="top"/>
    </xf>
    <xf numFmtId="0" fontId="47" fillId="0" borderId="0" xfId="0" applyFont="1" applyAlignment="1">
      <alignment vertical="top" wrapText="1"/>
    </xf>
    <xf numFmtId="0" fontId="47" fillId="0" borderId="12" xfId="0" applyFont="1" applyBorder="1"/>
    <xf numFmtId="0" fontId="41" fillId="7" borderId="0" xfId="0" applyFont="1" applyFill="1" applyAlignment="1">
      <alignment horizontal="center" vertical="center"/>
    </xf>
    <xf numFmtId="0" fontId="42" fillId="8" borderId="0" xfId="0" applyFont="1" applyFill="1" applyAlignment="1">
      <alignment horizontal="center" vertical="center"/>
    </xf>
    <xf numFmtId="0" fontId="43" fillId="0" borderId="0" xfId="0" applyFont="1" applyAlignment="1">
      <alignment horizontal="left" vertical="center" indent="1"/>
    </xf>
    <xf numFmtId="0" fontId="31" fillId="3" borderId="11" xfId="0" applyFont="1" applyFill="1" applyBorder="1" applyAlignment="1">
      <alignment horizontal="left" vertical="center" indent="1"/>
    </xf>
    <xf numFmtId="0" fontId="32" fillId="3" borderId="11" xfId="0" applyFont="1" applyFill="1" applyBorder="1" applyAlignment="1">
      <alignment horizontal="left" vertical="center" wrapText="1" indent="1"/>
    </xf>
    <xf numFmtId="0" fontId="9" fillId="3" borderId="11" xfId="0" applyFont="1" applyFill="1" applyBorder="1" applyAlignment="1">
      <alignment horizontal="left" vertical="center" indent="1"/>
    </xf>
    <xf numFmtId="0" fontId="6" fillId="3" borderId="0" xfId="0" applyFont="1" applyFill="1" applyAlignment="1">
      <alignment horizontal="left" vertical="center" indent="1"/>
    </xf>
    <xf numFmtId="0" fontId="9" fillId="3" borderId="0" xfId="0" applyFont="1" applyFill="1" applyAlignment="1">
      <alignment horizontal="left" vertical="top" wrapText="1" indent="1"/>
    </xf>
    <xf numFmtId="0" fontId="33" fillId="2" borderId="0" xfId="0" applyFont="1" applyFill="1" applyAlignment="1">
      <alignment horizontal="center" vertical="center"/>
    </xf>
    <xf numFmtId="0" fontId="9" fillId="3" borderId="0" xfId="0" applyFont="1" applyFill="1" applyAlignment="1">
      <alignment horizontal="left" vertical="center" indent="1"/>
    </xf>
    <xf numFmtId="0" fontId="9" fillId="3" borderId="0" xfId="0" applyFont="1" applyFill="1" applyAlignment="1">
      <alignment horizontal="center" vertical="center"/>
    </xf>
    <xf numFmtId="0" fontId="31" fillId="4" borderId="0" xfId="0" applyFont="1" applyFill="1" applyAlignment="1">
      <alignment horizontal="left" vertical="center" indent="1"/>
    </xf>
    <xf numFmtId="0" fontId="32" fillId="4" borderId="0" xfId="0" applyFont="1" applyFill="1" applyAlignment="1">
      <alignment horizontal="left" vertical="center" wrapText="1" indent="1"/>
    </xf>
    <xf numFmtId="0" fontId="9" fillId="4" borderId="0" xfId="0" applyFont="1" applyFill="1" applyAlignment="1">
      <alignment horizontal="left" vertical="center" indent="1"/>
    </xf>
    <xf numFmtId="0" fontId="31" fillId="3" borderId="0" xfId="0" applyFont="1" applyFill="1" applyAlignment="1">
      <alignment horizontal="left" vertical="center" indent="1"/>
    </xf>
    <xf numFmtId="0" fontId="32" fillId="3" borderId="0" xfId="0" applyFont="1" applyFill="1" applyAlignment="1">
      <alignment horizontal="left" vertical="center" wrapText="1" indent="1"/>
    </xf>
    <xf numFmtId="0" fontId="31" fillId="4" borderId="11" xfId="0" applyFont="1" applyFill="1" applyBorder="1" applyAlignment="1">
      <alignment horizontal="left" vertical="center" indent="1"/>
    </xf>
    <xf numFmtId="0" fontId="32" fillId="4" borderId="11" xfId="0" applyFont="1" applyFill="1" applyBorder="1" applyAlignment="1">
      <alignment horizontal="left" vertical="center" wrapText="1" indent="1"/>
    </xf>
    <xf numFmtId="0" fontId="9" fillId="4" borderId="11" xfId="0" applyFont="1" applyFill="1" applyBorder="1" applyAlignment="1">
      <alignment horizontal="left" vertical="center" indent="1"/>
    </xf>
    <xf numFmtId="0" fontId="22" fillId="6" borderId="0" xfId="0" applyFont="1" applyFill="1" applyAlignment="1">
      <alignment horizontal="left" vertical="center" indent="1"/>
    </xf>
    <xf numFmtId="0" fontId="25" fillId="6" borderId="0" xfId="0" applyFont="1" applyFill="1" applyAlignment="1">
      <alignment horizontal="left" vertical="center" indent="1"/>
    </xf>
    <xf numFmtId="0" fontId="22" fillId="6" borderId="11" xfId="0" applyFont="1" applyFill="1" applyBorder="1" applyAlignment="1">
      <alignment horizontal="left" vertical="center" indent="1"/>
    </xf>
    <xf numFmtId="0" fontId="25" fillId="6" borderId="11" xfId="0" applyFont="1" applyFill="1" applyBorder="1" applyAlignment="1">
      <alignment horizontal="left" vertical="center" indent="1"/>
    </xf>
    <xf numFmtId="0" fontId="30" fillId="3" borderId="0" xfId="0" applyFont="1" applyFill="1" applyAlignment="1">
      <alignment horizontal="left" vertical="center" indent="1"/>
    </xf>
    <xf numFmtId="0" fontId="20" fillId="5" borderId="0" xfId="0" applyFont="1" applyFill="1" applyAlignment="1">
      <alignment horizontal="left" vertical="center" indent="1"/>
    </xf>
    <xf numFmtId="0" fontId="22" fillId="4" borderId="0" xfId="0" applyFont="1" applyFill="1" applyAlignment="1">
      <alignment horizontal="left" vertical="center" indent="1"/>
    </xf>
    <xf numFmtId="0" fontId="25" fillId="4" borderId="0" xfId="0" applyFont="1" applyFill="1" applyAlignment="1">
      <alignment horizontal="left" vertical="center" indent="1"/>
    </xf>
    <xf numFmtId="0" fontId="22" fillId="3" borderId="0" xfId="0" applyFont="1" applyFill="1" applyAlignment="1">
      <alignment horizontal="left" vertical="center" indent="1"/>
    </xf>
    <xf numFmtId="0" fontId="25" fillId="3" borderId="0" xfId="0" applyFont="1" applyFill="1" applyAlignment="1">
      <alignment horizontal="left" vertical="center" indent="1"/>
    </xf>
    <xf numFmtId="0" fontId="5" fillId="4" borderId="5" xfId="0" applyFont="1" applyFill="1" applyBorder="1" applyAlignment="1">
      <alignment horizontal="left" vertical="top" wrapText="1" indent="1"/>
    </xf>
    <xf numFmtId="0" fontId="5" fillId="4" borderId="6" xfId="0" applyFont="1" applyFill="1" applyBorder="1" applyAlignment="1">
      <alignment horizontal="left" vertical="top" wrapText="1" indent="1"/>
    </xf>
    <xf numFmtId="0" fontId="5" fillId="4" borderId="7" xfId="0" applyFont="1" applyFill="1" applyBorder="1" applyAlignment="1">
      <alignment horizontal="left" vertical="top" wrapText="1" indent="1"/>
    </xf>
    <xf numFmtId="0" fontId="10" fillId="4" borderId="0" xfId="0" applyFont="1" applyFill="1" applyAlignment="1">
      <alignment horizontal="left" vertical="center"/>
    </xf>
    <xf numFmtId="0" fontId="5" fillId="4" borderId="8" xfId="0" applyFont="1" applyFill="1" applyBorder="1" applyAlignment="1">
      <alignment horizontal="left" vertical="top" wrapText="1" indent="1"/>
    </xf>
    <xf numFmtId="0" fontId="5" fillId="4" borderId="9" xfId="0" applyFont="1" applyFill="1" applyBorder="1" applyAlignment="1">
      <alignment horizontal="left" vertical="top" wrapText="1" indent="1"/>
    </xf>
    <xf numFmtId="0" fontId="5" fillId="4" borderId="10" xfId="0" applyFont="1" applyFill="1" applyBorder="1" applyAlignment="1">
      <alignment horizontal="left" vertical="top" wrapText="1" indent="1"/>
    </xf>
    <xf numFmtId="0" fontId="5" fillId="4" borderId="2" xfId="0" applyFont="1" applyFill="1" applyBorder="1" applyAlignment="1">
      <alignment horizontal="left" vertical="top" wrapText="1" indent="1"/>
    </xf>
    <xf numFmtId="0" fontId="5" fillId="4" borderId="3" xfId="0" applyFont="1" applyFill="1" applyBorder="1" applyAlignment="1">
      <alignment horizontal="left" vertical="top" wrapText="1" indent="1"/>
    </xf>
    <xf numFmtId="0" fontId="5" fillId="4" borderId="4" xfId="0" applyFont="1" applyFill="1" applyBorder="1" applyAlignment="1">
      <alignment horizontal="left" vertical="top" wrapText="1" indent="1"/>
    </xf>
    <xf numFmtId="0" fontId="7" fillId="4" borderId="2" xfId="0" applyFont="1" applyFill="1" applyBorder="1" applyAlignment="1">
      <alignment horizontal="left" vertical="center" indent="1"/>
    </xf>
    <xf numFmtId="0" fontId="8" fillId="4" borderId="2" xfId="0" applyFont="1" applyFill="1" applyBorder="1" applyAlignment="1">
      <alignment horizontal="left" vertical="center" indent="1"/>
    </xf>
    <xf numFmtId="0" fontId="2" fillId="4" borderId="2" xfId="0" applyFont="1" applyFill="1" applyBorder="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right" vertical="center"/>
    </xf>
    <xf numFmtId="0" fontId="4" fillId="3" borderId="0" xfId="0" applyFont="1" applyFill="1" applyAlignment="1">
      <alignment horizontal="left" vertical="center" indent="1"/>
    </xf>
    <xf numFmtId="0" fontId="5" fillId="3" borderId="0" xfId="0" applyFont="1" applyFill="1" applyAlignment="1">
      <alignment horizontal="right" vertical="center"/>
    </xf>
    <xf numFmtId="0" fontId="37" fillId="3" borderId="0" xfId="0" applyFont="1" applyFill="1" applyAlignment="1">
      <alignment horizontal="left" vertical="center" indent="1"/>
    </xf>
    <xf numFmtId="0" fontId="38" fillId="3" borderId="0" xfId="0" applyFont="1" applyFill="1" applyAlignment="1">
      <alignment horizontal="left" vertical="center" wrapText="1" indent="1"/>
    </xf>
    <xf numFmtId="0" fontId="39" fillId="3" borderId="0" xfId="0" applyFont="1" applyFill="1" applyAlignment="1">
      <alignment horizontal="left" vertical="top" wrapText="1" indent="1"/>
    </xf>
    <xf numFmtId="0" fontId="4" fillId="3" borderId="0" xfId="0" applyFont="1" applyFill="1" applyAlignment="1">
      <alignment horizontal="left" vertical="center" wrapText="1"/>
    </xf>
    <xf numFmtId="0" fontId="21" fillId="3" borderId="0" xfId="0" applyFont="1" applyFill="1" applyAlignment="1">
      <alignment horizontal="left" vertical="center"/>
    </xf>
    <xf numFmtId="0" fontId="34" fillId="3" borderId="0" xfId="0" applyFont="1" applyFill="1" applyAlignment="1">
      <alignment horizontal="left" vertical="center"/>
    </xf>
    <xf numFmtId="0" fontId="35" fillId="3" borderId="0" xfId="0" applyFont="1" applyFill="1" applyAlignment="1">
      <alignment horizontal="left" vertical="center" wrapText="1"/>
    </xf>
    <xf numFmtId="0" fontId="4" fillId="0" borderId="0" xfId="0" applyFont="1" applyAlignment="1">
      <alignment horizontal="left" vertical="center"/>
    </xf>
    <xf numFmtId="0" fontId="45" fillId="0" borderId="0" xfId="0" applyFont="1" applyAlignment="1">
      <alignment horizontal="left" vertical="center" wrapText="1" indent="1"/>
    </xf>
    <xf numFmtId="0" fontId="40" fillId="10" borderId="12" xfId="0" applyFont="1" applyFill="1" applyBorder="1" applyAlignment="1">
      <alignment horizontal="center" vertical="center"/>
    </xf>
    <xf numFmtId="0" fontId="40" fillId="11" borderId="12" xfId="0" applyFont="1" applyFill="1" applyBorder="1" applyAlignment="1">
      <alignment horizontal="center" vertical="center"/>
    </xf>
    <xf numFmtId="0" fontId="40" fillId="12" borderId="12" xfId="0" applyFont="1" applyFill="1" applyBorder="1" applyAlignment="1">
      <alignment horizontal="center" vertical="center"/>
    </xf>
    <xf numFmtId="0" fontId="40" fillId="13" borderId="12" xfId="0" applyFont="1" applyFill="1" applyBorder="1" applyAlignment="1">
      <alignment horizontal="center" vertical="center"/>
    </xf>
    <xf numFmtId="0" fontId="40" fillId="14" borderId="12" xfId="0" applyFont="1" applyFill="1" applyBorder="1" applyAlignment="1">
      <alignment horizontal="center" vertical="center"/>
    </xf>
    <xf numFmtId="0" fontId="40" fillId="15" borderId="12" xfId="0" applyFont="1" applyFill="1" applyBorder="1" applyAlignment="1">
      <alignment horizontal="center" vertical="center"/>
    </xf>
    <xf numFmtId="0" fontId="40" fillId="16" borderId="12" xfId="0" applyFont="1" applyFill="1" applyBorder="1" applyAlignment="1">
      <alignment horizontal="center" vertical="center"/>
    </xf>
    <xf numFmtId="0" fontId="40" fillId="17" borderId="12" xfId="0" applyFont="1" applyFill="1" applyBorder="1" applyAlignment="1">
      <alignment horizontal="center" vertical="center"/>
    </xf>
    <xf numFmtId="0" fontId="40" fillId="18" borderId="12" xfId="0" applyFont="1" applyFill="1" applyBorder="1" applyAlignment="1">
      <alignment horizontal="center" vertical="center"/>
    </xf>
    <xf numFmtId="0" fontId="67" fillId="13" borderId="12" xfId="0" applyFont="1" applyFill="1" applyBorder="1" applyAlignment="1">
      <alignment horizontal="left" vertical="center" indent="1"/>
    </xf>
    <xf numFmtId="0" fontId="67" fillId="14" borderId="12" xfId="0" applyFont="1" applyFill="1" applyBorder="1" applyAlignment="1">
      <alignment horizontal="left" vertical="center" indent="1"/>
    </xf>
    <xf numFmtId="0" fontId="67" fillId="15" borderId="12" xfId="0" applyFont="1" applyFill="1" applyBorder="1" applyAlignment="1">
      <alignment horizontal="left" vertical="center" indent="1"/>
    </xf>
    <xf numFmtId="0" fontId="67" fillId="16" borderId="12" xfId="0" applyFont="1" applyFill="1" applyBorder="1" applyAlignment="1">
      <alignment horizontal="left" vertical="center" indent="1"/>
    </xf>
    <xf numFmtId="0" fontId="67" fillId="10" borderId="12" xfId="0" applyFont="1" applyFill="1" applyBorder="1" applyAlignment="1">
      <alignment horizontal="left" vertical="center" indent="1"/>
    </xf>
    <xf numFmtId="0" fontId="67" fillId="11" borderId="12" xfId="0" applyFont="1" applyFill="1" applyBorder="1" applyAlignment="1">
      <alignment horizontal="left" vertical="center" indent="1"/>
    </xf>
    <xf numFmtId="0" fontId="67" fillId="12" borderId="12" xfId="0" applyFont="1" applyFill="1" applyBorder="1" applyAlignment="1">
      <alignment horizontal="left" vertical="center" indent="1"/>
    </xf>
    <xf numFmtId="0" fontId="45" fillId="0" borderId="0" xfId="0" applyFont="1"/>
    <xf numFmtId="0" fontId="73" fillId="0" borderId="0" xfId="0" applyFont="1"/>
    <xf numFmtId="0" fontId="35" fillId="0" borderId="0" xfId="0" applyFont="1"/>
    <xf numFmtId="0" fontId="74" fillId="0" borderId="0" xfId="0" applyFont="1"/>
    <xf numFmtId="2" fontId="78" fillId="0" borderId="12" xfId="0" applyNumberFormat="1" applyFont="1" applyBorder="1" applyAlignment="1">
      <alignment horizontal="center"/>
    </xf>
    <xf numFmtId="0" fontId="0" fillId="0" borderId="12" xfId="0" applyFont="1" applyBorder="1"/>
    <xf numFmtId="2" fontId="78" fillId="0" borderId="0" xfId="0" applyNumberFormat="1"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3F4F6"/>
      <rgbColor rgb="FFFF00FF"/>
      <rgbColor rgb="FF00FFFF"/>
      <rgbColor rgb="FF800000"/>
      <rgbColor rgb="FF008000"/>
      <rgbColor rgb="FF000080"/>
      <rgbColor rgb="FFB45309"/>
      <rgbColor rgb="FF7E22CE"/>
      <rgbColor rgb="FF0F766E"/>
      <rgbColor rgb="FFE5E7EB"/>
      <rgbColor rgb="FF4F46E5"/>
      <rgbColor rgb="FF8B5CF6"/>
      <rgbColor rgb="FFBE185D"/>
      <rgbColor rgb="FFFEF3C7"/>
      <rgbColor rgb="FFCFFAFE"/>
      <rgbColor rgb="FF4338CA"/>
      <rgbColor rgb="FFEC4899"/>
      <rgbColor rgb="FF2E75B6"/>
      <rgbColor rgb="FFD1D5DB"/>
      <rgbColor rgb="FF000080"/>
      <rgbColor rgb="FFFF00FF"/>
      <rgbColor rgb="FFF9FAFB"/>
      <rgbColor rgb="FF00FFFF"/>
      <rgbColor rgb="FF800080"/>
      <rgbColor rgb="FF800000"/>
      <rgbColor rgb="FF0E7490"/>
      <rgbColor rgb="FF0000FF"/>
      <rgbColor rgb="FF06B6D4"/>
      <rgbColor rgb="FFCCFBF1"/>
      <rgbColor rgb="FFDCFCE7"/>
      <rgbColor rgb="FFFFF7E6"/>
      <rgbColor rgb="FFDBEAFE"/>
      <rgbColor rgb="FFFCE7F3"/>
      <rgbColor rgb="FFE0E7FF"/>
      <rgbColor rgb="FFFED7AA"/>
      <rgbColor rgb="FF6366F1"/>
      <rgbColor rgb="FFF8FAFC"/>
      <rgbColor rgb="FF84CC16"/>
      <rgbColor rgb="FFF3E8FF"/>
      <rgbColor rgb="FFF59E0B"/>
      <rgbColor rgb="FFEF4444"/>
      <rgbColor rgb="FF6B7280"/>
      <rgbColor rgb="FF9CA3AF"/>
      <rgbColor rgb="FF1F2A44"/>
      <rgbColor rgb="FF10B981"/>
      <rgbColor rgb="FF003300"/>
      <rgbColor rgb="FF333300"/>
      <rgbColor rgb="FF92400E"/>
      <rgbColor rgb="FFC2410C"/>
      <rgbColor rgb="FF1E40AF"/>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toresMaster" displayName="ActoresMaster" ref="A1:X152" totalsRowShown="0">
  <autoFilter ref="A1:X152" xr:uid="{00000000-0009-0000-0100-000001000000}"/>
  <tableColumns count="24">
    <tableColumn id="1" xr3:uid="{00000000-0010-0000-0000-000001000000}" name="ID"/>
    <tableColumn id="2" xr3:uid="{00000000-0010-0000-0000-000002000000}" name="ID Vert"/>
    <tableColumn id="3" xr3:uid="{00000000-0010-0000-0000-000003000000}" name="Actor"/>
    <tableColumn id="4" xr3:uid="{00000000-0010-0000-0000-000004000000}" name="Tier"/>
    <tableColumn id="5" xr3:uid="{00000000-0010-0000-0000-000005000000}" name="Vert. Prim."/>
    <tableColumn id="6" xr3:uid="{00000000-0010-0000-0000-000006000000}" name="Tipo"/>
    <tableColumn id="7" xr3:uid="{00000000-0010-0000-0000-000007000000}" name="Sector"/>
    <tableColumn id="8" xr3:uid="{00000000-0010-0000-0000-000008000000}" name="País"/>
    <tableColumn id="9" xr3:uid="{00000000-0010-0000-0000-000009000000}" name="Visualizable"/>
    <tableColumn id="10" xr3:uid="{00000000-0010-0000-0000-00000A000000}" name="Certeza"/>
    <tableColumn id="11" xr3:uid="{00000000-0010-0000-0000-00000B000000}" name="V1"/>
    <tableColumn id="12" xr3:uid="{00000000-0010-0000-0000-00000C000000}" name="V2"/>
    <tableColumn id="13" xr3:uid="{00000000-0010-0000-0000-00000D000000}" name="V3"/>
    <tableColumn id="14" xr3:uid="{00000000-0010-0000-0000-00000E000000}" name="V4"/>
    <tableColumn id="15" xr3:uid="{00000000-0010-0000-0000-00000F000000}" name="V5"/>
    <tableColumn id="16" xr3:uid="{00000000-0010-0000-0000-000010000000}" name="V6"/>
    <tableColumn id="17" xr3:uid="{00000000-0010-0000-0000-000011000000}" name="V7"/>
    <tableColumn id="18" xr3:uid="{00000000-0010-0000-0000-000012000000}" name="V8"/>
    <tableColumn id="19" xr3:uid="{00000000-0010-0000-0000-000013000000}" name="V9"/>
    <tableColumn id="20" xr3:uid="{00000000-0010-0000-0000-000014000000}" name="Amplitud"/>
    <tableColumn id="21" xr3:uid="{00000000-0010-0000-0000-000015000000}" name="Profundidad"/>
    <tableColumn id="22" xr3:uid="{00000000-0010-0000-0000-000016000000}" name="Compuesto"/>
    <tableColumn id="23" xr3:uid="{00000000-0010-0000-0000-000017000000}" name="Tipo Capacidad"/>
    <tableColumn id="24" xr3:uid="{00000000-0010-0000-0000-000018000000}" name="Productos / Propiedad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Playbook_Mapeo_v1_00_30.xlsx" TargetMode="External"/><Relationship Id="rId18" Type="http://schemas.openxmlformats.org/officeDocument/2006/relationships/hyperlink" Target="Playbook_Mapeo_v1_00_30.xlsx" TargetMode="External"/><Relationship Id="rId26" Type="http://schemas.openxmlformats.org/officeDocument/2006/relationships/hyperlink" Target="Playbook_Mapeo_v1_00_31.xlsx" TargetMode="External"/><Relationship Id="rId3" Type="http://schemas.openxmlformats.org/officeDocument/2006/relationships/hyperlink" Target="Playbook_Mapeo_v1_00_30.xlsx" TargetMode="External"/><Relationship Id="rId21" Type="http://schemas.openxmlformats.org/officeDocument/2006/relationships/hyperlink" Target="Playbook_Mapeo_v1_00_30.xlsx" TargetMode="External"/><Relationship Id="rId34" Type="http://schemas.openxmlformats.org/officeDocument/2006/relationships/hyperlink" Target="Playbook_Mapeo_v1_00_31.xlsx" TargetMode="External"/><Relationship Id="rId7" Type="http://schemas.openxmlformats.org/officeDocument/2006/relationships/hyperlink" Target="Playbook_Mapeo_v1_00_30.xlsx" TargetMode="External"/><Relationship Id="rId12" Type="http://schemas.openxmlformats.org/officeDocument/2006/relationships/hyperlink" Target="Playbook_Mapeo_v1_00_30.xlsx" TargetMode="External"/><Relationship Id="rId17" Type="http://schemas.openxmlformats.org/officeDocument/2006/relationships/hyperlink" Target="Playbook_Mapeo_v1_00_30.xlsx" TargetMode="External"/><Relationship Id="rId25" Type="http://schemas.openxmlformats.org/officeDocument/2006/relationships/hyperlink" Target="Playbook_Mapeo_v1_00_30.xlsx" TargetMode="External"/><Relationship Id="rId33" Type="http://schemas.openxmlformats.org/officeDocument/2006/relationships/hyperlink" Target="Playbook_Mapeo_v1_00_31.xlsx" TargetMode="External"/><Relationship Id="rId2" Type="http://schemas.openxmlformats.org/officeDocument/2006/relationships/hyperlink" Target="Playbook_Mapeo_v1_00_30.xlsx" TargetMode="External"/><Relationship Id="rId16" Type="http://schemas.openxmlformats.org/officeDocument/2006/relationships/hyperlink" Target="Playbook_Mapeo_v1_00_30.xlsx" TargetMode="External"/><Relationship Id="rId20" Type="http://schemas.openxmlformats.org/officeDocument/2006/relationships/hyperlink" Target="Playbook_Mapeo_v1_00_30.xlsx" TargetMode="External"/><Relationship Id="rId29" Type="http://schemas.openxmlformats.org/officeDocument/2006/relationships/hyperlink" Target="Playbook_Mapeo_v1_00_31.xlsx" TargetMode="External"/><Relationship Id="rId1" Type="http://schemas.openxmlformats.org/officeDocument/2006/relationships/hyperlink" Target="Playbook_Mapeo_v1_00_30.xlsx" TargetMode="External"/><Relationship Id="rId6" Type="http://schemas.openxmlformats.org/officeDocument/2006/relationships/hyperlink" Target="Playbook_Mapeo_v1_00_30.xlsx" TargetMode="External"/><Relationship Id="rId11" Type="http://schemas.openxmlformats.org/officeDocument/2006/relationships/hyperlink" Target="Playbook_Mapeo_v1_00_30.xlsx" TargetMode="External"/><Relationship Id="rId24" Type="http://schemas.openxmlformats.org/officeDocument/2006/relationships/hyperlink" Target="Playbook_Mapeo_v1_00_30.xlsx" TargetMode="External"/><Relationship Id="rId32" Type="http://schemas.openxmlformats.org/officeDocument/2006/relationships/hyperlink" Target="Playbook_Mapeo_v1_00_31.xlsx" TargetMode="External"/><Relationship Id="rId5" Type="http://schemas.openxmlformats.org/officeDocument/2006/relationships/hyperlink" Target="Playbook_Mapeo_v1_00_30.xlsx" TargetMode="External"/><Relationship Id="rId15" Type="http://schemas.openxmlformats.org/officeDocument/2006/relationships/hyperlink" Target="Playbook_Mapeo_v1_00_30.xlsx" TargetMode="External"/><Relationship Id="rId23" Type="http://schemas.openxmlformats.org/officeDocument/2006/relationships/hyperlink" Target="Playbook_Mapeo_v1_00_30.xlsx" TargetMode="External"/><Relationship Id="rId28" Type="http://schemas.openxmlformats.org/officeDocument/2006/relationships/hyperlink" Target="Playbook_Mapeo_v1_00_31.xlsx" TargetMode="External"/><Relationship Id="rId36" Type="http://schemas.openxmlformats.org/officeDocument/2006/relationships/hyperlink" Target="Playbook_Mapeo_v1_00_30.xlsx" TargetMode="External"/><Relationship Id="rId10" Type="http://schemas.openxmlformats.org/officeDocument/2006/relationships/hyperlink" Target="Playbook_Mapeo_v1_00_30.xlsx" TargetMode="External"/><Relationship Id="rId19" Type="http://schemas.openxmlformats.org/officeDocument/2006/relationships/hyperlink" Target="Playbook_Mapeo_v1_00_30.xlsx" TargetMode="External"/><Relationship Id="rId31" Type="http://schemas.openxmlformats.org/officeDocument/2006/relationships/hyperlink" Target="Playbook_Mapeo_v1_00_31.xlsx" TargetMode="External"/><Relationship Id="rId4" Type="http://schemas.openxmlformats.org/officeDocument/2006/relationships/hyperlink" Target="Playbook_Mapeo_v1_00_30.xlsx" TargetMode="External"/><Relationship Id="rId9" Type="http://schemas.openxmlformats.org/officeDocument/2006/relationships/hyperlink" Target="Playbook_Mapeo_v1_00_30.xlsx" TargetMode="External"/><Relationship Id="rId14" Type="http://schemas.openxmlformats.org/officeDocument/2006/relationships/hyperlink" Target="Playbook_Mapeo_v1_00_30.xlsx" TargetMode="External"/><Relationship Id="rId22" Type="http://schemas.openxmlformats.org/officeDocument/2006/relationships/hyperlink" Target="Playbook_Mapeo_v1_00_30.xlsx" TargetMode="External"/><Relationship Id="rId27" Type="http://schemas.openxmlformats.org/officeDocument/2006/relationships/hyperlink" Target="Playbook_Mapeo_v1_00_31.xlsx" TargetMode="External"/><Relationship Id="rId30" Type="http://schemas.openxmlformats.org/officeDocument/2006/relationships/hyperlink" Target="Playbook_Mapeo_v1_00_31.xlsx" TargetMode="External"/><Relationship Id="rId35" Type="http://schemas.openxmlformats.org/officeDocument/2006/relationships/hyperlink" Target="Playbook_Mapeo_v1_00_31.xlsx" TargetMode="External"/><Relationship Id="rId8" Type="http://schemas.openxmlformats.org/officeDocument/2006/relationships/hyperlink" Target="Playbook_Mapeo_v1_00_30.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kta.tech/customers/univision-televisa-vix/"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showGridLines="0" zoomScaleNormal="100" workbookViewId="0">
      <selection activeCell="G12" sqref="G12:I12"/>
    </sheetView>
  </sheetViews>
  <sheetFormatPr baseColWidth="10" defaultColWidth="8.6640625" defaultRowHeight="15" x14ac:dyDescent="0.2"/>
  <cols>
    <col min="1" max="1" width="9" customWidth="1"/>
    <col min="2" max="2" width="11" customWidth="1"/>
    <col min="3" max="3" width="9" customWidth="1"/>
    <col min="4" max="4" width="11" customWidth="1"/>
    <col min="5" max="5" width="9" customWidth="1"/>
    <col min="6" max="6" width="11" customWidth="1"/>
    <col min="7" max="7" width="9" customWidth="1"/>
    <col min="8" max="8" width="11" customWidth="1"/>
    <col min="9" max="9" width="9" customWidth="1"/>
    <col min="10" max="10" width="11" customWidth="1"/>
    <col min="11" max="11" width="9" customWidth="1"/>
    <col min="12" max="12" width="11" customWidth="1"/>
  </cols>
  <sheetData>
    <row r="1" spans="1:12" ht="7.5" customHeight="1" x14ac:dyDescent="0.2">
      <c r="A1" s="1"/>
      <c r="B1" s="1"/>
      <c r="C1" s="1"/>
      <c r="D1" s="1"/>
      <c r="E1" s="1"/>
      <c r="F1" s="1"/>
      <c r="G1" s="1"/>
      <c r="H1" s="1"/>
      <c r="I1" s="1"/>
      <c r="J1" s="1"/>
      <c r="K1" s="1"/>
      <c r="L1" s="1"/>
    </row>
    <row r="2" spans="1:12" ht="37.5" customHeight="1" x14ac:dyDescent="0.2">
      <c r="A2" s="192" t="s">
        <v>0</v>
      </c>
      <c r="B2" s="192"/>
      <c r="C2" s="192"/>
      <c r="D2" s="192"/>
      <c r="E2" s="192"/>
      <c r="F2" s="192"/>
      <c r="G2" s="192"/>
      <c r="H2" s="192"/>
      <c r="I2" s="193" t="s">
        <v>1</v>
      </c>
      <c r="J2" s="193"/>
      <c r="K2" s="193"/>
      <c r="L2" s="193"/>
    </row>
    <row r="3" spans="1:12" ht="18" customHeight="1" x14ac:dyDescent="0.2">
      <c r="A3" s="194" t="s">
        <v>2</v>
      </c>
      <c r="B3" s="194"/>
      <c r="C3" s="194"/>
      <c r="D3" s="194"/>
      <c r="E3" s="194"/>
      <c r="F3" s="194"/>
      <c r="G3" s="194"/>
      <c r="H3" s="194"/>
      <c r="I3" s="195" t="s">
        <v>3</v>
      </c>
      <c r="J3" s="195"/>
      <c r="K3" s="195"/>
      <c r="L3" s="195"/>
    </row>
    <row r="4" spans="1:12" ht="12" customHeight="1" x14ac:dyDescent="0.2">
      <c r="A4" s="2"/>
      <c r="B4" s="2"/>
      <c r="C4" s="2"/>
      <c r="D4" s="2"/>
      <c r="E4" s="2"/>
      <c r="F4" s="2"/>
      <c r="G4" s="2"/>
      <c r="H4" s="2"/>
      <c r="I4" s="2"/>
      <c r="J4" s="2"/>
      <c r="K4" s="2"/>
      <c r="L4" s="2"/>
    </row>
    <row r="5" spans="1:12" ht="21.75" customHeight="1" x14ac:dyDescent="0.2">
      <c r="A5" s="156" t="s">
        <v>4</v>
      </c>
      <c r="B5" s="156"/>
      <c r="C5" s="156"/>
      <c r="D5" s="156"/>
      <c r="E5" s="156"/>
      <c r="F5" s="156"/>
      <c r="G5" s="156"/>
      <c r="H5" s="156"/>
      <c r="I5" s="156"/>
      <c r="J5" s="156"/>
      <c r="K5" s="156"/>
      <c r="L5" s="156"/>
    </row>
    <row r="6" spans="1:12" ht="31.5" customHeight="1" x14ac:dyDescent="0.2">
      <c r="A6" s="191" t="s">
        <v>5</v>
      </c>
      <c r="B6" s="191"/>
      <c r="C6" s="191"/>
      <c r="D6" s="191" t="s">
        <v>6</v>
      </c>
      <c r="E6" s="191"/>
      <c r="F6" s="191"/>
      <c r="G6" s="191" t="s">
        <v>7</v>
      </c>
      <c r="H6" s="191"/>
      <c r="I6" s="191"/>
      <c r="J6" s="191">
        <v>159</v>
      </c>
      <c r="K6" s="191"/>
      <c r="L6" s="191"/>
    </row>
    <row r="7" spans="1:12" ht="15.75" customHeight="1" x14ac:dyDescent="0.2">
      <c r="A7" s="189" t="s">
        <v>8</v>
      </c>
      <c r="B7" s="189"/>
      <c r="C7" s="189"/>
      <c r="D7" s="189" t="s">
        <v>9</v>
      </c>
      <c r="E7" s="189"/>
      <c r="F7" s="189"/>
      <c r="G7" s="189" t="s">
        <v>10</v>
      </c>
      <c r="H7" s="189"/>
      <c r="I7" s="189"/>
      <c r="J7" s="189" t="s">
        <v>11</v>
      </c>
      <c r="K7" s="189"/>
      <c r="L7" s="189"/>
    </row>
    <row r="8" spans="1:12" ht="15.75" customHeight="1" x14ac:dyDescent="0.2">
      <c r="A8" s="190" t="s">
        <v>12</v>
      </c>
      <c r="B8" s="190"/>
      <c r="C8" s="190"/>
      <c r="D8" s="190" t="s">
        <v>13</v>
      </c>
      <c r="E8" s="190"/>
      <c r="F8" s="190"/>
      <c r="G8" s="190" t="s">
        <v>14</v>
      </c>
      <c r="H8" s="190"/>
      <c r="I8" s="190"/>
      <c r="J8" s="190"/>
      <c r="K8" s="190"/>
      <c r="L8" s="190"/>
    </row>
    <row r="9" spans="1:12" ht="15" customHeight="1" x14ac:dyDescent="0.2">
      <c r="A9" s="3"/>
      <c r="B9" s="3"/>
      <c r="C9" s="3"/>
      <c r="D9" s="3"/>
      <c r="E9" s="3"/>
      <c r="F9" s="3"/>
      <c r="G9" s="3"/>
      <c r="H9" s="3"/>
      <c r="I9" s="3"/>
      <c r="J9" s="3"/>
      <c r="K9" s="3"/>
      <c r="L9" s="3"/>
    </row>
    <row r="10" spans="1:12" ht="31.5" customHeight="1" x14ac:dyDescent="0.2">
      <c r="A10" s="191" t="s">
        <v>15</v>
      </c>
      <c r="B10" s="191"/>
      <c r="C10" s="191"/>
      <c r="D10" s="191" t="s">
        <v>16</v>
      </c>
      <c r="E10" s="191"/>
      <c r="F10" s="191"/>
      <c r="G10" s="191" t="s">
        <v>17</v>
      </c>
      <c r="H10" s="191"/>
      <c r="I10" s="191"/>
      <c r="J10" s="191">
        <v>7</v>
      </c>
      <c r="K10" s="191"/>
      <c r="L10" s="191"/>
    </row>
    <row r="11" spans="1:12" ht="15.75" customHeight="1" x14ac:dyDescent="0.2">
      <c r="A11" s="189" t="s">
        <v>18</v>
      </c>
      <c r="B11" s="189"/>
      <c r="C11" s="189"/>
      <c r="D11" s="189" t="s">
        <v>19</v>
      </c>
      <c r="E11" s="189"/>
      <c r="F11" s="189"/>
      <c r="G11" s="189" t="s">
        <v>20</v>
      </c>
      <c r="H11" s="189"/>
      <c r="I11" s="189"/>
      <c r="J11" s="189" t="s">
        <v>4255</v>
      </c>
      <c r="K11" s="189"/>
      <c r="L11" s="189"/>
    </row>
    <row r="12" spans="1:12" ht="15.75" customHeight="1" x14ac:dyDescent="0.2">
      <c r="A12" s="190"/>
      <c r="B12" s="190"/>
      <c r="C12" s="190"/>
      <c r="D12" s="190" t="s">
        <v>21</v>
      </c>
      <c r="E12" s="190"/>
      <c r="F12" s="190"/>
      <c r="G12" s="190"/>
      <c r="H12" s="190"/>
      <c r="I12" s="190"/>
      <c r="J12" s="190"/>
      <c r="K12" s="190"/>
      <c r="L12" s="190"/>
    </row>
    <row r="13" spans="1:12" ht="18" customHeight="1" x14ac:dyDescent="0.2">
      <c r="A13" s="3"/>
      <c r="B13" s="3"/>
      <c r="C13" s="3"/>
      <c r="D13" s="3"/>
      <c r="E13" s="3"/>
      <c r="F13" s="3"/>
      <c r="G13" s="3"/>
      <c r="H13" s="3"/>
      <c r="I13" s="3"/>
      <c r="J13" s="3"/>
      <c r="K13" s="3"/>
      <c r="L13" s="3"/>
    </row>
    <row r="14" spans="1:12" ht="21.75" customHeight="1" x14ac:dyDescent="0.2">
      <c r="A14" s="156" t="s">
        <v>22</v>
      </c>
      <c r="B14" s="156"/>
      <c r="C14" s="156"/>
      <c r="D14" s="156"/>
      <c r="E14" s="156"/>
      <c r="F14" s="156"/>
      <c r="G14" s="156"/>
      <c r="H14" s="156"/>
      <c r="I14" s="156"/>
      <c r="J14" s="156"/>
      <c r="K14" s="156"/>
      <c r="L14" s="156"/>
    </row>
    <row r="15" spans="1:12" ht="18" customHeight="1" x14ac:dyDescent="0.2">
      <c r="A15" s="159" t="s">
        <v>23</v>
      </c>
      <c r="B15" s="159"/>
      <c r="C15" s="159"/>
      <c r="D15" s="159"/>
      <c r="E15" s="159"/>
      <c r="F15" s="159"/>
      <c r="G15" s="159"/>
      <c r="H15" s="159"/>
      <c r="I15" s="159"/>
      <c r="J15" s="159"/>
      <c r="K15" s="159"/>
      <c r="L15" s="159"/>
    </row>
    <row r="16" spans="1:12" ht="21.75" customHeight="1" x14ac:dyDescent="0.2">
      <c r="A16" s="4" t="s">
        <v>24</v>
      </c>
      <c r="B16" s="182" t="s">
        <v>25</v>
      </c>
      <c r="C16" s="182"/>
      <c r="D16" s="5" t="s">
        <v>26</v>
      </c>
      <c r="E16" s="6" t="s">
        <v>27</v>
      </c>
      <c r="F16" s="182" t="s">
        <v>28</v>
      </c>
      <c r="G16" s="182"/>
      <c r="H16" s="5" t="s">
        <v>29</v>
      </c>
      <c r="I16" s="7" t="s">
        <v>30</v>
      </c>
      <c r="J16" s="182" t="s">
        <v>31</v>
      </c>
      <c r="K16" s="182"/>
      <c r="L16" s="5" t="s">
        <v>32</v>
      </c>
    </row>
    <row r="17" spans="1:12" ht="27.75" customHeight="1" x14ac:dyDescent="0.2">
      <c r="A17" s="186" t="s">
        <v>33</v>
      </c>
      <c r="B17" s="186"/>
      <c r="C17" s="186"/>
      <c r="D17" s="186"/>
      <c r="E17" s="187" t="s">
        <v>34</v>
      </c>
      <c r="F17" s="187"/>
      <c r="G17" s="187"/>
      <c r="H17" s="187"/>
      <c r="I17" s="188" t="s">
        <v>35</v>
      </c>
      <c r="J17" s="188"/>
      <c r="K17" s="188"/>
      <c r="L17" s="188"/>
    </row>
    <row r="18" spans="1:12" ht="15" customHeight="1" x14ac:dyDescent="0.2">
      <c r="A18" s="3"/>
      <c r="B18" s="3"/>
      <c r="C18" s="3"/>
      <c r="D18" s="3"/>
      <c r="E18" s="3"/>
      <c r="F18" s="3"/>
      <c r="G18" s="3"/>
      <c r="H18" s="3"/>
      <c r="I18" s="3"/>
      <c r="J18" s="3"/>
      <c r="K18" s="3"/>
      <c r="L18" s="3"/>
    </row>
    <row r="19" spans="1:12" ht="21.75" customHeight="1" x14ac:dyDescent="0.2">
      <c r="A19" s="8" t="s">
        <v>36</v>
      </c>
      <c r="B19" s="182" t="s">
        <v>37</v>
      </c>
      <c r="C19" s="182"/>
      <c r="D19" s="5" t="s">
        <v>38</v>
      </c>
      <c r="E19" s="9" t="s">
        <v>39</v>
      </c>
      <c r="F19" s="182" t="s">
        <v>40</v>
      </c>
      <c r="G19" s="182"/>
      <c r="H19" s="5" t="s">
        <v>41</v>
      </c>
      <c r="I19" s="10" t="s">
        <v>42</v>
      </c>
      <c r="J19" s="182" t="s">
        <v>43</v>
      </c>
      <c r="K19" s="182"/>
      <c r="L19" s="5" t="s">
        <v>44</v>
      </c>
    </row>
    <row r="20" spans="1:12" ht="27.75" customHeight="1" x14ac:dyDescent="0.2">
      <c r="A20" s="179" t="s">
        <v>45</v>
      </c>
      <c r="B20" s="179"/>
      <c r="C20" s="179"/>
      <c r="D20" s="179"/>
      <c r="E20" s="180" t="s">
        <v>46</v>
      </c>
      <c r="F20" s="180"/>
      <c r="G20" s="180"/>
      <c r="H20" s="180"/>
      <c r="I20" s="181" t="s">
        <v>47</v>
      </c>
      <c r="J20" s="181"/>
      <c r="K20" s="181"/>
      <c r="L20" s="181"/>
    </row>
    <row r="21" spans="1:12" ht="15" customHeight="1" x14ac:dyDescent="0.2">
      <c r="A21" s="3"/>
      <c r="B21" s="3"/>
      <c r="C21" s="3"/>
      <c r="D21" s="3"/>
      <c r="E21" s="3"/>
      <c r="F21" s="3"/>
      <c r="G21" s="3"/>
      <c r="H21" s="3"/>
      <c r="I21" s="3"/>
      <c r="J21" s="3"/>
      <c r="K21" s="3"/>
      <c r="L21" s="3"/>
    </row>
    <row r="22" spans="1:12" ht="21.75" customHeight="1" x14ac:dyDescent="0.2">
      <c r="A22" s="11" t="s">
        <v>48</v>
      </c>
      <c r="B22" s="182" t="s">
        <v>49</v>
      </c>
      <c r="C22" s="182"/>
      <c r="D22" s="5" t="s">
        <v>50</v>
      </c>
      <c r="E22" s="12" t="s">
        <v>51</v>
      </c>
      <c r="F22" s="182" t="s">
        <v>52</v>
      </c>
      <c r="G22" s="182"/>
      <c r="H22" s="5" t="s">
        <v>53</v>
      </c>
      <c r="I22" s="13" t="s">
        <v>54</v>
      </c>
      <c r="J22" s="182" t="s">
        <v>55</v>
      </c>
      <c r="K22" s="182"/>
      <c r="L22" s="5" t="s">
        <v>56</v>
      </c>
    </row>
    <row r="23" spans="1:12" ht="27.75" customHeight="1" x14ac:dyDescent="0.2">
      <c r="A23" s="183" t="s">
        <v>57</v>
      </c>
      <c r="B23" s="183"/>
      <c r="C23" s="183"/>
      <c r="D23" s="183"/>
      <c r="E23" s="184" t="s">
        <v>58</v>
      </c>
      <c r="F23" s="184"/>
      <c r="G23" s="184"/>
      <c r="H23" s="184"/>
      <c r="I23" s="185" t="s">
        <v>59</v>
      </c>
      <c r="J23" s="185"/>
      <c r="K23" s="185"/>
      <c r="L23" s="185"/>
    </row>
    <row r="24" spans="1:12" ht="15" customHeight="1" x14ac:dyDescent="0.2">
      <c r="A24" s="3"/>
      <c r="B24" s="3"/>
      <c r="C24" s="3"/>
      <c r="D24" s="3"/>
      <c r="E24" s="3"/>
      <c r="F24" s="3"/>
      <c r="G24" s="3"/>
      <c r="H24" s="3"/>
      <c r="I24" s="3"/>
      <c r="J24" s="3"/>
      <c r="K24" s="3"/>
      <c r="L24" s="3"/>
    </row>
    <row r="25" spans="1:12" ht="18" customHeight="1" x14ac:dyDescent="0.2">
      <c r="A25" s="3"/>
      <c r="B25" s="3"/>
      <c r="C25" s="3"/>
      <c r="D25" s="3"/>
      <c r="E25" s="3"/>
      <c r="F25" s="3"/>
      <c r="G25" s="3"/>
      <c r="H25" s="3"/>
      <c r="I25" s="3"/>
      <c r="J25" s="3"/>
      <c r="K25" s="3"/>
      <c r="L25" s="3"/>
    </row>
    <row r="26" spans="1:12" ht="21.75" customHeight="1" x14ac:dyDescent="0.2">
      <c r="A26" s="156" t="s">
        <v>60</v>
      </c>
      <c r="B26" s="156"/>
      <c r="C26" s="156"/>
      <c r="D26" s="156"/>
      <c r="E26" s="156"/>
      <c r="F26" s="156"/>
      <c r="G26" s="156"/>
      <c r="H26" s="156"/>
      <c r="I26" s="156"/>
      <c r="J26" s="156"/>
      <c r="K26" s="156"/>
      <c r="L26" s="156"/>
    </row>
    <row r="27" spans="1:12" ht="18" customHeight="1" x14ac:dyDescent="0.2">
      <c r="A27" s="159" t="s">
        <v>61</v>
      </c>
      <c r="B27" s="159"/>
      <c r="C27" s="159"/>
      <c r="D27" s="159"/>
      <c r="E27" s="159"/>
      <c r="F27" s="159"/>
      <c r="G27" s="159"/>
      <c r="H27" s="159"/>
      <c r="I27" s="159"/>
      <c r="J27" s="159"/>
      <c r="K27" s="159"/>
      <c r="L27" s="159"/>
    </row>
    <row r="28" spans="1:12" ht="21.75" customHeight="1" x14ac:dyDescent="0.2">
      <c r="A28" s="14" t="s">
        <v>62</v>
      </c>
      <c r="B28" s="174" t="s">
        <v>63</v>
      </c>
      <c r="C28" s="174"/>
      <c r="D28" s="174"/>
      <c r="E28" s="174"/>
      <c r="F28" s="174"/>
      <c r="G28" s="14" t="s">
        <v>64</v>
      </c>
      <c r="H28" s="14" t="s">
        <v>65</v>
      </c>
      <c r="I28" s="174" t="s">
        <v>66</v>
      </c>
      <c r="J28" s="174"/>
      <c r="K28" s="15" t="s">
        <v>67</v>
      </c>
      <c r="L28" s="15" t="s">
        <v>68</v>
      </c>
    </row>
    <row r="29" spans="1:12" ht="18.75" customHeight="1" x14ac:dyDescent="0.2">
      <c r="A29" s="16">
        <v>1</v>
      </c>
      <c r="B29" s="169" t="s">
        <v>69</v>
      </c>
      <c r="C29" s="169"/>
      <c r="D29" s="169"/>
      <c r="E29" s="169"/>
      <c r="F29" s="169"/>
      <c r="G29" s="17" t="s">
        <v>70</v>
      </c>
      <c r="H29" s="18" t="s">
        <v>54</v>
      </c>
      <c r="I29" s="170" t="s">
        <v>71</v>
      </c>
      <c r="J29" s="170"/>
      <c r="K29" s="19">
        <v>9</v>
      </c>
      <c r="L29" s="20">
        <v>0.78100000000000003</v>
      </c>
    </row>
    <row r="30" spans="1:12" ht="18.75" customHeight="1" x14ac:dyDescent="0.2">
      <c r="A30" s="16">
        <v>2</v>
      </c>
      <c r="B30" s="169" t="s">
        <v>72</v>
      </c>
      <c r="C30" s="169"/>
      <c r="D30" s="169"/>
      <c r="E30" s="169"/>
      <c r="F30" s="169"/>
      <c r="G30" s="17" t="s">
        <v>70</v>
      </c>
      <c r="H30" s="18" t="s">
        <v>54</v>
      </c>
      <c r="I30" s="170" t="s">
        <v>71</v>
      </c>
      <c r="J30" s="170"/>
      <c r="K30" s="19">
        <v>9</v>
      </c>
      <c r="L30" s="20">
        <v>0.78100000000000003</v>
      </c>
    </row>
    <row r="31" spans="1:12" ht="18.75" customHeight="1" x14ac:dyDescent="0.2">
      <c r="A31" s="16">
        <v>3</v>
      </c>
      <c r="B31" s="169" t="s">
        <v>73</v>
      </c>
      <c r="C31" s="169"/>
      <c r="D31" s="169"/>
      <c r="E31" s="169"/>
      <c r="F31" s="169"/>
      <c r="G31" s="17" t="s">
        <v>70</v>
      </c>
      <c r="H31" s="21" t="s">
        <v>39</v>
      </c>
      <c r="I31" s="170" t="s">
        <v>71</v>
      </c>
      <c r="J31" s="170"/>
      <c r="K31" s="19">
        <v>7.5</v>
      </c>
      <c r="L31" s="20">
        <v>0.72899999999999998</v>
      </c>
    </row>
    <row r="32" spans="1:12" ht="18.75" customHeight="1" x14ac:dyDescent="0.2">
      <c r="A32" s="16">
        <v>4</v>
      </c>
      <c r="B32" s="169" t="s">
        <v>74</v>
      </c>
      <c r="C32" s="169"/>
      <c r="D32" s="169"/>
      <c r="E32" s="169"/>
      <c r="F32" s="169"/>
      <c r="G32" s="17" t="s">
        <v>70</v>
      </c>
      <c r="H32" s="22" t="s">
        <v>24</v>
      </c>
      <c r="I32" s="170" t="s">
        <v>75</v>
      </c>
      <c r="J32" s="170"/>
      <c r="K32" s="19">
        <v>4</v>
      </c>
      <c r="L32" s="20">
        <v>0.72199999999999998</v>
      </c>
    </row>
    <row r="33" spans="1:12" ht="18.75" customHeight="1" x14ac:dyDescent="0.2">
      <c r="A33" s="16">
        <v>5</v>
      </c>
      <c r="B33" s="169" t="s">
        <v>76</v>
      </c>
      <c r="C33" s="169"/>
      <c r="D33" s="169"/>
      <c r="E33" s="169"/>
      <c r="F33" s="169"/>
      <c r="G33" s="17" t="s">
        <v>70</v>
      </c>
      <c r="H33" s="22" t="s">
        <v>24</v>
      </c>
      <c r="I33" s="170" t="s">
        <v>75</v>
      </c>
      <c r="J33" s="170"/>
      <c r="K33" s="19">
        <v>4</v>
      </c>
      <c r="L33" s="20">
        <v>0.72199999999999998</v>
      </c>
    </row>
    <row r="34" spans="1:12" ht="18.75" customHeight="1" x14ac:dyDescent="0.2">
      <c r="A34" s="23">
        <v>6</v>
      </c>
      <c r="B34" s="177" t="s">
        <v>77</v>
      </c>
      <c r="C34" s="177"/>
      <c r="D34" s="177"/>
      <c r="E34" s="177"/>
      <c r="F34" s="177"/>
      <c r="G34" s="24" t="s">
        <v>78</v>
      </c>
      <c r="H34" s="25" t="s">
        <v>36</v>
      </c>
      <c r="I34" s="178" t="s">
        <v>75</v>
      </c>
      <c r="J34" s="178"/>
      <c r="K34" s="26">
        <v>4</v>
      </c>
      <c r="L34" s="27">
        <v>0.72199999999999998</v>
      </c>
    </row>
    <row r="35" spans="1:12" ht="18.75" customHeight="1" x14ac:dyDescent="0.2">
      <c r="A35" s="16">
        <v>7</v>
      </c>
      <c r="B35" s="169" t="s">
        <v>79</v>
      </c>
      <c r="C35" s="169"/>
      <c r="D35" s="169"/>
      <c r="E35" s="169"/>
      <c r="F35" s="169"/>
      <c r="G35" s="17" t="s">
        <v>70</v>
      </c>
      <c r="H35" s="18" t="s">
        <v>54</v>
      </c>
      <c r="I35" s="170" t="s">
        <v>71</v>
      </c>
      <c r="J35" s="170"/>
      <c r="K35" s="19">
        <v>7.5</v>
      </c>
      <c r="L35" s="20">
        <v>0.65100000000000002</v>
      </c>
    </row>
    <row r="36" spans="1:12" ht="18.75" customHeight="1" x14ac:dyDescent="0.2">
      <c r="A36" s="23">
        <v>8</v>
      </c>
      <c r="B36" s="177" t="s">
        <v>80</v>
      </c>
      <c r="C36" s="177"/>
      <c r="D36" s="177"/>
      <c r="E36" s="177"/>
      <c r="F36" s="177"/>
      <c r="G36" s="24" t="s">
        <v>78</v>
      </c>
      <c r="H36" s="28" t="s">
        <v>24</v>
      </c>
      <c r="I36" s="178" t="s">
        <v>75</v>
      </c>
      <c r="J36" s="178"/>
      <c r="K36" s="26">
        <v>5.5</v>
      </c>
      <c r="L36" s="27">
        <v>0.64900000000000002</v>
      </c>
    </row>
    <row r="37" spans="1:12" ht="18.75" customHeight="1" x14ac:dyDescent="0.2">
      <c r="A37" s="29">
        <v>9</v>
      </c>
      <c r="B37" s="175" t="s">
        <v>81</v>
      </c>
      <c r="C37" s="175"/>
      <c r="D37" s="175"/>
      <c r="E37" s="175"/>
      <c r="F37" s="175"/>
      <c r="G37" s="30" t="s">
        <v>78</v>
      </c>
      <c r="H37" s="31" t="s">
        <v>24</v>
      </c>
      <c r="I37" s="176" t="s">
        <v>75</v>
      </c>
      <c r="J37" s="176"/>
      <c r="K37" s="32">
        <v>5.5</v>
      </c>
      <c r="L37" s="33">
        <v>0.64900000000000002</v>
      </c>
    </row>
    <row r="38" spans="1:12" ht="18.75" customHeight="1" x14ac:dyDescent="0.2">
      <c r="A38" s="16">
        <v>10</v>
      </c>
      <c r="B38" s="169" t="s">
        <v>82</v>
      </c>
      <c r="C38" s="169"/>
      <c r="D38" s="169"/>
      <c r="E38" s="169"/>
      <c r="F38" s="169"/>
      <c r="G38" s="17" t="s">
        <v>70</v>
      </c>
      <c r="H38" s="22" t="s">
        <v>24</v>
      </c>
      <c r="I38" s="170" t="s">
        <v>75</v>
      </c>
      <c r="J38" s="170"/>
      <c r="K38" s="19">
        <v>3.5</v>
      </c>
      <c r="L38" s="20">
        <v>0.63200000000000001</v>
      </c>
    </row>
    <row r="39" spans="1:12" ht="18.75" customHeight="1" x14ac:dyDescent="0.2">
      <c r="A39" s="29">
        <v>11</v>
      </c>
      <c r="B39" s="175" t="s">
        <v>83</v>
      </c>
      <c r="C39" s="175"/>
      <c r="D39" s="175"/>
      <c r="E39" s="175"/>
      <c r="F39" s="175"/>
      <c r="G39" s="30" t="s">
        <v>84</v>
      </c>
      <c r="H39" s="34" t="s">
        <v>39</v>
      </c>
      <c r="I39" s="176" t="s">
        <v>75</v>
      </c>
      <c r="J39" s="176"/>
      <c r="K39" s="32">
        <v>5</v>
      </c>
      <c r="L39" s="33">
        <v>0.59</v>
      </c>
    </row>
    <row r="40" spans="1:12" ht="18.75" customHeight="1" x14ac:dyDescent="0.2">
      <c r="A40" s="23">
        <v>12</v>
      </c>
      <c r="B40" s="177" t="s">
        <v>85</v>
      </c>
      <c r="C40" s="177"/>
      <c r="D40" s="177"/>
      <c r="E40" s="177"/>
      <c r="F40" s="177"/>
      <c r="G40" s="24" t="s">
        <v>78</v>
      </c>
      <c r="H40" s="28" t="s">
        <v>24</v>
      </c>
      <c r="I40" s="178" t="s">
        <v>75</v>
      </c>
      <c r="J40" s="178"/>
      <c r="K40" s="26">
        <v>5</v>
      </c>
      <c r="L40" s="27">
        <v>0.59</v>
      </c>
    </row>
    <row r="41" spans="1:12" ht="18.75" customHeight="1" x14ac:dyDescent="0.2">
      <c r="A41" s="16">
        <v>13</v>
      </c>
      <c r="B41" s="169" t="s">
        <v>86</v>
      </c>
      <c r="C41" s="169"/>
      <c r="D41" s="169"/>
      <c r="E41" s="169"/>
      <c r="F41" s="169"/>
      <c r="G41" s="17" t="s">
        <v>70</v>
      </c>
      <c r="H41" s="35" t="s">
        <v>36</v>
      </c>
      <c r="I41" s="170" t="s">
        <v>75</v>
      </c>
      <c r="J41" s="170"/>
      <c r="K41" s="19">
        <v>5</v>
      </c>
      <c r="L41" s="20">
        <v>0.59</v>
      </c>
    </row>
    <row r="42" spans="1:12" ht="18.75" customHeight="1" x14ac:dyDescent="0.2">
      <c r="A42" s="16">
        <v>14</v>
      </c>
      <c r="B42" s="169" t="s">
        <v>87</v>
      </c>
      <c r="C42" s="169"/>
      <c r="D42" s="169"/>
      <c r="E42" s="169"/>
      <c r="F42" s="169"/>
      <c r="G42" s="17" t="s">
        <v>70</v>
      </c>
      <c r="H42" s="18" t="s">
        <v>54</v>
      </c>
      <c r="I42" s="170" t="s">
        <v>71</v>
      </c>
      <c r="J42" s="170"/>
      <c r="K42" s="19">
        <v>6</v>
      </c>
      <c r="L42" s="20">
        <v>0.58299999999999996</v>
      </c>
    </row>
    <row r="43" spans="1:12" ht="18.75" customHeight="1" x14ac:dyDescent="0.2">
      <c r="A43" s="36">
        <v>15</v>
      </c>
      <c r="B43" s="171" t="s">
        <v>88</v>
      </c>
      <c r="C43" s="171"/>
      <c r="D43" s="171"/>
      <c r="E43" s="171"/>
      <c r="F43" s="171"/>
      <c r="G43" s="37" t="s">
        <v>70</v>
      </c>
      <c r="H43" s="38" t="s">
        <v>54</v>
      </c>
      <c r="I43" s="172" t="s">
        <v>71</v>
      </c>
      <c r="J43" s="172"/>
      <c r="K43" s="39">
        <v>6</v>
      </c>
      <c r="L43" s="40">
        <v>0.58299999999999996</v>
      </c>
    </row>
    <row r="44" spans="1:12" ht="21.75" customHeight="1" x14ac:dyDescent="0.2">
      <c r="A44" s="173" t="s">
        <v>89</v>
      </c>
      <c r="B44" s="173"/>
      <c r="C44" s="173"/>
      <c r="D44" s="173"/>
      <c r="E44" s="173"/>
      <c r="F44" s="173"/>
      <c r="G44" s="173"/>
      <c r="H44" s="173"/>
      <c r="I44" s="173"/>
      <c r="J44" s="173"/>
      <c r="K44" s="173"/>
      <c r="L44" s="173"/>
    </row>
    <row r="45" spans="1:12" ht="18" customHeight="1" x14ac:dyDescent="0.2">
      <c r="A45" s="3"/>
      <c r="B45" s="3"/>
      <c r="C45" s="3"/>
      <c r="D45" s="3"/>
      <c r="E45" s="3"/>
      <c r="F45" s="3"/>
      <c r="G45" s="3"/>
      <c r="H45" s="3"/>
      <c r="I45" s="3"/>
      <c r="J45" s="3"/>
      <c r="K45" s="3"/>
      <c r="L45" s="3"/>
    </row>
    <row r="46" spans="1:12" ht="21.75" customHeight="1" x14ac:dyDescent="0.2">
      <c r="A46" s="156" t="s">
        <v>90</v>
      </c>
      <c r="B46" s="156"/>
      <c r="C46" s="156"/>
      <c r="D46" s="156"/>
      <c r="E46" s="156"/>
      <c r="F46" s="156"/>
      <c r="G46" s="156"/>
      <c r="H46" s="156"/>
      <c r="I46" s="156"/>
      <c r="J46" s="156"/>
      <c r="K46" s="156"/>
      <c r="L46" s="156"/>
    </row>
    <row r="47" spans="1:12" ht="18" customHeight="1" x14ac:dyDescent="0.2">
      <c r="A47" s="159" t="s">
        <v>91</v>
      </c>
      <c r="B47" s="159"/>
      <c r="C47" s="159"/>
      <c r="D47" s="159"/>
      <c r="E47" s="159"/>
      <c r="F47" s="159"/>
      <c r="G47" s="159"/>
      <c r="H47" s="159"/>
      <c r="I47" s="159"/>
      <c r="J47" s="159"/>
      <c r="K47" s="159"/>
      <c r="L47" s="159"/>
    </row>
    <row r="48" spans="1:12" ht="21.75" customHeight="1" x14ac:dyDescent="0.2">
      <c r="A48" s="174" t="s">
        <v>92</v>
      </c>
      <c r="B48" s="174"/>
      <c r="C48" s="174"/>
      <c r="D48" s="174"/>
      <c r="E48" s="174" t="s">
        <v>93</v>
      </c>
      <c r="F48" s="174"/>
      <c r="G48" s="174"/>
      <c r="H48" s="174"/>
      <c r="I48" s="174"/>
      <c r="J48" s="174" t="s">
        <v>94</v>
      </c>
      <c r="K48" s="174"/>
      <c r="L48" s="174"/>
    </row>
    <row r="49" spans="1:12" ht="21.75" customHeight="1" x14ac:dyDescent="0.2">
      <c r="A49" s="161" t="s">
        <v>95</v>
      </c>
      <c r="B49" s="161"/>
      <c r="C49" s="161"/>
      <c r="D49" s="161"/>
      <c r="E49" s="162" t="s">
        <v>96</v>
      </c>
      <c r="F49" s="162"/>
      <c r="G49" s="162"/>
      <c r="H49" s="162"/>
      <c r="I49" s="162"/>
      <c r="J49" s="163" t="s">
        <v>97</v>
      </c>
      <c r="K49" s="163"/>
      <c r="L49" s="163"/>
    </row>
    <row r="50" spans="1:12" ht="21.75" customHeight="1" x14ac:dyDescent="0.2">
      <c r="A50" s="164" t="s">
        <v>98</v>
      </c>
      <c r="B50" s="164"/>
      <c r="C50" s="164"/>
      <c r="D50" s="164"/>
      <c r="E50" s="165" t="s">
        <v>99</v>
      </c>
      <c r="F50" s="165"/>
      <c r="G50" s="165"/>
      <c r="H50" s="165"/>
      <c r="I50" s="165"/>
      <c r="J50" s="159" t="s">
        <v>100</v>
      </c>
      <c r="K50" s="159"/>
      <c r="L50" s="159"/>
    </row>
    <row r="51" spans="1:12" ht="21.75" customHeight="1" x14ac:dyDescent="0.2">
      <c r="A51" s="161" t="s">
        <v>101</v>
      </c>
      <c r="B51" s="161"/>
      <c r="C51" s="161"/>
      <c r="D51" s="161"/>
      <c r="E51" s="162" t="s">
        <v>102</v>
      </c>
      <c r="F51" s="162"/>
      <c r="G51" s="162"/>
      <c r="H51" s="162"/>
      <c r="I51" s="162"/>
      <c r="J51" s="163" t="s">
        <v>103</v>
      </c>
      <c r="K51" s="163"/>
      <c r="L51" s="163"/>
    </row>
    <row r="52" spans="1:12" ht="21.75" customHeight="1" x14ac:dyDescent="0.2">
      <c r="A52" s="164" t="s">
        <v>104</v>
      </c>
      <c r="B52" s="164"/>
      <c r="C52" s="164"/>
      <c r="D52" s="164"/>
      <c r="E52" s="165" t="s">
        <v>105</v>
      </c>
      <c r="F52" s="165"/>
      <c r="G52" s="165"/>
      <c r="H52" s="165"/>
      <c r="I52" s="165"/>
      <c r="J52" s="159" t="s">
        <v>106</v>
      </c>
      <c r="K52" s="159"/>
      <c r="L52" s="159"/>
    </row>
    <row r="53" spans="1:12" ht="21.75" customHeight="1" x14ac:dyDescent="0.2">
      <c r="A53" s="161" t="s">
        <v>107</v>
      </c>
      <c r="B53" s="161"/>
      <c r="C53" s="161"/>
      <c r="D53" s="161"/>
      <c r="E53" s="162" t="s">
        <v>108</v>
      </c>
      <c r="F53" s="162"/>
      <c r="G53" s="162"/>
      <c r="H53" s="162"/>
      <c r="I53" s="162"/>
      <c r="J53" s="163" t="s">
        <v>109</v>
      </c>
      <c r="K53" s="163"/>
      <c r="L53" s="163"/>
    </row>
    <row r="54" spans="1:12" ht="21.75" customHeight="1" x14ac:dyDescent="0.2">
      <c r="A54" s="164" t="s">
        <v>110</v>
      </c>
      <c r="B54" s="164"/>
      <c r="C54" s="164"/>
      <c r="D54" s="164"/>
      <c r="E54" s="165" t="s">
        <v>111</v>
      </c>
      <c r="F54" s="165"/>
      <c r="G54" s="165"/>
      <c r="H54" s="165"/>
      <c r="I54" s="165"/>
      <c r="J54" s="159" t="s">
        <v>112</v>
      </c>
      <c r="K54" s="159"/>
      <c r="L54" s="159"/>
    </row>
    <row r="55" spans="1:12" ht="21.75" customHeight="1" x14ac:dyDescent="0.2">
      <c r="A55" s="161" t="s">
        <v>113</v>
      </c>
      <c r="B55" s="161"/>
      <c r="C55" s="161"/>
      <c r="D55" s="161"/>
      <c r="E55" s="162" t="s">
        <v>114</v>
      </c>
      <c r="F55" s="162"/>
      <c r="G55" s="162"/>
      <c r="H55" s="162"/>
      <c r="I55" s="162"/>
      <c r="J55" s="163" t="s">
        <v>115</v>
      </c>
      <c r="K55" s="163"/>
      <c r="L55" s="163"/>
    </row>
    <row r="56" spans="1:12" ht="21.75" customHeight="1" x14ac:dyDescent="0.2">
      <c r="A56" s="164" t="s">
        <v>116</v>
      </c>
      <c r="B56" s="164"/>
      <c r="C56" s="164"/>
      <c r="D56" s="164"/>
      <c r="E56" s="165" t="s">
        <v>117</v>
      </c>
      <c r="F56" s="165"/>
      <c r="G56" s="165"/>
      <c r="H56" s="165"/>
      <c r="I56" s="165"/>
      <c r="J56" s="159" t="s">
        <v>118</v>
      </c>
      <c r="K56" s="159"/>
      <c r="L56" s="159"/>
    </row>
    <row r="57" spans="1:12" ht="21.75" customHeight="1" x14ac:dyDescent="0.2">
      <c r="A57" s="166" t="s">
        <v>119</v>
      </c>
      <c r="B57" s="166"/>
      <c r="C57" s="166"/>
      <c r="D57" s="166"/>
      <c r="E57" s="167" t="s">
        <v>120</v>
      </c>
      <c r="F57" s="167"/>
      <c r="G57" s="167"/>
      <c r="H57" s="167"/>
      <c r="I57" s="167"/>
      <c r="J57" s="168" t="s">
        <v>121</v>
      </c>
      <c r="K57" s="168"/>
      <c r="L57" s="168"/>
    </row>
    <row r="58" spans="1:12" ht="21.75" customHeight="1" x14ac:dyDescent="0.2">
      <c r="A58" s="153" t="s">
        <v>122</v>
      </c>
      <c r="B58" s="153"/>
      <c r="C58" s="153"/>
      <c r="D58" s="153"/>
      <c r="E58" s="154" t="s">
        <v>123</v>
      </c>
      <c r="F58" s="154"/>
      <c r="G58" s="154"/>
      <c r="H58" s="154"/>
      <c r="I58" s="154"/>
      <c r="J58" s="155" t="s">
        <v>124</v>
      </c>
      <c r="K58" s="155"/>
      <c r="L58" s="155"/>
    </row>
    <row r="59" spans="1:12" ht="21.75" customHeight="1" x14ac:dyDescent="0.2">
      <c r="A59" s="156" t="s">
        <v>125</v>
      </c>
      <c r="B59" s="156"/>
      <c r="C59" s="156"/>
      <c r="D59" s="156"/>
      <c r="E59" s="156"/>
      <c r="F59" s="156"/>
      <c r="G59" s="156"/>
      <c r="H59" s="156"/>
      <c r="I59" s="156"/>
      <c r="J59" s="156"/>
      <c r="K59" s="156"/>
      <c r="L59" s="156"/>
    </row>
    <row r="60" spans="1:12" ht="37.5" customHeight="1" x14ac:dyDescent="0.2">
      <c r="A60" s="157" t="s">
        <v>126</v>
      </c>
      <c r="B60" s="157"/>
      <c r="C60" s="157"/>
      <c r="D60" s="157"/>
      <c r="E60" s="157"/>
      <c r="F60" s="157"/>
      <c r="G60" s="157"/>
      <c r="H60" s="157"/>
      <c r="I60" s="157"/>
      <c r="J60" s="157"/>
      <c r="K60" s="157"/>
      <c r="L60" s="157"/>
    </row>
    <row r="61" spans="1:12" ht="15" customHeight="1" x14ac:dyDescent="0.2">
      <c r="A61" s="3"/>
      <c r="B61" s="3"/>
      <c r="C61" s="3"/>
      <c r="D61" s="3"/>
      <c r="E61" s="3"/>
      <c r="F61" s="3"/>
      <c r="G61" s="3"/>
      <c r="H61" s="3"/>
      <c r="I61" s="3"/>
      <c r="J61" s="3"/>
      <c r="K61" s="3"/>
      <c r="L61" s="3"/>
    </row>
    <row r="62" spans="1:12" ht="31.5" customHeight="1" x14ac:dyDescent="0.2">
      <c r="A62" s="158" t="s">
        <v>127</v>
      </c>
      <c r="B62" s="158"/>
      <c r="C62" s="158"/>
      <c r="D62" s="158"/>
      <c r="E62" s="158"/>
      <c r="F62" s="158"/>
      <c r="G62" s="159" t="s">
        <v>128</v>
      </c>
      <c r="H62" s="159"/>
      <c r="I62" s="159"/>
      <c r="J62" s="159"/>
      <c r="K62" s="159"/>
      <c r="L62" s="159"/>
    </row>
    <row r="63" spans="1:12" ht="21.75" customHeight="1" x14ac:dyDescent="0.2">
      <c r="A63" s="3"/>
      <c r="B63" s="3"/>
      <c r="C63" s="3"/>
      <c r="D63" s="3"/>
      <c r="E63" s="3"/>
      <c r="F63" s="3"/>
      <c r="G63" s="3"/>
      <c r="H63" s="3"/>
      <c r="I63" s="3"/>
      <c r="J63" s="3"/>
      <c r="K63" s="3"/>
      <c r="L63" s="3"/>
    </row>
    <row r="64" spans="1:12" ht="6" customHeight="1" x14ac:dyDescent="0.2">
      <c r="A64" s="1"/>
      <c r="B64" s="1"/>
      <c r="C64" s="1"/>
      <c r="D64" s="1"/>
      <c r="E64" s="1"/>
      <c r="F64" s="1"/>
      <c r="G64" s="1"/>
      <c r="H64" s="1"/>
      <c r="I64" s="1"/>
      <c r="J64" s="1"/>
      <c r="K64" s="1"/>
      <c r="L64" s="1"/>
    </row>
    <row r="65" spans="1:12" ht="21.75" customHeight="1" x14ac:dyDescent="0.2">
      <c r="A65" s="160" t="s">
        <v>129</v>
      </c>
      <c r="B65" s="160"/>
      <c r="C65" s="160"/>
      <c r="D65" s="160"/>
      <c r="E65" s="160"/>
      <c r="F65" s="160"/>
      <c r="G65" s="160"/>
      <c r="H65" s="160"/>
      <c r="I65" s="160"/>
      <c r="J65" s="160"/>
      <c r="K65" s="160"/>
      <c r="L65" s="160"/>
    </row>
    <row r="66" spans="1:12" ht="15" customHeight="1" x14ac:dyDescent="0.2">
      <c r="A66" s="3"/>
      <c r="B66" s="3"/>
      <c r="C66" s="3"/>
      <c r="D66" s="3"/>
      <c r="E66" s="3"/>
      <c r="F66" s="3"/>
      <c r="G66" s="3"/>
      <c r="H66" s="3"/>
      <c r="I66" s="3"/>
      <c r="J66" s="3"/>
      <c r="K66" s="3"/>
      <c r="L66" s="3"/>
    </row>
    <row r="67" spans="1:12" ht="15" customHeight="1" x14ac:dyDescent="0.2">
      <c r="A67" s="3"/>
      <c r="B67" s="3"/>
      <c r="C67" s="3"/>
      <c r="D67" s="3"/>
      <c r="E67" s="3"/>
      <c r="F67" s="3"/>
      <c r="G67" s="3"/>
      <c r="H67" s="3"/>
      <c r="I67" s="3"/>
      <c r="J67" s="3"/>
      <c r="K67" s="3"/>
      <c r="L67" s="3"/>
    </row>
    <row r="68" spans="1:12" ht="15" customHeight="1" x14ac:dyDescent="0.2">
      <c r="A68" s="3"/>
      <c r="B68" s="3"/>
      <c r="C68" s="3"/>
      <c r="D68" s="3"/>
      <c r="E68" s="3"/>
      <c r="F68" s="3"/>
      <c r="G68" s="3"/>
      <c r="H68" s="3"/>
      <c r="I68" s="3"/>
      <c r="J68" s="3"/>
      <c r="K68" s="3"/>
      <c r="L68" s="3"/>
    </row>
    <row r="69" spans="1:12" ht="15" customHeight="1" x14ac:dyDescent="0.2">
      <c r="A69" s="3"/>
      <c r="B69" s="3"/>
      <c r="C69" s="3"/>
      <c r="D69" s="3"/>
      <c r="E69" s="3"/>
      <c r="F69" s="3"/>
      <c r="G69" s="3"/>
      <c r="H69" s="3"/>
      <c r="I69" s="3"/>
      <c r="J69" s="3"/>
      <c r="K69" s="3"/>
      <c r="L69" s="3"/>
    </row>
    <row r="70" spans="1:12" ht="15" customHeight="1" x14ac:dyDescent="0.2">
      <c r="A70" s="3"/>
      <c r="B70" s="3"/>
      <c r="C70" s="3"/>
      <c r="D70" s="3"/>
      <c r="E70" s="3"/>
      <c r="F70" s="3"/>
      <c r="G70" s="3"/>
      <c r="H70" s="3"/>
      <c r="I70" s="3"/>
      <c r="J70" s="3"/>
      <c r="K70" s="3"/>
      <c r="L70" s="3"/>
    </row>
    <row r="71" spans="1:12" ht="15" customHeight="1" x14ac:dyDescent="0.2">
      <c r="A71" s="3"/>
      <c r="B71" s="3"/>
      <c r="C71" s="3"/>
      <c r="D71" s="3"/>
      <c r="E71" s="3"/>
      <c r="F71" s="3"/>
      <c r="G71" s="3"/>
      <c r="H71" s="3"/>
      <c r="I71" s="3"/>
      <c r="J71" s="3"/>
      <c r="K71" s="3"/>
      <c r="L71" s="3"/>
    </row>
    <row r="72" spans="1:12" ht="15" customHeight="1" x14ac:dyDescent="0.2">
      <c r="A72" s="3"/>
      <c r="B72" s="3"/>
      <c r="C72" s="3"/>
      <c r="D72" s="3"/>
      <c r="E72" s="3"/>
      <c r="F72" s="3"/>
      <c r="G72" s="3"/>
      <c r="H72" s="3"/>
      <c r="I72" s="3"/>
      <c r="J72" s="3"/>
      <c r="K72" s="3"/>
      <c r="L72" s="3"/>
    </row>
    <row r="73" spans="1:12" ht="15" customHeight="1" x14ac:dyDescent="0.2">
      <c r="A73" s="3"/>
      <c r="B73" s="3"/>
      <c r="C73" s="3"/>
      <c r="D73" s="3"/>
      <c r="E73" s="3"/>
      <c r="F73" s="3"/>
      <c r="G73" s="3"/>
      <c r="H73" s="3"/>
      <c r="I73" s="3"/>
      <c r="J73" s="3"/>
      <c r="K73" s="3"/>
      <c r="L73" s="3"/>
    </row>
    <row r="74" spans="1:12" ht="15" customHeight="1" x14ac:dyDescent="0.2">
      <c r="A74" s="3"/>
      <c r="B74" s="3"/>
      <c r="C74" s="3"/>
      <c r="D74" s="3"/>
      <c r="E74" s="3"/>
      <c r="F74" s="3"/>
      <c r="G74" s="3"/>
      <c r="H74" s="3"/>
      <c r="I74" s="3"/>
      <c r="J74" s="3"/>
      <c r="K74" s="3"/>
      <c r="L74" s="3"/>
    </row>
  </sheetData>
  <mergeCells count="124">
    <mergeCell ref="A2:H2"/>
    <mergeCell ref="I2:L2"/>
    <mergeCell ref="A3:H3"/>
    <mergeCell ref="I3:L3"/>
    <mergeCell ref="A5:L5"/>
    <mergeCell ref="A6:C6"/>
    <mergeCell ref="D6:F6"/>
    <mergeCell ref="G6:I6"/>
    <mergeCell ref="J6:L6"/>
    <mergeCell ref="A7:C7"/>
    <mergeCell ref="D7:F7"/>
    <mergeCell ref="G7:I7"/>
    <mergeCell ref="J7:L7"/>
    <mergeCell ref="A8:C8"/>
    <mergeCell ref="D8:F8"/>
    <mergeCell ref="G8:I8"/>
    <mergeCell ref="J8:L8"/>
    <mergeCell ref="A10:C10"/>
    <mergeCell ref="D10:F10"/>
    <mergeCell ref="G10:I10"/>
    <mergeCell ref="J10:L10"/>
    <mergeCell ref="A11:C11"/>
    <mergeCell ref="D11:F11"/>
    <mergeCell ref="G11:I11"/>
    <mergeCell ref="J11:L11"/>
    <mergeCell ref="A12:C12"/>
    <mergeCell ref="D12:F12"/>
    <mergeCell ref="G12:I12"/>
    <mergeCell ref="J12:L12"/>
    <mergeCell ref="A14:L14"/>
    <mergeCell ref="A15:L15"/>
    <mergeCell ref="B16:C16"/>
    <mergeCell ref="F16:G16"/>
    <mergeCell ref="J16:K16"/>
    <mergeCell ref="A17:D17"/>
    <mergeCell ref="E17:H17"/>
    <mergeCell ref="I17:L17"/>
    <mergeCell ref="B19:C19"/>
    <mergeCell ref="F19:G19"/>
    <mergeCell ref="J19:K19"/>
    <mergeCell ref="A20:D20"/>
    <mergeCell ref="E20:H20"/>
    <mergeCell ref="I20:L20"/>
    <mergeCell ref="B22:C22"/>
    <mergeCell ref="F22:G22"/>
    <mergeCell ref="J22:K22"/>
    <mergeCell ref="A23:D23"/>
    <mergeCell ref="E23:H23"/>
    <mergeCell ref="I23:L23"/>
    <mergeCell ref="A26:L26"/>
    <mergeCell ref="A27:L27"/>
    <mergeCell ref="B28:F28"/>
    <mergeCell ref="I28:J28"/>
    <mergeCell ref="B29:F29"/>
    <mergeCell ref="I29:J29"/>
    <mergeCell ref="B30:F30"/>
    <mergeCell ref="I30:J30"/>
    <mergeCell ref="B31:F31"/>
    <mergeCell ref="I31:J31"/>
    <mergeCell ref="B32:F32"/>
    <mergeCell ref="I32:J32"/>
    <mergeCell ref="B33:F33"/>
    <mergeCell ref="I33:J33"/>
    <mergeCell ref="B34:F34"/>
    <mergeCell ref="I34:J34"/>
    <mergeCell ref="B35:F35"/>
    <mergeCell ref="I35:J35"/>
    <mergeCell ref="B36:F36"/>
    <mergeCell ref="I36:J36"/>
    <mergeCell ref="B37:F37"/>
    <mergeCell ref="I37:J37"/>
    <mergeCell ref="B38:F38"/>
    <mergeCell ref="I38:J38"/>
    <mergeCell ref="B39:F39"/>
    <mergeCell ref="I39:J39"/>
    <mergeCell ref="B40:F40"/>
    <mergeCell ref="I40:J40"/>
    <mergeCell ref="B41:F41"/>
    <mergeCell ref="I41:J41"/>
    <mergeCell ref="B42:F42"/>
    <mergeCell ref="I42:J42"/>
    <mergeCell ref="B43:F43"/>
    <mergeCell ref="I43:J43"/>
    <mergeCell ref="A44:L44"/>
    <mergeCell ref="A46:L46"/>
    <mergeCell ref="A47:L47"/>
    <mergeCell ref="A48:D48"/>
    <mergeCell ref="E48:I48"/>
    <mergeCell ref="J48:L48"/>
    <mergeCell ref="A49:D49"/>
    <mergeCell ref="E49:I49"/>
    <mergeCell ref="J49:L49"/>
    <mergeCell ref="A50:D50"/>
    <mergeCell ref="E50:I50"/>
    <mergeCell ref="J50:L50"/>
    <mergeCell ref="A51:D51"/>
    <mergeCell ref="E51:I51"/>
    <mergeCell ref="J51:L51"/>
    <mergeCell ref="A52:D52"/>
    <mergeCell ref="E52:I52"/>
    <mergeCell ref="J52:L52"/>
    <mergeCell ref="A53:D53"/>
    <mergeCell ref="E53:I53"/>
    <mergeCell ref="J53:L53"/>
    <mergeCell ref="A54:D54"/>
    <mergeCell ref="E54:I54"/>
    <mergeCell ref="J54:L54"/>
    <mergeCell ref="A58:D58"/>
    <mergeCell ref="E58:I58"/>
    <mergeCell ref="J58:L58"/>
    <mergeCell ref="A59:L59"/>
    <mergeCell ref="A60:L60"/>
    <mergeCell ref="A62:F62"/>
    <mergeCell ref="G62:L62"/>
    <mergeCell ref="A65:L65"/>
    <mergeCell ref="A55:D55"/>
    <mergeCell ref="E55:I55"/>
    <mergeCell ref="J55:L55"/>
    <mergeCell ref="A56:D56"/>
    <mergeCell ref="E56:I56"/>
    <mergeCell ref="J56:L56"/>
    <mergeCell ref="A57:D57"/>
    <mergeCell ref="E57:I57"/>
    <mergeCell ref="J57:L57"/>
  </mergeCells>
  <hyperlinks>
    <hyperlink ref="D16" r:id="rId1" location="'FICHAS_V1'!A1" xr:uid="{00000000-0004-0000-0000-000000000000}"/>
    <hyperlink ref="H16" r:id="rId2" location="'FICHAS_V2'!A1" xr:uid="{00000000-0004-0000-0000-000001000000}"/>
    <hyperlink ref="L16" r:id="rId3" location="'FICHAS_V3'!A1" xr:uid="{00000000-0004-0000-0000-000002000000}"/>
    <hyperlink ref="D19" r:id="rId4" location="'FICHAS_V4'!A1" xr:uid="{00000000-0004-0000-0000-000003000000}"/>
    <hyperlink ref="H19" r:id="rId5" location="'FICHAS_V5'!A1" xr:uid="{00000000-0004-0000-0000-000004000000}"/>
    <hyperlink ref="L19" r:id="rId6" location="'FICHAS_V6'!A1" xr:uid="{00000000-0004-0000-0000-000005000000}"/>
    <hyperlink ref="D22" r:id="rId7" location="'FICHAS_V7'!A1" xr:uid="{00000000-0004-0000-0000-000006000000}"/>
    <hyperlink ref="H22" r:id="rId8" location="'FICHAS_V8'!A1" xr:uid="{00000000-0004-0000-0000-000007000000}"/>
    <hyperlink ref="L22" r:id="rId9" location="'FICHAS_V9'!A1" xr:uid="{00000000-0004-0000-0000-000008000000}"/>
    <hyperlink ref="B29" r:id="rId10" location="'UNIVERSO%20MAESTRO'!A41" xr:uid="{00000000-0004-0000-0000-000009000000}"/>
    <hyperlink ref="B30" r:id="rId11" location="'UNIVERSO%20MAESTRO'!A50" xr:uid="{00000000-0004-0000-0000-00000A000000}"/>
    <hyperlink ref="B31" r:id="rId12" location="'UNIVERSO%20MAESTRO'!A26" xr:uid="{00000000-0004-0000-0000-00000B000000}"/>
    <hyperlink ref="B32" r:id="rId13" location="'UNIVERSO%20MAESTRO'!A49" xr:uid="{00000000-0004-0000-0000-00000C000000}"/>
    <hyperlink ref="B33" r:id="rId14" location="'UNIVERSO%20MAESTRO'!A90" xr:uid="{00000000-0004-0000-0000-00000D000000}"/>
    <hyperlink ref="B34" r:id="rId15" location="'UNIVERSO%20MAESTRO'!A110" xr:uid="{00000000-0004-0000-0000-00000E000000}"/>
    <hyperlink ref="B35" r:id="rId16" location="'UNIVERSO%20MAESTRO'!A65" xr:uid="{00000000-0004-0000-0000-00000F000000}"/>
    <hyperlink ref="B36" r:id="rId17" location="'UNIVERSO%20MAESTRO'!A31" xr:uid="{00000000-0004-0000-0000-000010000000}"/>
    <hyperlink ref="B37" r:id="rId18" location="'UNIVERSO%20MAESTRO'!A89" xr:uid="{00000000-0004-0000-0000-000011000000}"/>
    <hyperlink ref="B38" r:id="rId19" location="'UNIVERSO%20MAESTRO'!A157" xr:uid="{00000000-0004-0000-0000-000012000000}"/>
    <hyperlink ref="B39" r:id="rId20" location="'UNIVERSO%20MAESTRO'!A77" xr:uid="{00000000-0004-0000-0000-000013000000}"/>
    <hyperlink ref="B40" r:id="rId21" location="'UNIVERSO%20MAESTRO'!A91" xr:uid="{00000000-0004-0000-0000-000014000000}"/>
    <hyperlink ref="B41" r:id="rId22" location="'UNIVERSO%20MAESTRO'!A152" xr:uid="{00000000-0004-0000-0000-000015000000}"/>
    <hyperlink ref="B42" r:id="rId23" location="'UNIVERSO%20MAESTRO'!A67" xr:uid="{00000000-0004-0000-0000-000016000000}"/>
    <hyperlink ref="B43" r:id="rId24" location="'UNIVERSO%20MAESTRO'!A111" xr:uid="{00000000-0004-0000-0000-000017000000}"/>
    <hyperlink ref="A44" r:id="rId25" location="'AMPLITUD%20FUNCIONAL'!A1" xr:uid="{00000000-0004-0000-0000-000018000000}"/>
    <hyperlink ref="A49" r:id="rId26" location="'UNIVERSO%20MAESTRO'!A1" xr:uid="{00000000-0004-0000-0000-000019000000}"/>
    <hyperlink ref="A50" r:id="rId27" location="'AMPLITUD%20FUNCIONAL'!A1" xr:uid="{00000000-0004-0000-0000-00001A000000}"/>
    <hyperlink ref="A51" r:id="rId28" location="'MAPA%20DE%20CONEXIONES'!A1" xr:uid="{00000000-0004-0000-0000-00001B000000}"/>
    <hyperlink ref="A52" r:id="rId29" location="'POI%20MAESTRO'!A1" xr:uid="{00000000-0004-0000-0000-00001C000000}"/>
    <hyperlink ref="A53" r:id="rId30" location="'PIEDRAS%20ANGULARES'!A1" xr:uid="{00000000-0004-0000-0000-00001D000000}"/>
    <hyperlink ref="A54" r:id="rId31" location="'REGLAS%20METODOLÓGICAS'!A1" xr:uid="{00000000-0004-0000-0000-00001E000000}"/>
    <hyperlink ref="A55" r:id="rId32" location="'CLUSTERS%20EJECUTIVOS'!A1" xr:uid="{00000000-0004-0000-0000-00001F000000}"/>
    <hyperlink ref="A56" r:id="rId33" location="'DICCIONARIO'!A1" xr:uid="{00000000-0004-0000-0000-000020000000}"/>
    <hyperlink ref="A57" r:id="rId34" location="'CHANGELOG'!A1" xr:uid="{00000000-0004-0000-0000-000021000000}"/>
    <hyperlink ref="A58" r:id="rId35" location="'FICHAS_V1'!A1" xr:uid="{00000000-0004-0000-0000-000022000000}"/>
    <hyperlink ref="A62" r:id="rId36" location="'_DASH_DATA'!A1" xr:uid="{00000000-0004-0000-0000-000023000000}"/>
  </hyperlinks>
  <pageMargins left="0.4" right="0.4" top="0.5" bottom="0.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9"/>
  <sheetViews>
    <sheetView showGridLines="0" topLeftCell="A17" zoomScaleNormal="100" workbookViewId="0">
      <selection activeCell="C43" sqref="C43"/>
    </sheetView>
  </sheetViews>
  <sheetFormatPr baseColWidth="10" defaultColWidth="8.6640625" defaultRowHeight="15" x14ac:dyDescent="0.2"/>
  <cols>
    <col min="1" max="1" width="4" customWidth="1"/>
    <col min="2" max="2" width="13.6640625" customWidth="1"/>
    <col min="3" max="3" width="30" customWidth="1"/>
    <col min="4" max="4" width="50" customWidth="1"/>
    <col min="5" max="5" width="47.33203125" customWidth="1"/>
  </cols>
  <sheetData>
    <row r="1" spans="1:5" ht="7.5" customHeight="1" x14ac:dyDescent="0.2">
      <c r="A1" s="1"/>
      <c r="B1" s="1"/>
      <c r="C1" s="1"/>
      <c r="D1" s="1"/>
      <c r="E1" s="1"/>
    </row>
    <row r="2" spans="1:5" ht="7.5" customHeight="1" x14ac:dyDescent="0.2">
      <c r="A2" s="3"/>
      <c r="B2" s="3"/>
      <c r="C2" s="3"/>
      <c r="D2" s="3"/>
      <c r="E2" s="3"/>
    </row>
    <row r="3" spans="1:5" ht="36" customHeight="1" x14ac:dyDescent="0.2">
      <c r="A3" s="3"/>
      <c r="B3" s="200" t="s">
        <v>107</v>
      </c>
      <c r="C3" s="200"/>
      <c r="D3" s="200"/>
      <c r="E3" s="200"/>
    </row>
    <row r="4" spans="1:5" ht="43.5" customHeight="1" x14ac:dyDescent="0.2">
      <c r="A4" s="3"/>
      <c r="B4" s="201" t="s">
        <v>130</v>
      </c>
      <c r="C4" s="201"/>
      <c r="D4" s="201"/>
      <c r="E4" s="201"/>
    </row>
    <row r="5" spans="1:5" ht="24" customHeight="1" x14ac:dyDescent="0.2">
      <c r="A5" s="3"/>
      <c r="B5" s="202" t="s">
        <v>131</v>
      </c>
      <c r="C5" s="202"/>
      <c r="D5" s="202"/>
      <c r="E5" s="202"/>
    </row>
    <row r="6" spans="1:5" ht="12" customHeight="1" x14ac:dyDescent="0.2">
      <c r="A6" s="3"/>
      <c r="B6" s="2"/>
      <c r="C6" s="2"/>
      <c r="D6" s="2"/>
      <c r="E6" s="2"/>
    </row>
    <row r="7" spans="1:5" ht="18" customHeight="1" x14ac:dyDescent="0.2">
      <c r="A7" s="3"/>
      <c r="B7" s="3"/>
      <c r="C7" s="3"/>
      <c r="D7" s="3"/>
      <c r="E7" s="3"/>
    </row>
    <row r="8" spans="1:5" ht="42" customHeight="1" x14ac:dyDescent="0.2">
      <c r="A8" s="3"/>
      <c r="B8" s="41" t="s">
        <v>132</v>
      </c>
      <c r="C8" s="196" t="s">
        <v>133</v>
      </c>
      <c r="D8" s="196"/>
      <c r="E8" s="42" t="s">
        <v>134</v>
      </c>
    </row>
    <row r="9" spans="1:5" ht="27.75" customHeight="1" x14ac:dyDescent="0.2">
      <c r="A9" s="3"/>
      <c r="B9" s="3"/>
      <c r="C9" s="197" t="s">
        <v>135</v>
      </c>
      <c r="D9" s="197"/>
      <c r="E9" s="197"/>
    </row>
    <row r="10" spans="1:5" ht="36" customHeight="1" x14ac:dyDescent="0.2">
      <c r="A10" s="3"/>
      <c r="B10" s="3"/>
      <c r="C10" s="198" t="s">
        <v>136</v>
      </c>
      <c r="D10" s="198"/>
      <c r="E10" s="198"/>
    </row>
    <row r="11" spans="1:5" ht="13.5" customHeight="1" x14ac:dyDescent="0.2">
      <c r="A11" s="3"/>
      <c r="B11" s="2"/>
      <c r="C11" s="2"/>
      <c r="D11" s="2"/>
      <c r="E11" s="2"/>
    </row>
    <row r="12" spans="1:5" ht="42" customHeight="1" x14ac:dyDescent="0.2">
      <c r="A12" s="3"/>
      <c r="B12" s="41" t="s">
        <v>137</v>
      </c>
      <c r="C12" s="196" t="s">
        <v>138</v>
      </c>
      <c r="D12" s="196"/>
      <c r="E12" s="42" t="s">
        <v>139</v>
      </c>
    </row>
    <row r="13" spans="1:5" ht="27.75" customHeight="1" x14ac:dyDescent="0.2">
      <c r="A13" s="3"/>
      <c r="B13" s="3"/>
      <c r="C13" s="197" t="s">
        <v>140</v>
      </c>
      <c r="D13" s="197"/>
      <c r="E13" s="197"/>
    </row>
    <row r="14" spans="1:5" ht="36" customHeight="1" x14ac:dyDescent="0.2">
      <c r="A14" s="3"/>
      <c r="B14" s="3"/>
      <c r="C14" s="198" t="s">
        <v>4238</v>
      </c>
      <c r="D14" s="198"/>
      <c r="E14" s="198"/>
    </row>
    <row r="15" spans="1:5" ht="13.5" customHeight="1" x14ac:dyDescent="0.2">
      <c r="A15" s="3"/>
      <c r="B15" s="2"/>
      <c r="C15" s="2"/>
      <c r="D15" s="2"/>
      <c r="E15" s="2"/>
    </row>
    <row r="16" spans="1:5" ht="42" customHeight="1" x14ac:dyDescent="0.2">
      <c r="A16" s="3"/>
      <c r="B16" s="41" t="s">
        <v>141</v>
      </c>
      <c r="C16" s="196" t="s">
        <v>142</v>
      </c>
      <c r="D16" s="196"/>
      <c r="E16" s="42" t="s">
        <v>143</v>
      </c>
    </row>
    <row r="17" spans="1:5" ht="27.75" customHeight="1" x14ac:dyDescent="0.2">
      <c r="A17" s="3"/>
      <c r="B17" s="3"/>
      <c r="C17" s="197" t="s">
        <v>144</v>
      </c>
      <c r="D17" s="197"/>
      <c r="E17" s="197"/>
    </row>
    <row r="18" spans="1:5" ht="36" customHeight="1" x14ac:dyDescent="0.2">
      <c r="A18" s="3"/>
      <c r="B18" s="3"/>
      <c r="C18" s="198" t="s">
        <v>145</v>
      </c>
      <c r="D18" s="198"/>
      <c r="E18" s="198"/>
    </row>
    <row r="19" spans="1:5" ht="13.5" customHeight="1" x14ac:dyDescent="0.2">
      <c r="A19" s="3"/>
      <c r="B19" s="2"/>
      <c r="C19" s="2"/>
      <c r="D19" s="2"/>
      <c r="E19" s="2"/>
    </row>
    <row r="20" spans="1:5" ht="42" customHeight="1" x14ac:dyDescent="0.2">
      <c r="A20" s="3"/>
      <c r="B20" s="41" t="s">
        <v>146</v>
      </c>
      <c r="C20" s="196" t="s">
        <v>147</v>
      </c>
      <c r="D20" s="196"/>
      <c r="E20" s="42" t="s">
        <v>148</v>
      </c>
    </row>
    <row r="21" spans="1:5" ht="27.75" customHeight="1" x14ac:dyDescent="0.2">
      <c r="A21" s="3"/>
      <c r="B21" s="3"/>
      <c r="C21" s="197" t="s">
        <v>149</v>
      </c>
      <c r="D21" s="197"/>
      <c r="E21" s="197"/>
    </row>
    <row r="22" spans="1:5" ht="54" customHeight="1" x14ac:dyDescent="0.2">
      <c r="A22" s="3"/>
      <c r="B22" s="3"/>
      <c r="C22" s="198" t="s">
        <v>150</v>
      </c>
      <c r="D22" s="198"/>
      <c r="E22" s="198"/>
    </row>
    <row r="23" spans="1:5" ht="13.5" customHeight="1" x14ac:dyDescent="0.2">
      <c r="A23" s="3"/>
      <c r="B23" s="2"/>
      <c r="C23" s="2"/>
      <c r="D23" s="2"/>
      <c r="E23" s="2"/>
    </row>
    <row r="24" spans="1:5" ht="42" customHeight="1" x14ac:dyDescent="0.2">
      <c r="A24" s="3"/>
      <c r="B24" s="41" t="s">
        <v>151</v>
      </c>
      <c r="C24" s="196" t="s">
        <v>152</v>
      </c>
      <c r="D24" s="196"/>
      <c r="E24" s="42" t="s">
        <v>153</v>
      </c>
    </row>
    <row r="25" spans="1:5" ht="27.75" customHeight="1" x14ac:dyDescent="0.2">
      <c r="A25" s="3"/>
      <c r="B25" s="3"/>
      <c r="C25" s="197" t="s">
        <v>154</v>
      </c>
      <c r="D25" s="197"/>
      <c r="E25" s="197"/>
    </row>
    <row r="26" spans="1:5" ht="36" customHeight="1" x14ac:dyDescent="0.2">
      <c r="A26" s="3"/>
      <c r="B26" s="3"/>
      <c r="C26" s="198" t="s">
        <v>4240</v>
      </c>
      <c r="D26" s="198"/>
      <c r="E26" s="198"/>
    </row>
    <row r="27" spans="1:5" ht="13.5" customHeight="1" x14ac:dyDescent="0.2">
      <c r="A27" s="3"/>
      <c r="B27" s="2"/>
      <c r="C27" s="2"/>
      <c r="D27" s="2"/>
      <c r="E27" s="2"/>
    </row>
    <row r="28" spans="1:5" ht="42" customHeight="1" x14ac:dyDescent="0.2">
      <c r="A28" s="3"/>
      <c r="B28" s="41" t="s">
        <v>155</v>
      </c>
      <c r="C28" s="196" t="s">
        <v>156</v>
      </c>
      <c r="D28" s="196"/>
      <c r="E28" s="42" t="s">
        <v>157</v>
      </c>
    </row>
    <row r="29" spans="1:5" ht="27.75" customHeight="1" x14ac:dyDescent="0.2">
      <c r="A29" s="3"/>
      <c r="B29" s="3"/>
      <c r="C29" s="197" t="s">
        <v>158</v>
      </c>
      <c r="D29" s="197"/>
      <c r="E29" s="197"/>
    </row>
    <row r="30" spans="1:5" ht="36" customHeight="1" x14ac:dyDescent="0.2">
      <c r="A30" s="3"/>
      <c r="B30" s="3"/>
      <c r="C30" s="198" t="s">
        <v>159</v>
      </c>
      <c r="D30" s="198"/>
      <c r="E30" s="198"/>
    </row>
    <row r="31" spans="1:5" ht="13.5" customHeight="1" x14ac:dyDescent="0.2">
      <c r="A31" s="3"/>
      <c r="B31" s="2"/>
      <c r="C31" s="2"/>
      <c r="D31" s="2"/>
      <c r="E31" s="2"/>
    </row>
    <row r="32" spans="1:5" ht="42" customHeight="1" x14ac:dyDescent="0.2">
      <c r="A32" s="3"/>
      <c r="B32" s="41" t="s">
        <v>160</v>
      </c>
      <c r="C32" s="196" t="s">
        <v>161</v>
      </c>
      <c r="D32" s="196"/>
      <c r="E32" s="42" t="s">
        <v>162</v>
      </c>
    </row>
    <row r="33" spans="1:5" ht="27.75" customHeight="1" x14ac:dyDescent="0.2">
      <c r="A33" s="3"/>
      <c r="B33" s="3"/>
      <c r="C33" s="197" t="s">
        <v>163</v>
      </c>
      <c r="D33" s="197"/>
      <c r="E33" s="197"/>
    </row>
    <row r="34" spans="1:5" ht="36" customHeight="1" x14ac:dyDescent="0.2">
      <c r="A34" s="3"/>
      <c r="B34" s="3"/>
      <c r="C34" s="198" t="s">
        <v>4239</v>
      </c>
      <c r="D34" s="198"/>
      <c r="E34" s="198"/>
    </row>
    <row r="35" spans="1:5" ht="13.5" customHeight="1" x14ac:dyDescent="0.2">
      <c r="A35" s="3"/>
      <c r="B35" s="2"/>
      <c r="C35" s="2"/>
      <c r="D35" s="2"/>
      <c r="E35" s="2"/>
    </row>
    <row r="36" spans="1:5" ht="42" customHeight="1" x14ac:dyDescent="0.2">
      <c r="A36" s="3"/>
      <c r="B36" s="41" t="s">
        <v>164</v>
      </c>
      <c r="C36" s="196" t="s">
        <v>165</v>
      </c>
      <c r="D36" s="196"/>
      <c r="E36" s="42" t="s">
        <v>166</v>
      </c>
    </row>
    <row r="37" spans="1:5" ht="27.75" customHeight="1" x14ac:dyDescent="0.2">
      <c r="A37" s="3"/>
      <c r="B37" s="3"/>
      <c r="C37" s="197" t="s">
        <v>167</v>
      </c>
      <c r="D37" s="197"/>
      <c r="E37" s="197"/>
    </row>
    <row r="38" spans="1:5" ht="54" customHeight="1" x14ac:dyDescent="0.2">
      <c r="A38" s="3"/>
      <c r="B38" s="3"/>
      <c r="C38" s="198" t="s">
        <v>168</v>
      </c>
      <c r="D38" s="198"/>
      <c r="E38" s="198"/>
    </row>
    <row r="39" spans="1:5" ht="13.5" customHeight="1" x14ac:dyDescent="0.2">
      <c r="A39" s="3"/>
      <c r="B39" s="2"/>
      <c r="C39" s="2"/>
      <c r="D39" s="2"/>
      <c r="E39" s="2"/>
    </row>
    <row r="40" spans="1:5" ht="42" customHeight="1" x14ac:dyDescent="0.2">
      <c r="A40" s="3"/>
      <c r="B40" s="41" t="s">
        <v>169</v>
      </c>
      <c r="C40" s="196" t="s">
        <v>170</v>
      </c>
      <c r="D40" s="196"/>
      <c r="E40" s="42" t="s">
        <v>171</v>
      </c>
    </row>
    <row r="41" spans="1:5" ht="27.75" customHeight="1" x14ac:dyDescent="0.2">
      <c r="A41" s="3"/>
      <c r="B41" s="3"/>
      <c r="C41" s="197" t="s">
        <v>172</v>
      </c>
      <c r="D41" s="197"/>
      <c r="E41" s="197"/>
    </row>
    <row r="42" spans="1:5" ht="36" customHeight="1" x14ac:dyDescent="0.2">
      <c r="A42" s="3"/>
      <c r="B42" s="3"/>
      <c r="C42" s="198" t="s">
        <v>4257</v>
      </c>
      <c r="D42" s="198"/>
      <c r="E42" s="198"/>
    </row>
    <row r="43" spans="1:5" ht="13.5" customHeight="1" x14ac:dyDescent="0.2">
      <c r="A43" s="3"/>
      <c r="B43" s="2"/>
      <c r="C43" s="2"/>
      <c r="D43" s="2"/>
      <c r="E43" s="2"/>
    </row>
    <row r="44" spans="1:5" ht="42" customHeight="1" x14ac:dyDescent="0.2">
      <c r="A44" s="3"/>
      <c r="B44" s="41" t="s">
        <v>173</v>
      </c>
      <c r="C44" s="196" t="s">
        <v>174</v>
      </c>
      <c r="D44" s="196"/>
      <c r="E44" s="42" t="s">
        <v>175</v>
      </c>
    </row>
    <row r="45" spans="1:5" ht="27.75" customHeight="1" x14ac:dyDescent="0.2">
      <c r="A45" s="3"/>
      <c r="B45" s="3"/>
      <c r="C45" s="197" t="s">
        <v>176</v>
      </c>
      <c r="D45" s="197"/>
      <c r="E45" s="197"/>
    </row>
    <row r="46" spans="1:5" ht="36" customHeight="1" x14ac:dyDescent="0.2">
      <c r="A46" s="3"/>
      <c r="B46" s="3"/>
      <c r="C46" s="198" t="s">
        <v>4256</v>
      </c>
      <c r="D46" s="198"/>
      <c r="E46" s="198"/>
    </row>
    <row r="47" spans="1:5" ht="13.5" customHeight="1" x14ac:dyDescent="0.2">
      <c r="A47" s="3"/>
      <c r="B47" s="2"/>
      <c r="C47" s="2"/>
      <c r="D47" s="2"/>
      <c r="E47" s="2"/>
    </row>
    <row r="48" spans="1:5" ht="13.5" customHeight="1" x14ac:dyDescent="0.2">
      <c r="A48" s="3"/>
      <c r="B48" s="3"/>
      <c r="C48" s="3"/>
      <c r="D48" s="3"/>
      <c r="E48" s="3"/>
    </row>
    <row r="49" spans="1:5" ht="15" customHeight="1" x14ac:dyDescent="0.2">
      <c r="A49" s="3"/>
      <c r="B49" s="3"/>
      <c r="C49" s="3"/>
      <c r="D49" s="3"/>
      <c r="E49" s="3"/>
    </row>
    <row r="50" spans="1:5" ht="6" customHeight="1" x14ac:dyDescent="0.2">
      <c r="A50" s="1"/>
      <c r="B50" s="1"/>
      <c r="C50" s="1"/>
      <c r="D50" s="1"/>
      <c r="E50" s="1"/>
    </row>
    <row r="51" spans="1:5" ht="27.75" customHeight="1" x14ac:dyDescent="0.2">
      <c r="A51" s="3"/>
      <c r="B51" s="199" t="s">
        <v>177</v>
      </c>
      <c r="C51" s="199"/>
      <c r="D51" s="199"/>
      <c r="E51" s="199"/>
    </row>
    <row r="52" spans="1:5" ht="15" customHeight="1" x14ac:dyDescent="0.2">
      <c r="A52" s="3"/>
      <c r="B52" s="3"/>
      <c r="C52" s="3"/>
      <c r="D52" s="3"/>
      <c r="E52" s="3"/>
    </row>
    <row r="53" spans="1:5" ht="15" customHeight="1" x14ac:dyDescent="0.2">
      <c r="A53" s="3"/>
      <c r="B53" s="3"/>
      <c r="C53" s="3"/>
      <c r="D53" s="3"/>
      <c r="E53" s="3"/>
    </row>
    <row r="54" spans="1:5" ht="15" customHeight="1" x14ac:dyDescent="0.2">
      <c r="A54" s="3"/>
      <c r="B54" s="3"/>
      <c r="C54" s="3"/>
      <c r="D54" s="3"/>
      <c r="E54" s="3"/>
    </row>
    <row r="55" spans="1:5" ht="15" customHeight="1" x14ac:dyDescent="0.2">
      <c r="A55" s="3"/>
      <c r="B55" s="3"/>
      <c r="C55" s="3"/>
      <c r="D55" s="3"/>
      <c r="E55" s="3"/>
    </row>
    <row r="56" spans="1:5" ht="15" customHeight="1" x14ac:dyDescent="0.2">
      <c r="A56" s="3"/>
      <c r="B56" s="3"/>
      <c r="C56" s="3"/>
      <c r="D56" s="3"/>
      <c r="E56" s="3"/>
    </row>
    <row r="57" spans="1:5" ht="15" customHeight="1" x14ac:dyDescent="0.2">
      <c r="A57" s="3"/>
      <c r="B57" s="3"/>
      <c r="C57" s="3"/>
      <c r="D57" s="3"/>
      <c r="E57" s="3"/>
    </row>
    <row r="58" spans="1:5" ht="15" customHeight="1" x14ac:dyDescent="0.2">
      <c r="A58" s="3"/>
      <c r="B58" s="3"/>
      <c r="C58" s="3"/>
      <c r="D58" s="3"/>
      <c r="E58" s="3"/>
    </row>
    <row r="59" spans="1:5" ht="15" customHeight="1" x14ac:dyDescent="0.2">
      <c r="A59" s="3"/>
      <c r="B59" s="3"/>
      <c r="C59" s="3"/>
      <c r="D59" s="3"/>
      <c r="E59" s="3"/>
    </row>
    <row r="60" spans="1:5" ht="15" customHeight="1" x14ac:dyDescent="0.2">
      <c r="A60" s="3"/>
      <c r="B60" s="3"/>
      <c r="C60" s="3"/>
      <c r="D60" s="3"/>
      <c r="E60" s="3"/>
    </row>
    <row r="61" spans="1:5" ht="15" customHeight="1" x14ac:dyDescent="0.2">
      <c r="A61" s="3"/>
      <c r="B61" s="3"/>
      <c r="C61" s="3"/>
      <c r="D61" s="3"/>
      <c r="E61" s="3"/>
    </row>
    <row r="62" spans="1:5" ht="15" customHeight="1" x14ac:dyDescent="0.2">
      <c r="A62" s="3"/>
      <c r="B62" s="3"/>
      <c r="C62" s="3"/>
      <c r="D62" s="3"/>
      <c r="E62" s="3"/>
    </row>
    <row r="63" spans="1:5" ht="15" customHeight="1" x14ac:dyDescent="0.2">
      <c r="A63" s="3"/>
      <c r="B63" s="3"/>
      <c r="C63" s="3"/>
      <c r="D63" s="3"/>
      <c r="E63" s="3"/>
    </row>
    <row r="64" spans="1:5" ht="15" customHeight="1" x14ac:dyDescent="0.2">
      <c r="A64" s="3"/>
      <c r="B64" s="3"/>
      <c r="C64" s="3"/>
      <c r="D64" s="3"/>
      <c r="E64" s="3"/>
    </row>
    <row r="65" spans="1:5" ht="15" customHeight="1" x14ac:dyDescent="0.2">
      <c r="A65" s="3"/>
      <c r="B65" s="3"/>
      <c r="C65" s="3"/>
      <c r="D65" s="3"/>
      <c r="E65" s="3"/>
    </row>
    <row r="66" spans="1:5" ht="15" customHeight="1" x14ac:dyDescent="0.2">
      <c r="A66" s="3"/>
      <c r="B66" s="3"/>
      <c r="C66" s="3"/>
      <c r="D66" s="3"/>
      <c r="E66" s="3"/>
    </row>
    <row r="67" spans="1:5" ht="15" customHeight="1" x14ac:dyDescent="0.2">
      <c r="A67" s="3"/>
      <c r="B67" s="3"/>
      <c r="C67" s="3"/>
      <c r="D67" s="3"/>
      <c r="E67" s="3"/>
    </row>
    <row r="68" spans="1:5" ht="15" customHeight="1" x14ac:dyDescent="0.2">
      <c r="A68" s="3"/>
      <c r="B68" s="3"/>
      <c r="C68" s="3"/>
      <c r="D68" s="3"/>
      <c r="E68" s="3"/>
    </row>
    <row r="69" spans="1:5" ht="15" customHeight="1" x14ac:dyDescent="0.2">
      <c r="A69" s="3"/>
      <c r="B69" s="3"/>
      <c r="C69" s="3"/>
      <c r="D69" s="3"/>
      <c r="E69" s="3"/>
    </row>
    <row r="70" spans="1:5" ht="15" customHeight="1" x14ac:dyDescent="0.2">
      <c r="A70" s="3"/>
      <c r="B70" s="3"/>
      <c r="C70" s="3"/>
      <c r="D70" s="3"/>
      <c r="E70" s="3"/>
    </row>
    <row r="71" spans="1:5" ht="15" customHeight="1" x14ac:dyDescent="0.2">
      <c r="A71" s="3"/>
      <c r="B71" s="3"/>
      <c r="C71" s="3"/>
      <c r="D71" s="3"/>
      <c r="E71" s="3"/>
    </row>
    <row r="72" spans="1:5" ht="15" customHeight="1" x14ac:dyDescent="0.2">
      <c r="A72" s="3"/>
      <c r="B72" s="3"/>
      <c r="C72" s="3"/>
      <c r="D72" s="3"/>
      <c r="E72" s="3"/>
    </row>
    <row r="73" spans="1:5" ht="15" customHeight="1" x14ac:dyDescent="0.2">
      <c r="A73" s="3"/>
      <c r="B73" s="3"/>
      <c r="C73" s="3"/>
      <c r="D73" s="3"/>
      <c r="E73" s="3"/>
    </row>
    <row r="74" spans="1:5" ht="15" customHeight="1" x14ac:dyDescent="0.2">
      <c r="A74" s="3"/>
      <c r="B74" s="3"/>
      <c r="C74" s="3"/>
      <c r="D74" s="3"/>
      <c r="E74" s="3"/>
    </row>
    <row r="75" spans="1:5" ht="15" customHeight="1" x14ac:dyDescent="0.2">
      <c r="A75" s="3"/>
      <c r="B75" s="3"/>
      <c r="C75" s="3"/>
      <c r="D75" s="3"/>
      <c r="E75" s="3"/>
    </row>
    <row r="76" spans="1:5" ht="15" customHeight="1" x14ac:dyDescent="0.2">
      <c r="A76" s="3"/>
      <c r="B76" s="3"/>
      <c r="C76" s="3"/>
      <c r="D76" s="3"/>
      <c r="E76" s="3"/>
    </row>
    <row r="77" spans="1:5" ht="15" customHeight="1" x14ac:dyDescent="0.2">
      <c r="A77" s="3"/>
      <c r="B77" s="3"/>
      <c r="C77" s="3"/>
      <c r="D77" s="3"/>
      <c r="E77" s="3"/>
    </row>
    <row r="78" spans="1:5" ht="15" customHeight="1" x14ac:dyDescent="0.2">
      <c r="A78" s="3"/>
      <c r="B78" s="3"/>
      <c r="C78" s="3"/>
      <c r="D78" s="3"/>
      <c r="E78" s="3"/>
    </row>
    <row r="79" spans="1:5" ht="15" customHeight="1" x14ac:dyDescent="0.2">
      <c r="A79" s="3"/>
      <c r="B79" s="3"/>
      <c r="C79" s="3"/>
      <c r="D79" s="3"/>
      <c r="E79" s="3"/>
    </row>
  </sheetData>
  <mergeCells count="34">
    <mergeCell ref="B3:E3"/>
    <mergeCell ref="B4:E4"/>
    <mergeCell ref="B5:E5"/>
    <mergeCell ref="C8:D8"/>
    <mergeCell ref="C9:E9"/>
    <mergeCell ref="C10:E10"/>
    <mergeCell ref="C12:D12"/>
    <mergeCell ref="C13:E13"/>
    <mergeCell ref="C14:E14"/>
    <mergeCell ref="C16:D16"/>
    <mergeCell ref="C17:E17"/>
    <mergeCell ref="C18:E18"/>
    <mergeCell ref="C20:D20"/>
    <mergeCell ref="C21:E21"/>
    <mergeCell ref="C22:E22"/>
    <mergeCell ref="C24:D24"/>
    <mergeCell ref="C25:E25"/>
    <mergeCell ref="C26:E26"/>
    <mergeCell ref="C28:D28"/>
    <mergeCell ref="C29:E29"/>
    <mergeCell ref="C30:E30"/>
    <mergeCell ref="C32:D32"/>
    <mergeCell ref="C33:E33"/>
    <mergeCell ref="C34:E34"/>
    <mergeCell ref="C36:D36"/>
    <mergeCell ref="C44:D44"/>
    <mergeCell ref="C45:E45"/>
    <mergeCell ref="C46:E46"/>
    <mergeCell ref="B51:E51"/>
    <mergeCell ref="C37:E37"/>
    <mergeCell ref="C38:E38"/>
    <mergeCell ref="C40:D40"/>
    <mergeCell ref="C41:E41"/>
    <mergeCell ref="C42:E42"/>
  </mergeCells>
  <pageMargins left="0.5" right="0.5" top="0.5" bottom="0.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4"/>
  <sheetViews>
    <sheetView showGridLines="0" zoomScaleNormal="100" workbookViewId="0">
      <pane ySplit="5" topLeftCell="A6" activePane="bottomLeft" state="frozen"/>
      <selection pane="bottomLeft" activeCell="C5" sqref="C5"/>
    </sheetView>
  </sheetViews>
  <sheetFormatPr baseColWidth="10" defaultColWidth="8.83203125" defaultRowHeight="15" x14ac:dyDescent="0.2"/>
  <cols>
    <col min="1" max="2" width="22" customWidth="1"/>
    <col min="3" max="3" width="14" customWidth="1"/>
    <col min="4" max="4" width="35" customWidth="1"/>
    <col min="5" max="5" width="11" customWidth="1"/>
    <col min="6" max="7" width="50" customWidth="1"/>
    <col min="8" max="8" width="30" customWidth="1"/>
  </cols>
  <sheetData>
    <row r="1" spans="1:11" ht="31.5" customHeight="1" x14ac:dyDescent="0.2">
      <c r="A1" s="43" t="s">
        <v>178</v>
      </c>
      <c r="B1" s="150" t="s">
        <v>3406</v>
      </c>
      <c r="C1" s="150"/>
      <c r="D1" s="150"/>
      <c r="E1" s="150"/>
      <c r="F1" s="150"/>
      <c r="G1" s="150"/>
      <c r="H1" s="150"/>
    </row>
    <row r="2" spans="1:11" ht="21.75" customHeight="1" x14ac:dyDescent="0.2">
      <c r="A2" s="45" t="s">
        <v>179</v>
      </c>
      <c r="B2" s="151" t="s">
        <v>3407</v>
      </c>
      <c r="C2" s="151"/>
      <c r="D2" s="151"/>
      <c r="E2" s="151"/>
      <c r="F2" s="151"/>
      <c r="G2" s="151"/>
      <c r="H2" s="151"/>
    </row>
    <row r="3" spans="1:11" ht="18" customHeight="1" x14ac:dyDescent="0.2">
      <c r="A3" s="152" t="s">
        <v>181</v>
      </c>
      <c r="B3" s="152"/>
      <c r="C3" s="152"/>
      <c r="D3" s="152"/>
      <c r="E3" s="152"/>
      <c r="F3" s="152"/>
      <c r="G3" s="152"/>
      <c r="H3" s="152"/>
    </row>
    <row r="4" spans="1:11" ht="6" customHeight="1" x14ac:dyDescent="0.2"/>
    <row r="5" spans="1:11" ht="36" customHeight="1" x14ac:dyDescent="0.2">
      <c r="A5" s="109" t="s">
        <v>3408</v>
      </c>
      <c r="B5" s="109" t="s">
        <v>3409</v>
      </c>
      <c r="C5" s="109" t="s">
        <v>3410</v>
      </c>
      <c r="D5" s="109" t="s">
        <v>3411</v>
      </c>
      <c r="E5" s="109" t="s">
        <v>3412</v>
      </c>
      <c r="F5" s="109" t="s">
        <v>1567</v>
      </c>
      <c r="G5" s="109" t="s">
        <v>3413</v>
      </c>
      <c r="H5" s="109" t="s">
        <v>3414</v>
      </c>
    </row>
    <row r="6" spans="1:11" ht="21.75" customHeight="1" x14ac:dyDescent="0.2">
      <c r="A6" s="203" t="s">
        <v>3415</v>
      </c>
      <c r="B6" s="203"/>
      <c r="C6" s="203"/>
      <c r="D6" s="203"/>
      <c r="E6" s="203"/>
      <c r="F6" s="203"/>
      <c r="G6" s="203"/>
      <c r="H6" s="203"/>
    </row>
    <row r="7" spans="1:11" ht="27.75" customHeight="1" x14ac:dyDescent="0.2">
      <c r="A7" s="110" t="s">
        <v>3416</v>
      </c>
      <c r="B7" s="111" t="s">
        <v>95</v>
      </c>
      <c r="C7" s="111" t="s">
        <v>3417</v>
      </c>
      <c r="D7" s="111" t="s">
        <v>3418</v>
      </c>
      <c r="E7" s="111" t="s">
        <v>1530</v>
      </c>
      <c r="F7" s="111" t="s">
        <v>3419</v>
      </c>
      <c r="G7" s="111" t="s">
        <v>3420</v>
      </c>
      <c r="H7" s="111" t="s">
        <v>3421</v>
      </c>
      <c r="I7" s="112"/>
      <c r="J7" s="112"/>
      <c r="K7" s="112"/>
    </row>
    <row r="8" spans="1:11" ht="27.75" customHeight="1" x14ac:dyDescent="0.2">
      <c r="A8" s="113" t="s">
        <v>183</v>
      </c>
      <c r="B8" s="114" t="s">
        <v>95</v>
      </c>
      <c r="C8" s="114" t="s">
        <v>3417</v>
      </c>
      <c r="D8" s="114" t="s">
        <v>3422</v>
      </c>
      <c r="E8" s="114" t="s">
        <v>1530</v>
      </c>
      <c r="F8" s="114" t="s">
        <v>3423</v>
      </c>
      <c r="G8" s="114" t="s">
        <v>3424</v>
      </c>
      <c r="H8" s="114" t="s">
        <v>3425</v>
      </c>
      <c r="I8" s="112"/>
      <c r="J8" s="112"/>
      <c r="K8" s="112"/>
    </row>
    <row r="9" spans="1:11" ht="27.75" customHeight="1" x14ac:dyDescent="0.2">
      <c r="A9" s="115" t="s">
        <v>3344</v>
      </c>
      <c r="B9" s="116" t="s">
        <v>95</v>
      </c>
      <c r="C9" s="116" t="s">
        <v>3417</v>
      </c>
      <c r="D9" s="116" t="s">
        <v>3426</v>
      </c>
      <c r="E9" s="116" t="s">
        <v>1530</v>
      </c>
      <c r="F9" s="116" t="s">
        <v>3427</v>
      </c>
      <c r="G9" s="116" t="s">
        <v>3428</v>
      </c>
      <c r="H9" s="116" t="s">
        <v>3429</v>
      </c>
      <c r="I9" s="112"/>
      <c r="J9" s="112"/>
      <c r="K9" s="112"/>
    </row>
    <row r="10" spans="1:11" ht="27.75" customHeight="1" x14ac:dyDescent="0.2">
      <c r="A10" s="113" t="s">
        <v>3430</v>
      </c>
      <c r="B10" s="114" t="s">
        <v>95</v>
      </c>
      <c r="C10" s="114" t="s">
        <v>3431</v>
      </c>
      <c r="D10" s="114" t="s">
        <v>3432</v>
      </c>
      <c r="E10" s="114" t="s">
        <v>1530</v>
      </c>
      <c r="F10" s="114" t="s">
        <v>3433</v>
      </c>
      <c r="G10" s="114" t="s">
        <v>3434</v>
      </c>
      <c r="H10" s="114" t="s">
        <v>3435</v>
      </c>
      <c r="I10" s="112"/>
      <c r="J10" s="112"/>
      <c r="K10" s="112"/>
    </row>
    <row r="11" spans="1:11" ht="27.75" customHeight="1" x14ac:dyDescent="0.2">
      <c r="A11" s="115" t="s">
        <v>3436</v>
      </c>
      <c r="B11" s="116" t="s">
        <v>95</v>
      </c>
      <c r="C11" s="116" t="s">
        <v>3437</v>
      </c>
      <c r="D11" s="116" t="s">
        <v>3432</v>
      </c>
      <c r="E11" s="116" t="s">
        <v>353</v>
      </c>
      <c r="F11" s="116" t="s">
        <v>3438</v>
      </c>
      <c r="G11" s="116" t="s">
        <v>3439</v>
      </c>
      <c r="H11" s="116" t="s">
        <v>3440</v>
      </c>
    </row>
    <row r="12" spans="1:11" ht="27.75" customHeight="1" x14ac:dyDescent="0.2">
      <c r="A12" s="113" t="s">
        <v>94</v>
      </c>
      <c r="B12" s="114" t="s">
        <v>95</v>
      </c>
      <c r="C12" s="114" t="s">
        <v>3431</v>
      </c>
      <c r="D12" s="114" t="s">
        <v>3441</v>
      </c>
      <c r="E12" s="114" t="s">
        <v>1530</v>
      </c>
      <c r="F12" s="114" t="s">
        <v>3442</v>
      </c>
      <c r="G12" s="114" t="s">
        <v>3443</v>
      </c>
      <c r="H12" s="114" t="s">
        <v>3444</v>
      </c>
    </row>
    <row r="13" spans="1:11" ht="27.75" customHeight="1" x14ac:dyDescent="0.2">
      <c r="A13" s="115" t="s">
        <v>64</v>
      </c>
      <c r="B13" s="116" t="s">
        <v>95</v>
      </c>
      <c r="C13" s="116" t="s">
        <v>3431</v>
      </c>
      <c r="D13" s="116" t="s">
        <v>3445</v>
      </c>
      <c r="E13" s="116" t="s">
        <v>1530</v>
      </c>
      <c r="F13" s="116" t="s">
        <v>3446</v>
      </c>
      <c r="G13" s="116" t="s">
        <v>3447</v>
      </c>
      <c r="H13" s="116" t="s">
        <v>3448</v>
      </c>
    </row>
    <row r="14" spans="1:11" ht="27.75" customHeight="1" x14ac:dyDescent="0.2">
      <c r="A14" s="113" t="s">
        <v>3449</v>
      </c>
      <c r="B14" s="114" t="s">
        <v>95</v>
      </c>
      <c r="C14" s="114" t="s">
        <v>3431</v>
      </c>
      <c r="D14" s="114" t="s">
        <v>3450</v>
      </c>
      <c r="E14" s="114" t="s">
        <v>1530</v>
      </c>
      <c r="F14" s="114" t="s">
        <v>3451</v>
      </c>
      <c r="G14" s="114" t="s">
        <v>3452</v>
      </c>
      <c r="H14" s="114" t="s">
        <v>3453</v>
      </c>
    </row>
    <row r="15" spans="1:11" ht="27.75" customHeight="1" x14ac:dyDescent="0.2">
      <c r="A15" s="115" t="s">
        <v>3454</v>
      </c>
      <c r="B15" s="116" t="s">
        <v>95</v>
      </c>
      <c r="C15" s="116" t="s">
        <v>3417</v>
      </c>
      <c r="D15" s="116" t="s">
        <v>3426</v>
      </c>
      <c r="E15" s="116" t="s">
        <v>353</v>
      </c>
      <c r="F15" s="116" t="s">
        <v>3455</v>
      </c>
      <c r="G15" s="116" t="s">
        <v>3456</v>
      </c>
      <c r="H15" s="116"/>
    </row>
    <row r="16" spans="1:11" ht="27.75" customHeight="1" x14ac:dyDescent="0.2">
      <c r="A16" s="113" t="s">
        <v>3457</v>
      </c>
      <c r="B16" s="114" t="s">
        <v>95</v>
      </c>
      <c r="C16" s="114" t="s">
        <v>3417</v>
      </c>
      <c r="D16" s="114" t="s">
        <v>3426</v>
      </c>
      <c r="E16" s="114" t="s">
        <v>353</v>
      </c>
      <c r="F16" s="114" t="s">
        <v>3458</v>
      </c>
      <c r="G16" s="114" t="s">
        <v>3459</v>
      </c>
      <c r="H16" s="114" t="s">
        <v>3460</v>
      </c>
    </row>
    <row r="17" spans="1:8" ht="27.75" customHeight="1" x14ac:dyDescent="0.2">
      <c r="A17" s="115" t="s">
        <v>3461</v>
      </c>
      <c r="B17" s="116" t="s">
        <v>95</v>
      </c>
      <c r="C17" s="116" t="s">
        <v>3417</v>
      </c>
      <c r="D17" s="116" t="s">
        <v>3426</v>
      </c>
      <c r="E17" s="116" t="s">
        <v>353</v>
      </c>
      <c r="F17" s="116" t="s">
        <v>3462</v>
      </c>
      <c r="G17" s="116" t="s">
        <v>3463</v>
      </c>
      <c r="H17" s="116" t="s">
        <v>3464</v>
      </c>
    </row>
    <row r="18" spans="1:8" ht="27.75" customHeight="1" x14ac:dyDescent="0.2">
      <c r="A18" s="113" t="s">
        <v>1567</v>
      </c>
      <c r="B18" s="114" t="s">
        <v>95</v>
      </c>
      <c r="C18" s="114" t="s">
        <v>3465</v>
      </c>
      <c r="D18" s="114" t="s">
        <v>3426</v>
      </c>
      <c r="E18" s="114" t="s">
        <v>1530</v>
      </c>
      <c r="F18" s="114" t="s">
        <v>3466</v>
      </c>
      <c r="G18" s="114" t="s">
        <v>3467</v>
      </c>
      <c r="H18" s="114" t="s">
        <v>3468</v>
      </c>
    </row>
    <row r="19" spans="1:8" ht="27.75" customHeight="1" x14ac:dyDescent="0.2">
      <c r="A19" s="115" t="s">
        <v>193</v>
      </c>
      <c r="B19" s="116" t="s">
        <v>95</v>
      </c>
      <c r="C19" s="116" t="s">
        <v>3465</v>
      </c>
      <c r="D19" s="116" t="s">
        <v>3426</v>
      </c>
      <c r="E19" s="116" t="s">
        <v>353</v>
      </c>
      <c r="F19" s="116" t="s">
        <v>3469</v>
      </c>
      <c r="G19" s="116" t="s">
        <v>3470</v>
      </c>
      <c r="H19" s="116" t="s">
        <v>3471</v>
      </c>
    </row>
    <row r="20" spans="1:8" ht="27.75" customHeight="1" x14ac:dyDescent="0.2">
      <c r="A20" s="113" t="s">
        <v>3472</v>
      </c>
      <c r="B20" s="114" t="s">
        <v>95</v>
      </c>
      <c r="C20" s="114" t="s">
        <v>3465</v>
      </c>
      <c r="D20" s="114" t="s">
        <v>3426</v>
      </c>
      <c r="E20" s="114" t="s">
        <v>1530</v>
      </c>
      <c r="F20" s="114" t="s">
        <v>3473</v>
      </c>
      <c r="G20" s="114" t="s">
        <v>3474</v>
      </c>
      <c r="H20" s="114" t="s">
        <v>3475</v>
      </c>
    </row>
    <row r="21" spans="1:8" ht="27.75" customHeight="1" x14ac:dyDescent="0.2">
      <c r="A21" s="115" t="s">
        <v>3476</v>
      </c>
      <c r="B21" s="116" t="s">
        <v>95</v>
      </c>
      <c r="C21" s="116" t="s">
        <v>3417</v>
      </c>
      <c r="D21" s="116" t="s">
        <v>3426</v>
      </c>
      <c r="E21" s="116" t="s">
        <v>353</v>
      </c>
      <c r="F21" s="116" t="s">
        <v>3477</v>
      </c>
      <c r="G21" s="116" t="s">
        <v>3478</v>
      </c>
      <c r="H21" s="116"/>
    </row>
    <row r="22" spans="1:8" ht="27.75" customHeight="1" x14ac:dyDescent="0.2">
      <c r="A22" s="113" t="s">
        <v>196</v>
      </c>
      <c r="B22" s="114" t="s">
        <v>95</v>
      </c>
      <c r="C22" s="114" t="s">
        <v>3465</v>
      </c>
      <c r="D22" s="114" t="s">
        <v>3426</v>
      </c>
      <c r="E22" s="114" t="s">
        <v>353</v>
      </c>
      <c r="F22" s="114" t="s">
        <v>3479</v>
      </c>
      <c r="G22" s="114" t="s">
        <v>3480</v>
      </c>
      <c r="H22" s="114" t="s">
        <v>3481</v>
      </c>
    </row>
    <row r="23" spans="1:8" ht="27.75" customHeight="1" x14ac:dyDescent="0.2">
      <c r="A23" s="115" t="s">
        <v>3482</v>
      </c>
      <c r="B23" s="116" t="s">
        <v>95</v>
      </c>
      <c r="C23" s="116" t="s">
        <v>3483</v>
      </c>
      <c r="D23" s="116" t="s">
        <v>3426</v>
      </c>
      <c r="E23" s="116" t="s">
        <v>353</v>
      </c>
      <c r="F23" s="116" t="s">
        <v>3484</v>
      </c>
      <c r="G23" s="116" t="s">
        <v>3485</v>
      </c>
      <c r="H23" s="116"/>
    </row>
    <row r="24" spans="1:8" ht="27.75" customHeight="1" x14ac:dyDescent="0.2">
      <c r="A24" s="113" t="s">
        <v>3486</v>
      </c>
      <c r="B24" s="114" t="s">
        <v>95</v>
      </c>
      <c r="C24" s="114" t="s">
        <v>3431</v>
      </c>
      <c r="D24" s="114" t="s">
        <v>3487</v>
      </c>
      <c r="E24" s="114" t="s">
        <v>1530</v>
      </c>
      <c r="F24" s="114" t="s">
        <v>3488</v>
      </c>
      <c r="G24" s="114" t="s">
        <v>3489</v>
      </c>
      <c r="H24" s="114" t="s">
        <v>3490</v>
      </c>
    </row>
    <row r="25" spans="1:8" ht="27.75" customHeight="1" x14ac:dyDescent="0.2">
      <c r="A25" s="115" t="s">
        <v>1570</v>
      </c>
      <c r="B25" s="116" t="s">
        <v>95</v>
      </c>
      <c r="C25" s="116" t="s">
        <v>3431</v>
      </c>
      <c r="D25" s="116" t="s">
        <v>3491</v>
      </c>
      <c r="E25" s="116" t="s">
        <v>1530</v>
      </c>
      <c r="F25" s="116" t="s">
        <v>3492</v>
      </c>
      <c r="G25" s="116" t="s">
        <v>3493</v>
      </c>
      <c r="H25" s="116" t="s">
        <v>3494</v>
      </c>
    </row>
    <row r="26" spans="1:8" ht="27.75" customHeight="1" x14ac:dyDescent="0.2">
      <c r="A26" s="110" t="s">
        <v>3495</v>
      </c>
      <c r="B26" s="111" t="s">
        <v>98</v>
      </c>
      <c r="C26" s="111" t="s">
        <v>3496</v>
      </c>
      <c r="D26" s="111" t="s">
        <v>3497</v>
      </c>
      <c r="E26" s="117" t="s">
        <v>3498</v>
      </c>
      <c r="F26" s="111" t="s">
        <v>3499</v>
      </c>
      <c r="G26" s="111" t="s">
        <v>3500</v>
      </c>
      <c r="H26" s="111" t="s">
        <v>3501</v>
      </c>
    </row>
    <row r="27" spans="1:8" ht="27.75" customHeight="1" x14ac:dyDescent="0.2">
      <c r="A27" s="115" t="s">
        <v>3502</v>
      </c>
      <c r="B27" s="116" t="s">
        <v>98</v>
      </c>
      <c r="C27" s="116" t="s">
        <v>3496</v>
      </c>
      <c r="D27" s="116" t="s">
        <v>3503</v>
      </c>
      <c r="E27" s="118" t="s">
        <v>3498</v>
      </c>
      <c r="F27" s="116" t="s">
        <v>3504</v>
      </c>
      <c r="G27" s="116" t="s">
        <v>3505</v>
      </c>
      <c r="H27" s="116" t="s">
        <v>3506</v>
      </c>
    </row>
    <row r="28" spans="1:8" ht="27.75" customHeight="1" x14ac:dyDescent="0.2">
      <c r="A28" s="113" t="s">
        <v>3507</v>
      </c>
      <c r="B28" s="114" t="s">
        <v>98</v>
      </c>
      <c r="C28" s="114" t="s">
        <v>3496</v>
      </c>
      <c r="D28" s="114" t="s">
        <v>3508</v>
      </c>
      <c r="E28" s="119" t="s">
        <v>3498</v>
      </c>
      <c r="F28" s="114" t="s">
        <v>3509</v>
      </c>
      <c r="G28" s="114" t="s">
        <v>3510</v>
      </c>
      <c r="H28" s="114" t="s">
        <v>3511</v>
      </c>
    </row>
    <row r="29" spans="1:8" ht="27.75" customHeight="1" x14ac:dyDescent="0.2">
      <c r="A29" s="115" t="s">
        <v>3512</v>
      </c>
      <c r="B29" s="116" t="s">
        <v>98</v>
      </c>
      <c r="C29" s="116" t="s">
        <v>3496</v>
      </c>
      <c r="D29" s="116" t="s">
        <v>3508</v>
      </c>
      <c r="E29" s="118" t="s">
        <v>3498</v>
      </c>
      <c r="F29" s="116" t="s">
        <v>3513</v>
      </c>
      <c r="G29" s="116" t="s">
        <v>3514</v>
      </c>
      <c r="H29" s="116" t="s">
        <v>3515</v>
      </c>
    </row>
    <row r="30" spans="1:8" ht="27.75" customHeight="1" x14ac:dyDescent="0.2">
      <c r="A30" s="113" t="s">
        <v>66</v>
      </c>
      <c r="B30" s="114" t="s">
        <v>98</v>
      </c>
      <c r="C30" s="114" t="s">
        <v>3498</v>
      </c>
      <c r="D30" s="114" t="s">
        <v>3516</v>
      </c>
      <c r="E30" s="119" t="s">
        <v>3498</v>
      </c>
      <c r="F30" s="114" t="s">
        <v>3517</v>
      </c>
      <c r="G30" s="114" t="s">
        <v>3518</v>
      </c>
      <c r="H30" s="114" t="s">
        <v>3519</v>
      </c>
    </row>
    <row r="31" spans="1:8" ht="27.75" customHeight="1" x14ac:dyDescent="0.2">
      <c r="A31" s="110" t="s">
        <v>1557</v>
      </c>
      <c r="B31" s="111" t="s">
        <v>101</v>
      </c>
      <c r="C31" s="111" t="s">
        <v>3417</v>
      </c>
      <c r="D31" s="111" t="s">
        <v>3520</v>
      </c>
      <c r="E31" s="111" t="s">
        <v>1530</v>
      </c>
      <c r="F31" s="111" t="s">
        <v>3521</v>
      </c>
      <c r="G31" s="111" t="s">
        <v>3522</v>
      </c>
      <c r="H31" s="111"/>
    </row>
    <row r="32" spans="1:8" ht="27.75" customHeight="1" x14ac:dyDescent="0.2">
      <c r="A32" s="113" t="s">
        <v>3523</v>
      </c>
      <c r="B32" s="114" t="s">
        <v>101</v>
      </c>
      <c r="C32" s="114" t="s">
        <v>3417</v>
      </c>
      <c r="D32" s="114" t="s">
        <v>3524</v>
      </c>
      <c r="E32" s="114" t="s">
        <v>1530</v>
      </c>
      <c r="F32" s="114" t="s">
        <v>3525</v>
      </c>
      <c r="G32" s="114" t="s">
        <v>3526</v>
      </c>
      <c r="H32" s="114" t="s">
        <v>3527</v>
      </c>
    </row>
    <row r="33" spans="1:8" ht="27.75" customHeight="1" x14ac:dyDescent="0.2">
      <c r="A33" s="115" t="s">
        <v>3528</v>
      </c>
      <c r="B33" s="116" t="s">
        <v>101</v>
      </c>
      <c r="C33" s="116" t="s">
        <v>3417</v>
      </c>
      <c r="D33" s="116" t="s">
        <v>3524</v>
      </c>
      <c r="E33" s="116" t="s">
        <v>1530</v>
      </c>
      <c r="F33" s="116" t="s">
        <v>3529</v>
      </c>
      <c r="G33" s="116" t="s">
        <v>3530</v>
      </c>
      <c r="H33" s="116"/>
    </row>
    <row r="34" spans="1:8" ht="42" customHeight="1" x14ac:dyDescent="0.2">
      <c r="A34" s="113" t="s">
        <v>1564</v>
      </c>
      <c r="B34" s="114" t="s">
        <v>101</v>
      </c>
      <c r="C34" s="114" t="s">
        <v>3431</v>
      </c>
      <c r="D34" s="114" t="s">
        <v>3531</v>
      </c>
      <c r="E34" s="114" t="s">
        <v>1530</v>
      </c>
      <c r="F34" s="114" t="s">
        <v>3532</v>
      </c>
      <c r="G34" s="114" t="s">
        <v>3533</v>
      </c>
      <c r="H34" s="114" t="s">
        <v>3534</v>
      </c>
    </row>
    <row r="35" spans="1:8" ht="27.75" customHeight="1" x14ac:dyDescent="0.2">
      <c r="A35" s="115" t="s">
        <v>1565</v>
      </c>
      <c r="B35" s="116" t="s">
        <v>101</v>
      </c>
      <c r="C35" s="116" t="s">
        <v>3431</v>
      </c>
      <c r="D35" s="116" t="s">
        <v>3535</v>
      </c>
      <c r="E35" s="116" t="s">
        <v>1530</v>
      </c>
      <c r="F35" s="116" t="s">
        <v>3536</v>
      </c>
      <c r="G35" s="116" t="s">
        <v>3537</v>
      </c>
      <c r="H35" s="116"/>
    </row>
    <row r="36" spans="1:8" ht="27.75" customHeight="1" x14ac:dyDescent="0.2">
      <c r="A36" s="113" t="s">
        <v>1566</v>
      </c>
      <c r="B36" s="114" t="s">
        <v>101</v>
      </c>
      <c r="C36" s="114" t="s">
        <v>3431</v>
      </c>
      <c r="D36" s="114" t="s">
        <v>3538</v>
      </c>
      <c r="E36" s="114" t="s">
        <v>1530</v>
      </c>
      <c r="F36" s="114" t="s">
        <v>3539</v>
      </c>
      <c r="G36" s="114" t="s">
        <v>3540</v>
      </c>
      <c r="H36" s="114"/>
    </row>
    <row r="37" spans="1:8" ht="27.75" customHeight="1" x14ac:dyDescent="0.2">
      <c r="A37" s="115" t="s">
        <v>1567</v>
      </c>
      <c r="B37" s="116" t="s">
        <v>101</v>
      </c>
      <c r="C37" s="116" t="s">
        <v>3465</v>
      </c>
      <c r="D37" s="116" t="s">
        <v>3426</v>
      </c>
      <c r="E37" s="116" t="s">
        <v>1530</v>
      </c>
      <c r="F37" s="116" t="s">
        <v>3541</v>
      </c>
      <c r="G37" s="116" t="s">
        <v>3542</v>
      </c>
      <c r="H37" s="116"/>
    </row>
    <row r="38" spans="1:8" ht="27.75" customHeight="1" x14ac:dyDescent="0.2">
      <c r="A38" s="113" t="s">
        <v>193</v>
      </c>
      <c r="B38" s="114" t="s">
        <v>101</v>
      </c>
      <c r="C38" s="114" t="s">
        <v>3465</v>
      </c>
      <c r="D38" s="114" t="s">
        <v>3426</v>
      </c>
      <c r="E38" s="114" t="s">
        <v>353</v>
      </c>
      <c r="F38" s="114" t="s">
        <v>3543</v>
      </c>
      <c r="G38" s="114" t="s">
        <v>3544</v>
      </c>
      <c r="H38" s="114"/>
    </row>
    <row r="39" spans="1:8" ht="27.75" customHeight="1" x14ac:dyDescent="0.2">
      <c r="A39" s="115" t="s">
        <v>3545</v>
      </c>
      <c r="B39" s="116" t="s">
        <v>101</v>
      </c>
      <c r="C39" s="116" t="s">
        <v>3417</v>
      </c>
      <c r="D39" s="116" t="s">
        <v>3426</v>
      </c>
      <c r="E39" s="116" t="s">
        <v>353</v>
      </c>
      <c r="F39" s="116" t="s">
        <v>3546</v>
      </c>
      <c r="G39" s="116" t="s">
        <v>3547</v>
      </c>
      <c r="H39" s="116"/>
    </row>
    <row r="40" spans="1:8" ht="27.75" customHeight="1" x14ac:dyDescent="0.2">
      <c r="A40" s="110" t="s">
        <v>2461</v>
      </c>
      <c r="B40" s="111" t="s">
        <v>104</v>
      </c>
      <c r="C40" s="111" t="s">
        <v>3417</v>
      </c>
      <c r="D40" s="111" t="s">
        <v>3548</v>
      </c>
      <c r="E40" s="111" t="s">
        <v>1530</v>
      </c>
      <c r="F40" s="111" t="s">
        <v>3549</v>
      </c>
      <c r="G40" s="111" t="s">
        <v>3550</v>
      </c>
      <c r="H40" s="111"/>
    </row>
    <row r="41" spans="1:8" ht="27.75" customHeight="1" x14ac:dyDescent="0.2">
      <c r="A41" s="115" t="s">
        <v>3551</v>
      </c>
      <c r="B41" s="116" t="s">
        <v>104</v>
      </c>
      <c r="C41" s="116" t="s">
        <v>3417</v>
      </c>
      <c r="D41" s="116" t="s">
        <v>3524</v>
      </c>
      <c r="E41" s="116" t="s">
        <v>1530</v>
      </c>
      <c r="F41" s="116" t="s">
        <v>3552</v>
      </c>
      <c r="G41" s="116" t="s">
        <v>3553</v>
      </c>
      <c r="H41" s="116"/>
    </row>
    <row r="42" spans="1:8" ht="27.75" customHeight="1" x14ac:dyDescent="0.2">
      <c r="A42" s="113" t="s">
        <v>3554</v>
      </c>
      <c r="B42" s="114" t="s">
        <v>104</v>
      </c>
      <c r="C42" s="114" t="s">
        <v>3431</v>
      </c>
      <c r="D42" s="114" t="s">
        <v>3445</v>
      </c>
      <c r="E42" s="114" t="s">
        <v>1530</v>
      </c>
      <c r="F42" s="114" t="s">
        <v>3555</v>
      </c>
      <c r="G42" s="114" t="s">
        <v>3556</v>
      </c>
      <c r="H42" s="114"/>
    </row>
    <row r="43" spans="1:8" ht="27.75" customHeight="1" x14ac:dyDescent="0.2">
      <c r="A43" s="110" t="s">
        <v>3557</v>
      </c>
      <c r="B43" s="111" t="s">
        <v>110</v>
      </c>
      <c r="C43" s="111" t="s">
        <v>3417</v>
      </c>
      <c r="D43" s="111" t="s">
        <v>3558</v>
      </c>
      <c r="E43" s="111" t="s">
        <v>1530</v>
      </c>
      <c r="F43" s="111" t="s">
        <v>3559</v>
      </c>
      <c r="G43" s="111" t="s">
        <v>3560</v>
      </c>
      <c r="H43" s="111" t="s">
        <v>3561</v>
      </c>
    </row>
    <row r="44" spans="1:8" ht="27.75" customHeight="1" x14ac:dyDescent="0.2">
      <c r="A44" s="113"/>
      <c r="B44" s="114"/>
      <c r="C44" s="114"/>
      <c r="D44" s="114"/>
      <c r="E44" s="114"/>
      <c r="F44" s="114"/>
      <c r="G44" s="114"/>
      <c r="H44" s="114"/>
    </row>
  </sheetData>
  <mergeCells count="4">
    <mergeCell ref="B1:H1"/>
    <mergeCell ref="B2:H2"/>
    <mergeCell ref="A3:H3"/>
    <mergeCell ref="A6:H6"/>
  </mergeCells>
  <dataValidations count="3">
    <dataValidation type="list" allowBlank="1" sqref="B7:B500" xr:uid="{00000000-0002-0000-0700-000000000000}">
      <formula1>L_HOJAS</formula1>
      <formula2>0</formula2>
    </dataValidation>
    <dataValidation type="list" allowBlank="1" sqref="C7:C500" xr:uid="{00000000-0002-0000-0700-000001000000}">
      <formula1>L_TIPOS_DATO</formula1>
      <formula2>0</formula2>
    </dataValidation>
    <dataValidation type="list" allowBlank="1" sqref="E7:E500" xr:uid="{00000000-0002-0000-0700-000002000000}">
      <formula1>L_OBLIGATORIO</formula1>
      <formula2>0</formula2>
    </dataValidation>
  </dataValidations>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91"/>
  <sheetViews>
    <sheetView zoomScaleNormal="100" workbookViewId="0">
      <pane xSplit="3" ySplit="5" topLeftCell="Q6" activePane="bottomRight" state="frozen"/>
      <selection pane="topRight"/>
      <selection pane="bottomLeft"/>
      <selection pane="bottomRight" activeCell="S6" sqref="S6"/>
    </sheetView>
  </sheetViews>
  <sheetFormatPr baseColWidth="10" defaultColWidth="8.83203125" defaultRowHeight="15" x14ac:dyDescent="0.2"/>
  <cols>
    <col min="1" max="2" width="11" customWidth="1"/>
    <col min="3" max="3" width="32" customWidth="1"/>
    <col min="4" max="4" width="11" customWidth="1"/>
    <col min="5" max="5" width="14" customWidth="1"/>
    <col min="6" max="6" width="28" customWidth="1"/>
    <col min="7" max="7" width="9" customWidth="1"/>
    <col min="8" max="8" width="14" customWidth="1"/>
    <col min="9" max="10" width="22" customWidth="1"/>
    <col min="11" max="11" width="18" customWidth="1"/>
    <col min="12" max="13" width="44" customWidth="1"/>
    <col min="14" max="14" width="30" customWidth="1"/>
    <col min="15" max="15" width="36" customWidth="1"/>
    <col min="16" max="16" width="44" customWidth="1"/>
    <col min="17" max="17" width="24" customWidth="1"/>
    <col min="18" max="18" width="14" customWidth="1"/>
    <col min="19" max="19" width="32" customWidth="1"/>
    <col min="20" max="20" width="14" hidden="1" customWidth="1"/>
  </cols>
  <sheetData>
    <row r="1" spans="1:20" ht="31.5" customHeight="1" x14ac:dyDescent="0.2">
      <c r="A1" s="43" t="s">
        <v>178</v>
      </c>
      <c r="B1" s="150" t="s">
        <v>95</v>
      </c>
      <c r="C1" s="150"/>
      <c r="D1" s="150"/>
      <c r="E1" s="150"/>
      <c r="F1" s="150"/>
      <c r="G1" s="150"/>
      <c r="H1" s="150"/>
      <c r="I1" s="150"/>
      <c r="J1" s="150"/>
      <c r="K1" s="150"/>
      <c r="L1" s="150"/>
      <c r="M1" s="150"/>
      <c r="N1" s="150"/>
      <c r="O1" s="150"/>
      <c r="P1" s="150"/>
      <c r="Q1" s="150"/>
      <c r="R1" s="150"/>
      <c r="S1" s="150"/>
      <c r="T1" s="150"/>
    </row>
    <row r="2" spans="1:20" ht="21.75" customHeight="1" x14ac:dyDescent="0.2">
      <c r="A2" s="45" t="s">
        <v>179</v>
      </c>
      <c r="B2" s="151" t="s">
        <v>180</v>
      </c>
      <c r="C2" s="151"/>
      <c r="D2" s="151"/>
      <c r="E2" s="151"/>
      <c r="F2" s="151"/>
      <c r="G2" s="151"/>
      <c r="H2" s="151"/>
      <c r="I2" s="151"/>
      <c r="J2" s="151"/>
      <c r="K2" s="151"/>
      <c r="L2" s="151"/>
      <c r="M2" s="151"/>
      <c r="N2" s="151"/>
      <c r="O2" s="151"/>
      <c r="P2" s="151"/>
      <c r="Q2" s="151"/>
      <c r="R2" s="151"/>
      <c r="S2" s="151"/>
      <c r="T2" s="151"/>
    </row>
    <row r="3" spans="1:20" ht="18" customHeight="1" x14ac:dyDescent="0.2">
      <c r="A3" s="152" t="s">
        <v>181</v>
      </c>
      <c r="B3" s="152"/>
      <c r="C3" s="152"/>
      <c r="D3" s="152"/>
      <c r="E3" s="152"/>
      <c r="F3" s="152"/>
      <c r="G3" s="152"/>
      <c r="H3" s="152"/>
      <c r="I3" s="152"/>
      <c r="J3" s="152"/>
      <c r="K3" s="152"/>
      <c r="L3" s="152"/>
      <c r="M3" s="152"/>
      <c r="N3" s="152"/>
      <c r="O3" s="152"/>
      <c r="P3" s="152"/>
      <c r="Q3" s="152"/>
      <c r="R3" s="152"/>
      <c r="S3" s="152"/>
      <c r="T3" s="152"/>
    </row>
    <row r="4" spans="1:20" ht="6" customHeight="1" x14ac:dyDescent="0.2"/>
    <row r="5" spans="1:20" ht="39.75" customHeight="1" x14ac:dyDescent="0.2">
      <c r="A5" s="47" t="s">
        <v>182</v>
      </c>
      <c r="B5" s="47" t="s">
        <v>183</v>
      </c>
      <c r="C5" s="47" t="s">
        <v>184</v>
      </c>
      <c r="D5" s="47" t="s">
        <v>185</v>
      </c>
      <c r="E5" s="47" t="s">
        <v>186</v>
      </c>
      <c r="F5" s="47" t="s">
        <v>187</v>
      </c>
      <c r="G5" s="47" t="s">
        <v>64</v>
      </c>
      <c r="H5" s="47" t="s">
        <v>188</v>
      </c>
      <c r="I5" s="47" t="s">
        <v>189</v>
      </c>
      <c r="J5" s="47" t="s">
        <v>190</v>
      </c>
      <c r="K5" s="47" t="s">
        <v>191</v>
      </c>
      <c r="L5" s="47" t="s">
        <v>192</v>
      </c>
      <c r="M5" s="47" t="s">
        <v>193</v>
      </c>
      <c r="N5" s="47" t="s">
        <v>194</v>
      </c>
      <c r="O5" s="47" t="s">
        <v>195</v>
      </c>
      <c r="P5" s="47" t="s">
        <v>196</v>
      </c>
      <c r="Q5" s="47" t="s">
        <v>197</v>
      </c>
      <c r="R5" s="47" t="s">
        <v>198</v>
      </c>
      <c r="S5" s="47" t="s">
        <v>4243</v>
      </c>
      <c r="T5" s="47" t="s">
        <v>199</v>
      </c>
    </row>
    <row r="6" spans="1:20" ht="45" customHeight="1" x14ac:dyDescent="0.2">
      <c r="A6" s="48" t="s">
        <v>354</v>
      </c>
      <c r="B6" s="48" t="s">
        <v>355</v>
      </c>
      <c r="C6" s="49" t="s">
        <v>356</v>
      </c>
      <c r="D6" s="49" t="s">
        <v>24</v>
      </c>
      <c r="E6" s="49" t="s">
        <v>357</v>
      </c>
      <c r="F6" s="49" t="s">
        <v>358</v>
      </c>
      <c r="G6" s="50" t="s">
        <v>205</v>
      </c>
      <c r="H6" s="49" t="s">
        <v>269</v>
      </c>
      <c r="I6" s="49" t="s">
        <v>359</v>
      </c>
      <c r="J6" s="49" t="s">
        <v>250</v>
      </c>
      <c r="K6" s="49" t="s">
        <v>360</v>
      </c>
      <c r="L6" s="49" t="s">
        <v>361</v>
      </c>
      <c r="M6" s="49" t="s">
        <v>362</v>
      </c>
      <c r="N6" s="49" t="s">
        <v>363</v>
      </c>
      <c r="O6" s="49" t="s">
        <v>364</v>
      </c>
      <c r="P6" s="49" t="s">
        <v>365</v>
      </c>
      <c r="Q6" s="49" t="s">
        <v>366</v>
      </c>
      <c r="R6" s="49" t="s">
        <v>225</v>
      </c>
      <c r="S6" s="49"/>
      <c r="T6" s="51" t="str">
        <f>IF(G6="","",IF(OR(G6="Tier 3"),"No",IF(AND(S6&lt;&gt;"",OR(ISNUMBER(SEARCH("OFAC",S6)),ISNUMBER(SEARCH("penal",S6)),ISNUMBER(SEARCH("rojo pendiente",S6)))),"Revisar","Sí")))</f>
        <v>Sí</v>
      </c>
    </row>
    <row r="7" spans="1:20" ht="43" customHeight="1" x14ac:dyDescent="0.2">
      <c r="A7" s="48" t="s">
        <v>367</v>
      </c>
      <c r="B7" s="48" t="s">
        <v>368</v>
      </c>
      <c r="C7" s="49" t="s">
        <v>369</v>
      </c>
      <c r="D7" s="49" t="s">
        <v>24</v>
      </c>
      <c r="E7" s="49" t="s">
        <v>291</v>
      </c>
      <c r="F7" s="49" t="s">
        <v>370</v>
      </c>
      <c r="G7" s="50" t="s">
        <v>230</v>
      </c>
      <c r="H7" s="49" t="s">
        <v>269</v>
      </c>
      <c r="I7" s="49" t="s">
        <v>371</v>
      </c>
      <c r="J7" s="49"/>
      <c r="K7" s="49"/>
      <c r="L7" s="49" t="s">
        <v>372</v>
      </c>
      <c r="M7" s="49" t="s">
        <v>373</v>
      </c>
      <c r="N7" s="49" t="s">
        <v>374</v>
      </c>
      <c r="O7" s="49"/>
      <c r="P7" s="49" t="s">
        <v>375</v>
      </c>
      <c r="Q7" s="49" t="s">
        <v>376</v>
      </c>
      <c r="R7" s="49" t="s">
        <v>225</v>
      </c>
      <c r="S7" s="49"/>
      <c r="T7" s="51" t="str">
        <f>IF(G7="","",IF(OR(G7="Tier 3"),"No",IF(AND(S7&lt;&gt;"",OR(ISNUMBER(SEARCH("OFAC",S7)),ISNUMBER(SEARCH("penal",S7)),ISNUMBER(SEARCH("rojo pendiente",S7)))),"Revisar","Sí")))</f>
        <v>Sí</v>
      </c>
    </row>
    <row r="8" spans="1:20" ht="41" customHeight="1" x14ac:dyDescent="0.2">
      <c r="A8" s="48" t="s">
        <v>389</v>
      </c>
      <c r="B8" s="48" t="s">
        <v>390</v>
      </c>
      <c r="C8" s="49" t="s">
        <v>391</v>
      </c>
      <c r="D8" s="49" t="s">
        <v>24</v>
      </c>
      <c r="E8" s="49" t="s">
        <v>48</v>
      </c>
      <c r="F8" s="49" t="s">
        <v>392</v>
      </c>
      <c r="G8" s="50" t="s">
        <v>230</v>
      </c>
      <c r="H8" s="49" t="s">
        <v>269</v>
      </c>
      <c r="I8" s="49" t="s">
        <v>393</v>
      </c>
      <c r="J8" s="49"/>
      <c r="K8" s="49" t="s">
        <v>394</v>
      </c>
      <c r="L8" s="49" t="s">
        <v>395</v>
      </c>
      <c r="M8" s="49" t="s">
        <v>396</v>
      </c>
      <c r="N8" s="49" t="s">
        <v>397</v>
      </c>
      <c r="O8" s="49"/>
      <c r="P8" s="49" t="s">
        <v>398</v>
      </c>
      <c r="Q8" s="49" t="s">
        <v>399</v>
      </c>
      <c r="R8" s="49" t="s">
        <v>225</v>
      </c>
      <c r="S8" s="49"/>
      <c r="T8" s="51" t="str">
        <f>IF(G8="","",IF(OR(G8="Tier 3"),"No",IF(AND(S8&lt;&gt;"",OR(ISNUMBER(SEARCH("OFAC",S8)),ISNUMBER(SEARCH("penal",S8)),ISNUMBER(SEARCH("rojo pendiente",S8)))),"Revisar","Sí")))</f>
        <v>Sí</v>
      </c>
    </row>
    <row r="9" spans="1:20" ht="42" customHeight="1" x14ac:dyDescent="0.2">
      <c r="A9" s="48" t="s">
        <v>413</v>
      </c>
      <c r="B9" s="48" t="s">
        <v>414</v>
      </c>
      <c r="C9" s="49" t="s">
        <v>415</v>
      </c>
      <c r="D9" s="49" t="s">
        <v>24</v>
      </c>
      <c r="E9" s="49" t="s">
        <v>416</v>
      </c>
      <c r="F9" s="49" t="s">
        <v>417</v>
      </c>
      <c r="G9" s="50" t="s">
        <v>313</v>
      </c>
      <c r="H9" s="49" t="s">
        <v>269</v>
      </c>
      <c r="I9" s="49" t="s">
        <v>418</v>
      </c>
      <c r="J9" s="49" t="s">
        <v>250</v>
      </c>
      <c r="K9" s="49" t="s">
        <v>209</v>
      </c>
      <c r="L9" s="49" t="s">
        <v>419</v>
      </c>
      <c r="M9" s="49" t="s">
        <v>420</v>
      </c>
      <c r="N9" s="49" t="s">
        <v>421</v>
      </c>
      <c r="O9" s="49"/>
      <c r="P9" s="49" t="s">
        <v>422</v>
      </c>
      <c r="Q9" s="49" t="s">
        <v>423</v>
      </c>
      <c r="R9" s="49" t="s">
        <v>225</v>
      </c>
      <c r="S9" s="49"/>
      <c r="T9" s="51" t="s">
        <v>4259</v>
      </c>
    </row>
    <row r="10" spans="1:20" ht="43" customHeight="1" x14ac:dyDescent="0.2">
      <c r="A10" s="48" t="s">
        <v>424</v>
      </c>
      <c r="B10" s="48" t="s">
        <v>425</v>
      </c>
      <c r="C10" s="49" t="s">
        <v>426</v>
      </c>
      <c r="D10" s="49" t="s">
        <v>24</v>
      </c>
      <c r="E10" s="49" t="s">
        <v>416</v>
      </c>
      <c r="F10" s="49" t="s">
        <v>417</v>
      </c>
      <c r="G10" s="50" t="s">
        <v>205</v>
      </c>
      <c r="H10" s="49" t="s">
        <v>269</v>
      </c>
      <c r="I10" s="49" t="s">
        <v>427</v>
      </c>
      <c r="J10" s="49" t="s">
        <v>250</v>
      </c>
      <c r="K10" s="49" t="s">
        <v>209</v>
      </c>
      <c r="L10" s="49" t="s">
        <v>428</v>
      </c>
      <c r="M10" s="49" t="s">
        <v>429</v>
      </c>
      <c r="N10" s="49" t="s">
        <v>430</v>
      </c>
      <c r="O10" s="49"/>
      <c r="P10" s="49" t="s">
        <v>431</v>
      </c>
      <c r="Q10" s="49" t="s">
        <v>432</v>
      </c>
      <c r="R10" s="49" t="s">
        <v>225</v>
      </c>
      <c r="S10" s="49"/>
      <c r="T10" s="51" t="str">
        <f>IF(G10="","",IF(OR(G10="Tier 3"),"No",IF(AND(S10&lt;&gt;"",OR(ISNUMBER(SEARCH("OFAC",S10)),ISNUMBER(SEARCH("penal",S10)),ISNUMBER(SEARCH("rojo pendiente",S10)))),"Revisar","Sí")))</f>
        <v>Sí</v>
      </c>
    </row>
    <row r="11" spans="1:20" ht="31.5" customHeight="1" x14ac:dyDescent="0.2">
      <c r="A11" s="48" t="s">
        <v>451</v>
      </c>
      <c r="B11" s="48" t="s">
        <v>452</v>
      </c>
      <c r="C11" s="49" t="s">
        <v>453</v>
      </c>
      <c r="D11" s="49" t="s">
        <v>24</v>
      </c>
      <c r="E11" s="49" t="s">
        <v>48</v>
      </c>
      <c r="F11" s="49" t="s">
        <v>454</v>
      </c>
      <c r="G11" s="50" t="s">
        <v>230</v>
      </c>
      <c r="H11" s="49" t="s">
        <v>269</v>
      </c>
      <c r="I11" s="49" t="s">
        <v>455</v>
      </c>
      <c r="J11" s="49"/>
      <c r="K11" s="49"/>
      <c r="L11" s="49" t="s">
        <v>456</v>
      </c>
      <c r="M11" s="49" t="s">
        <v>457</v>
      </c>
      <c r="N11" s="49" t="s">
        <v>458</v>
      </c>
      <c r="O11" s="49" t="s">
        <v>459</v>
      </c>
      <c r="P11" s="49" t="s">
        <v>460</v>
      </c>
      <c r="Q11" s="49" t="s">
        <v>461</v>
      </c>
      <c r="R11" s="49" t="s">
        <v>225</v>
      </c>
      <c r="S11" s="49"/>
      <c r="T11" s="51" t="str">
        <f>IF(G12="","",IF(OR(G12="Tier 3"),"No",IF(AND(S12&lt;&gt;"",OR(ISNUMBER(SEARCH("OFAC",S12)),ISNUMBER(SEARCH("penal",S12)),ISNUMBER(SEARCH("rojo pendiente",S12)))),"Revisar","Sí")))</f>
        <v>Sí</v>
      </c>
    </row>
    <row r="12" spans="1:20" ht="31.5" customHeight="1" x14ac:dyDescent="0.2">
      <c r="A12" s="48" t="s">
        <v>462</v>
      </c>
      <c r="B12" s="48" t="s">
        <v>463</v>
      </c>
      <c r="C12" s="49" t="s">
        <v>464</v>
      </c>
      <c r="D12" s="49" t="s">
        <v>24</v>
      </c>
      <c r="E12" s="49" t="s">
        <v>465</v>
      </c>
      <c r="F12" s="49" t="s">
        <v>466</v>
      </c>
      <c r="G12" s="50" t="s">
        <v>205</v>
      </c>
      <c r="H12" s="49" t="s">
        <v>269</v>
      </c>
      <c r="I12" s="49" t="s">
        <v>467</v>
      </c>
      <c r="J12" s="49" t="s">
        <v>250</v>
      </c>
      <c r="K12" s="49" t="s">
        <v>271</v>
      </c>
      <c r="L12" s="49" t="s">
        <v>468</v>
      </c>
      <c r="M12" s="49" t="s">
        <v>469</v>
      </c>
      <c r="N12" s="49" t="s">
        <v>470</v>
      </c>
      <c r="O12" s="49"/>
      <c r="P12" s="49"/>
      <c r="Q12" s="49"/>
      <c r="R12" s="49" t="s">
        <v>225</v>
      </c>
      <c r="S12" s="49"/>
      <c r="T12" s="51" t="str">
        <f>IF(G13="","",IF(OR(G13="Tier 3"),"No",IF(AND(S13&lt;&gt;"",OR(ISNUMBER(SEARCH("OFAC",S13)),ISNUMBER(SEARCH("penal",S13)),ISNUMBER(SEARCH("rojo pendiente",S13)))),"Revisar","Sí")))</f>
        <v>Sí</v>
      </c>
    </row>
    <row r="13" spans="1:20" ht="31.5" customHeight="1" x14ac:dyDescent="0.2">
      <c r="A13" s="48" t="s">
        <v>471</v>
      </c>
      <c r="B13" s="48" t="s">
        <v>472</v>
      </c>
      <c r="C13" s="49" t="s">
        <v>473</v>
      </c>
      <c r="D13" s="49" t="s">
        <v>24</v>
      </c>
      <c r="E13" s="49" t="s">
        <v>474</v>
      </c>
      <c r="F13" s="49" t="s">
        <v>475</v>
      </c>
      <c r="G13" s="50" t="s">
        <v>205</v>
      </c>
      <c r="H13" s="49" t="s">
        <v>476</v>
      </c>
      <c r="I13" s="49" t="s">
        <v>477</v>
      </c>
      <c r="J13" s="49" t="s">
        <v>250</v>
      </c>
      <c r="K13" s="49" t="s">
        <v>406</v>
      </c>
      <c r="L13" s="49" t="s">
        <v>478</v>
      </c>
      <c r="M13" s="49" t="s">
        <v>479</v>
      </c>
      <c r="N13" s="49" t="s">
        <v>480</v>
      </c>
      <c r="O13" s="49"/>
      <c r="P13" s="49"/>
      <c r="Q13" s="49" t="s">
        <v>481</v>
      </c>
      <c r="R13" s="49" t="s">
        <v>225</v>
      </c>
      <c r="S13" s="49"/>
      <c r="T13" s="51" t="str">
        <f>IF(G14="","",IF(OR(G14="Tier 3"),"No",IF(AND(S14&lt;&gt;"",OR(ISNUMBER(SEARCH("OFAC",S14)),ISNUMBER(SEARCH("penal",S14)),ISNUMBER(SEARCH("rojo pendiente",S14)))),"Revisar","Sí")))</f>
        <v>Sí</v>
      </c>
    </row>
    <row r="14" spans="1:20" ht="31.5" customHeight="1" x14ac:dyDescent="0.2">
      <c r="A14" s="48" t="s">
        <v>489</v>
      </c>
      <c r="B14" s="48" t="s">
        <v>490</v>
      </c>
      <c r="C14" s="49" t="s">
        <v>491</v>
      </c>
      <c r="D14" s="49" t="s">
        <v>24</v>
      </c>
      <c r="E14" s="49" t="s">
        <v>416</v>
      </c>
      <c r="F14" s="49" t="s">
        <v>417</v>
      </c>
      <c r="G14" s="50" t="s">
        <v>230</v>
      </c>
      <c r="H14" s="49" t="s">
        <v>269</v>
      </c>
      <c r="I14" s="49" t="s">
        <v>231</v>
      </c>
      <c r="J14" s="49" t="s">
        <v>250</v>
      </c>
      <c r="K14" s="49" t="s">
        <v>209</v>
      </c>
      <c r="L14" s="49" t="s">
        <v>492</v>
      </c>
      <c r="M14" s="49" t="s">
        <v>493</v>
      </c>
      <c r="N14" s="49" t="s">
        <v>494</v>
      </c>
      <c r="O14" s="49"/>
      <c r="P14" s="49" t="s">
        <v>422</v>
      </c>
      <c r="Q14" s="49" t="s">
        <v>495</v>
      </c>
      <c r="R14" s="49" t="s">
        <v>225</v>
      </c>
      <c r="S14" s="49"/>
      <c r="T14" s="51" t="s">
        <v>4259</v>
      </c>
    </row>
    <row r="15" spans="1:20" ht="31.5" customHeight="1" x14ac:dyDescent="0.2">
      <c r="A15" s="48" t="s">
        <v>614</v>
      </c>
      <c r="B15" s="48" t="s">
        <v>615</v>
      </c>
      <c r="C15" s="49" t="s">
        <v>616</v>
      </c>
      <c r="D15" s="49" t="s">
        <v>24</v>
      </c>
      <c r="E15" s="49" t="s">
        <v>357</v>
      </c>
      <c r="F15" s="49" t="s">
        <v>617</v>
      </c>
      <c r="G15" s="50" t="s">
        <v>205</v>
      </c>
      <c r="H15" s="49" t="s">
        <v>269</v>
      </c>
      <c r="I15" s="49" t="s">
        <v>231</v>
      </c>
      <c r="J15" s="49" t="s">
        <v>250</v>
      </c>
      <c r="K15" s="49" t="s">
        <v>209</v>
      </c>
      <c r="L15" s="49" t="s">
        <v>618</v>
      </c>
      <c r="M15" s="49" t="s">
        <v>619</v>
      </c>
      <c r="N15" s="49" t="s">
        <v>620</v>
      </c>
      <c r="O15" s="49"/>
      <c r="P15" s="49"/>
      <c r="Q15" s="49" t="s">
        <v>621</v>
      </c>
      <c r="R15" s="49" t="s">
        <v>225</v>
      </c>
      <c r="S15" s="49"/>
      <c r="T15" s="51" t="str">
        <f>IF(G16="","",IF(OR(G16="Tier 3"),"No",IF(AND(S16&lt;&gt;"",OR(ISNUMBER(SEARCH("OFAC",S16)),ISNUMBER(SEARCH("penal",S16)),ISNUMBER(SEARCH("rojo pendiente",S16)))),"Revisar","Sí")))</f>
        <v>Sí</v>
      </c>
    </row>
    <row r="16" spans="1:20" ht="31.5" customHeight="1" x14ac:dyDescent="0.2">
      <c r="A16" s="48" t="s">
        <v>688</v>
      </c>
      <c r="B16" s="48" t="s">
        <v>689</v>
      </c>
      <c r="C16" s="49" t="s">
        <v>690</v>
      </c>
      <c r="D16" s="49" t="s">
        <v>24</v>
      </c>
      <c r="E16" s="49" t="s">
        <v>691</v>
      </c>
      <c r="F16" s="49" t="s">
        <v>475</v>
      </c>
      <c r="G16" s="50" t="s">
        <v>230</v>
      </c>
      <c r="H16" s="49" t="s">
        <v>303</v>
      </c>
      <c r="I16" s="49" t="s">
        <v>231</v>
      </c>
      <c r="J16" s="49" t="s">
        <v>250</v>
      </c>
      <c r="K16" s="49" t="s">
        <v>406</v>
      </c>
      <c r="L16" s="49" t="s">
        <v>692</v>
      </c>
      <c r="M16" s="49" t="s">
        <v>693</v>
      </c>
      <c r="N16" s="49" t="s">
        <v>694</v>
      </c>
      <c r="O16" s="49"/>
      <c r="P16" s="49"/>
      <c r="Q16" s="49" t="s">
        <v>695</v>
      </c>
      <c r="R16" s="49" t="s">
        <v>225</v>
      </c>
      <c r="S16" s="49"/>
      <c r="T16" s="51" t="str">
        <f>IF(G18="","",IF(OR(G18="Tier 3"),"No",IF(AND(S18&lt;&gt;"",OR(ISNUMBER(SEARCH("OFAC",S18)),ISNUMBER(SEARCH("penal",S18)),ISNUMBER(SEARCH("rojo pendiente",S18)))),"Revisar","Sí")))</f>
        <v>Sí</v>
      </c>
    </row>
    <row r="17" spans="1:20" ht="31.5" customHeight="1" x14ac:dyDescent="0.2">
      <c r="A17" s="48" t="s">
        <v>712</v>
      </c>
      <c r="B17" s="48" t="s">
        <v>713</v>
      </c>
      <c r="C17" s="49" t="s">
        <v>714</v>
      </c>
      <c r="D17" s="49" t="s">
        <v>24</v>
      </c>
      <c r="E17" s="49" t="s">
        <v>357</v>
      </c>
      <c r="F17" s="49" t="s">
        <v>475</v>
      </c>
      <c r="G17" s="50" t="s">
        <v>205</v>
      </c>
      <c r="H17" s="49" t="s">
        <v>340</v>
      </c>
      <c r="I17" s="49" t="s">
        <v>715</v>
      </c>
      <c r="J17" s="49" t="s">
        <v>250</v>
      </c>
      <c r="K17" s="49" t="s">
        <v>586</v>
      </c>
      <c r="L17" s="49" t="s">
        <v>716</v>
      </c>
      <c r="M17" s="49" t="s">
        <v>717</v>
      </c>
      <c r="N17" s="49" t="s">
        <v>718</v>
      </c>
      <c r="O17" s="49"/>
      <c r="P17" s="49"/>
      <c r="Q17" s="49" t="s">
        <v>719</v>
      </c>
      <c r="R17" s="49" t="s">
        <v>225</v>
      </c>
      <c r="S17" s="49"/>
      <c r="T17" s="51" t="s">
        <v>4259</v>
      </c>
    </row>
    <row r="18" spans="1:20" ht="31.5" customHeight="1" x14ac:dyDescent="0.2">
      <c r="A18" s="48" t="s">
        <v>894</v>
      </c>
      <c r="B18" s="48" t="s">
        <v>895</v>
      </c>
      <c r="C18" s="49" t="s">
        <v>896</v>
      </c>
      <c r="D18" s="49" t="s">
        <v>24</v>
      </c>
      <c r="E18" s="49" t="s">
        <v>465</v>
      </c>
      <c r="F18" s="49" t="s">
        <v>466</v>
      </c>
      <c r="G18" s="50" t="s">
        <v>205</v>
      </c>
      <c r="H18" s="49" t="s">
        <v>269</v>
      </c>
      <c r="I18" s="49" t="s">
        <v>897</v>
      </c>
      <c r="J18" s="49" t="s">
        <v>250</v>
      </c>
      <c r="K18" s="49" t="s">
        <v>271</v>
      </c>
      <c r="L18" s="49" t="s">
        <v>898</v>
      </c>
      <c r="M18" s="49" t="s">
        <v>899</v>
      </c>
      <c r="N18" s="49" t="s">
        <v>900</v>
      </c>
      <c r="O18" s="49"/>
      <c r="P18" s="49"/>
      <c r="Q18" s="49" t="s">
        <v>901</v>
      </c>
      <c r="R18" s="49" t="s">
        <v>225</v>
      </c>
      <c r="S18" s="49"/>
      <c r="T18" s="51" t="str">
        <f>IF(G20="","",IF(OR(G20="Tier 3"),"No",IF(AND(S20&lt;&gt;"",OR(ISNUMBER(SEARCH("OFAC",S20)),ISNUMBER(SEARCH("penal",S20)),ISNUMBER(SEARCH("rojo pendiente",S20)))),"Revisar","Sí")))</f>
        <v>Sí</v>
      </c>
    </row>
    <row r="19" spans="1:20" ht="31.5" customHeight="1" x14ac:dyDescent="0.2">
      <c r="A19" s="48" t="s">
        <v>960</v>
      </c>
      <c r="B19" s="48" t="s">
        <v>961</v>
      </c>
      <c r="C19" s="49" t="s">
        <v>962</v>
      </c>
      <c r="D19" s="49" t="s">
        <v>24</v>
      </c>
      <c r="E19" s="49" t="s">
        <v>27</v>
      </c>
      <c r="F19" s="49" t="s">
        <v>392</v>
      </c>
      <c r="G19" s="50" t="s">
        <v>230</v>
      </c>
      <c r="H19" s="49" t="s">
        <v>269</v>
      </c>
      <c r="I19" s="49" t="s">
        <v>963</v>
      </c>
      <c r="J19" s="49"/>
      <c r="K19" s="49" t="s">
        <v>394</v>
      </c>
      <c r="L19" s="49" t="s">
        <v>964</v>
      </c>
      <c r="M19" s="49" t="s">
        <v>965</v>
      </c>
      <c r="N19" s="49" t="s">
        <v>966</v>
      </c>
      <c r="O19" s="49"/>
      <c r="P19" s="49" t="s">
        <v>967</v>
      </c>
      <c r="Q19" s="49" t="s">
        <v>968</v>
      </c>
      <c r="R19" s="49" t="s">
        <v>225</v>
      </c>
      <c r="S19" s="49"/>
      <c r="T19" s="51" t="str">
        <f>IF(G21="","",IF(OR(G21="Tier 3"),"No",IF(AND(S21&lt;&gt;"",OR(ISNUMBER(SEARCH("OFAC",S21)),ISNUMBER(SEARCH("penal",S21)),ISNUMBER(SEARCH("rojo pendiente",S21)))),"Revisar","Sí")))</f>
        <v>Sí</v>
      </c>
    </row>
    <row r="20" spans="1:20" ht="31.5" customHeight="1" x14ac:dyDescent="0.2">
      <c r="A20" s="48" t="s">
        <v>969</v>
      </c>
      <c r="B20" s="48" t="s">
        <v>970</v>
      </c>
      <c r="C20" s="49" t="s">
        <v>971</v>
      </c>
      <c r="D20" s="49" t="s">
        <v>24</v>
      </c>
      <c r="E20" s="49" t="s">
        <v>972</v>
      </c>
      <c r="F20" s="49" t="s">
        <v>475</v>
      </c>
      <c r="G20" s="50" t="s">
        <v>205</v>
      </c>
      <c r="H20" s="49" t="s">
        <v>269</v>
      </c>
      <c r="I20" s="49" t="s">
        <v>231</v>
      </c>
      <c r="J20" s="49" t="s">
        <v>250</v>
      </c>
      <c r="K20" s="49" t="s">
        <v>209</v>
      </c>
      <c r="L20" s="49" t="s">
        <v>973</v>
      </c>
      <c r="M20" s="49" t="s">
        <v>974</v>
      </c>
      <c r="N20" s="49" t="s">
        <v>975</v>
      </c>
      <c r="O20" s="49"/>
      <c r="P20" s="49" t="s">
        <v>976</v>
      </c>
      <c r="Q20" s="49" t="s">
        <v>977</v>
      </c>
      <c r="R20" s="49" t="s">
        <v>225</v>
      </c>
      <c r="S20" s="49" t="s">
        <v>978</v>
      </c>
      <c r="T20" s="51" t="s">
        <v>1530</v>
      </c>
    </row>
    <row r="21" spans="1:20" ht="31.5" customHeight="1" x14ac:dyDescent="0.2">
      <c r="A21" s="48" t="s">
        <v>979</v>
      </c>
      <c r="B21" s="48" t="s">
        <v>980</v>
      </c>
      <c r="C21" s="49" t="s">
        <v>981</v>
      </c>
      <c r="D21" s="49" t="s">
        <v>24</v>
      </c>
      <c r="E21" s="49" t="s">
        <v>982</v>
      </c>
      <c r="F21" s="49" t="s">
        <v>475</v>
      </c>
      <c r="G21" s="50" t="s">
        <v>230</v>
      </c>
      <c r="H21" s="49" t="s">
        <v>983</v>
      </c>
      <c r="I21" s="49" t="s">
        <v>984</v>
      </c>
      <c r="J21" s="49" t="s">
        <v>250</v>
      </c>
      <c r="K21" s="49" t="s">
        <v>406</v>
      </c>
      <c r="L21" s="49" t="s">
        <v>985</v>
      </c>
      <c r="M21" s="49" t="s">
        <v>986</v>
      </c>
      <c r="N21" s="49" t="s">
        <v>987</v>
      </c>
      <c r="O21" s="49"/>
      <c r="P21" s="49" t="s">
        <v>988</v>
      </c>
      <c r="Q21" s="49" t="s">
        <v>989</v>
      </c>
      <c r="R21" s="49" t="s">
        <v>225</v>
      </c>
      <c r="S21" s="49"/>
      <c r="T21" s="51" t="str">
        <f>IF(G23="","",IF(OR(G23="Tier 3"),"No",IF(AND(S23&lt;&gt;"",OR(ISNUMBER(SEARCH("OFAC",S23)),ISNUMBER(SEARCH("penal",S23)),ISNUMBER(SEARCH("rojo pendiente",S23)))),"Revisar","Sí")))</f>
        <v>Sí</v>
      </c>
    </row>
    <row r="22" spans="1:20" ht="31.5" customHeight="1" x14ac:dyDescent="0.2">
      <c r="A22" s="48" t="s">
        <v>997</v>
      </c>
      <c r="B22" s="48" t="s">
        <v>998</v>
      </c>
      <c r="C22" s="49" t="s">
        <v>999</v>
      </c>
      <c r="D22" s="49" t="s">
        <v>24</v>
      </c>
      <c r="E22" s="49" t="s">
        <v>42</v>
      </c>
      <c r="F22" s="49" t="s">
        <v>475</v>
      </c>
      <c r="G22" s="50" t="s">
        <v>205</v>
      </c>
      <c r="H22" s="49" t="s">
        <v>269</v>
      </c>
      <c r="I22" s="49" t="s">
        <v>1000</v>
      </c>
      <c r="J22" s="49" t="s">
        <v>239</v>
      </c>
      <c r="K22" s="49" t="s">
        <v>271</v>
      </c>
      <c r="L22" s="49" t="s">
        <v>1001</v>
      </c>
      <c r="M22" s="49" t="s">
        <v>1002</v>
      </c>
      <c r="N22" s="49" t="s">
        <v>1003</v>
      </c>
      <c r="O22" s="49" t="s">
        <v>1004</v>
      </c>
      <c r="P22" s="49" t="s">
        <v>1005</v>
      </c>
      <c r="Q22" s="49" t="s">
        <v>1006</v>
      </c>
      <c r="R22" s="49" t="s">
        <v>225</v>
      </c>
      <c r="S22" s="49"/>
      <c r="T22" s="51" t="s">
        <v>4259</v>
      </c>
    </row>
    <row r="23" spans="1:20" ht="31.5" customHeight="1" x14ac:dyDescent="0.2">
      <c r="A23" s="48" t="s">
        <v>1007</v>
      </c>
      <c r="B23" s="48" t="s">
        <v>1008</v>
      </c>
      <c r="C23" s="49" t="s">
        <v>1009</v>
      </c>
      <c r="D23" s="49" t="s">
        <v>24</v>
      </c>
      <c r="E23" s="49" t="s">
        <v>42</v>
      </c>
      <c r="F23" s="49" t="s">
        <v>475</v>
      </c>
      <c r="G23" s="50" t="s">
        <v>230</v>
      </c>
      <c r="H23" s="49" t="s">
        <v>269</v>
      </c>
      <c r="I23" s="49" t="s">
        <v>1010</v>
      </c>
      <c r="J23" s="49" t="s">
        <v>239</v>
      </c>
      <c r="K23" s="49" t="s">
        <v>271</v>
      </c>
      <c r="L23" s="49" t="s">
        <v>1011</v>
      </c>
      <c r="M23" s="49" t="s">
        <v>1012</v>
      </c>
      <c r="N23" s="49" t="s">
        <v>1013</v>
      </c>
      <c r="O23" s="49" t="s">
        <v>1014</v>
      </c>
      <c r="P23" s="49" t="s">
        <v>1015</v>
      </c>
      <c r="Q23" s="49" t="s">
        <v>1016</v>
      </c>
      <c r="R23" s="49" t="s">
        <v>225</v>
      </c>
      <c r="S23" s="49"/>
      <c r="T23" s="51" t="s">
        <v>4259</v>
      </c>
    </row>
    <row r="24" spans="1:20" ht="31.5" customHeight="1" x14ac:dyDescent="0.2">
      <c r="A24" s="48" t="s">
        <v>1039</v>
      </c>
      <c r="B24" s="48" t="s">
        <v>1040</v>
      </c>
      <c r="C24" s="49" t="s">
        <v>1041</v>
      </c>
      <c r="D24" s="49" t="s">
        <v>24</v>
      </c>
      <c r="E24" s="49" t="s">
        <v>42</v>
      </c>
      <c r="F24" s="49" t="s">
        <v>475</v>
      </c>
      <c r="G24" s="50" t="s">
        <v>205</v>
      </c>
      <c r="H24" s="49" t="s">
        <v>269</v>
      </c>
      <c r="I24" s="49" t="s">
        <v>1042</v>
      </c>
      <c r="J24" s="49" t="s">
        <v>239</v>
      </c>
      <c r="K24" s="49" t="s">
        <v>271</v>
      </c>
      <c r="L24" s="49" t="s">
        <v>1043</v>
      </c>
      <c r="M24" s="49" t="s">
        <v>1044</v>
      </c>
      <c r="N24" s="49" t="s">
        <v>1045</v>
      </c>
      <c r="O24" s="49" t="s">
        <v>1046</v>
      </c>
      <c r="P24" s="49" t="s">
        <v>1047</v>
      </c>
      <c r="Q24" s="49" t="s">
        <v>1048</v>
      </c>
      <c r="R24" s="49" t="s">
        <v>225</v>
      </c>
      <c r="S24" s="49"/>
      <c r="T24" s="51" t="s">
        <v>4259</v>
      </c>
    </row>
    <row r="25" spans="1:20" ht="31.5" customHeight="1" x14ac:dyDescent="0.2">
      <c r="A25" s="48" t="s">
        <v>1049</v>
      </c>
      <c r="B25" s="48" t="s">
        <v>1050</v>
      </c>
      <c r="C25" s="49" t="s">
        <v>1051</v>
      </c>
      <c r="D25" s="49" t="s">
        <v>24</v>
      </c>
      <c r="E25" s="49" t="s">
        <v>42</v>
      </c>
      <c r="F25" s="49" t="s">
        <v>475</v>
      </c>
      <c r="G25" s="50" t="s">
        <v>205</v>
      </c>
      <c r="H25" s="49" t="s">
        <v>269</v>
      </c>
      <c r="I25" s="49" t="s">
        <v>1052</v>
      </c>
      <c r="J25" s="49" t="s">
        <v>239</v>
      </c>
      <c r="K25" s="49" t="s">
        <v>271</v>
      </c>
      <c r="L25" s="49" t="s">
        <v>1053</v>
      </c>
      <c r="M25" s="49" t="s">
        <v>1054</v>
      </c>
      <c r="N25" s="49" t="s">
        <v>1055</v>
      </c>
      <c r="O25" s="49" t="s">
        <v>1056</v>
      </c>
      <c r="P25" s="49" t="s">
        <v>1057</v>
      </c>
      <c r="Q25" s="49"/>
      <c r="R25" s="49" t="s">
        <v>225</v>
      </c>
      <c r="S25" s="49" t="s">
        <v>1058</v>
      </c>
      <c r="T25" s="51" t="s">
        <v>4259</v>
      </c>
    </row>
    <row r="26" spans="1:20" ht="31.5" customHeight="1" x14ac:dyDescent="0.2">
      <c r="A26" s="48" t="s">
        <v>1093</v>
      </c>
      <c r="B26" s="48" t="s">
        <v>1094</v>
      </c>
      <c r="C26" s="49" t="s">
        <v>1095</v>
      </c>
      <c r="D26" s="49" t="s">
        <v>24</v>
      </c>
      <c r="E26" s="49" t="s">
        <v>48</v>
      </c>
      <c r="F26" s="49" t="s">
        <v>392</v>
      </c>
      <c r="G26" s="50" t="s">
        <v>313</v>
      </c>
      <c r="H26" s="49" t="s">
        <v>269</v>
      </c>
      <c r="I26" s="49" t="s">
        <v>1096</v>
      </c>
      <c r="J26" s="49"/>
      <c r="K26" s="49" t="s">
        <v>394</v>
      </c>
      <c r="L26" s="49" t="s">
        <v>1097</v>
      </c>
      <c r="M26" s="49" t="s">
        <v>1098</v>
      </c>
      <c r="N26" s="49" t="s">
        <v>1099</v>
      </c>
      <c r="O26" s="49"/>
      <c r="P26" s="49"/>
      <c r="Q26" s="49" t="s">
        <v>1100</v>
      </c>
      <c r="R26" s="49" t="s">
        <v>225</v>
      </c>
      <c r="S26" s="49"/>
      <c r="T26" s="51" t="str">
        <f>IF(G28="","",IF(OR(G28="Tier 3"),"No",IF(AND(S28&lt;&gt;"",OR(ISNUMBER(SEARCH("OFAC",S28)),ISNUMBER(SEARCH("penal",S28)),ISNUMBER(SEARCH("rojo pendiente",S28)))),"Revisar","Sí")))</f>
        <v>Sí</v>
      </c>
    </row>
    <row r="27" spans="1:20" ht="31.5" customHeight="1" x14ac:dyDescent="0.2">
      <c r="A27" s="48" t="s">
        <v>1123</v>
      </c>
      <c r="B27" s="48" t="s">
        <v>1124</v>
      </c>
      <c r="C27" s="49" t="s">
        <v>1125</v>
      </c>
      <c r="D27" s="49" t="s">
        <v>24</v>
      </c>
      <c r="E27" s="49" t="s">
        <v>416</v>
      </c>
      <c r="F27" s="49" t="s">
        <v>475</v>
      </c>
      <c r="G27" s="50" t="s">
        <v>230</v>
      </c>
      <c r="H27" s="49" t="s">
        <v>218</v>
      </c>
      <c r="I27" s="49" t="s">
        <v>1126</v>
      </c>
      <c r="J27" s="49" t="s">
        <v>250</v>
      </c>
      <c r="K27" s="49" t="s">
        <v>406</v>
      </c>
      <c r="L27" s="49" t="s">
        <v>1127</v>
      </c>
      <c r="M27" s="49" t="s">
        <v>1128</v>
      </c>
      <c r="N27" s="49" t="s">
        <v>1129</v>
      </c>
      <c r="O27" s="49"/>
      <c r="P27" s="49"/>
      <c r="Q27" s="49" t="s">
        <v>1130</v>
      </c>
      <c r="R27" s="49" t="s">
        <v>225</v>
      </c>
      <c r="S27" s="49"/>
      <c r="T27" s="51" t="str">
        <f>IF(G30="","",IF(OR(G30="Tier 3"),"No",IF(AND(S30&lt;&gt;"",OR(ISNUMBER(SEARCH("OFAC",S30)),ISNUMBER(SEARCH("penal",S30)),ISNUMBER(SEARCH("rojo pendiente",S30)))),"Revisar","Sí")))</f>
        <v>Sí</v>
      </c>
    </row>
    <row r="28" spans="1:20" ht="31.5" customHeight="1" x14ac:dyDescent="0.2">
      <c r="A28" s="48" t="s">
        <v>1242</v>
      </c>
      <c r="B28" s="48" t="s">
        <v>1243</v>
      </c>
      <c r="C28" s="49" t="s">
        <v>1244</v>
      </c>
      <c r="D28" s="49" t="s">
        <v>24</v>
      </c>
      <c r="E28" s="49" t="s">
        <v>416</v>
      </c>
      <c r="F28" s="49" t="s">
        <v>417</v>
      </c>
      <c r="G28" s="50" t="s">
        <v>230</v>
      </c>
      <c r="H28" s="49" t="s">
        <v>269</v>
      </c>
      <c r="I28" s="49" t="s">
        <v>231</v>
      </c>
      <c r="J28" s="49" t="s">
        <v>250</v>
      </c>
      <c r="K28" s="49" t="s">
        <v>209</v>
      </c>
      <c r="L28" s="49" t="s">
        <v>1245</v>
      </c>
      <c r="M28" s="49" t="s">
        <v>1246</v>
      </c>
      <c r="N28" s="49" t="s">
        <v>1247</v>
      </c>
      <c r="O28" s="49"/>
      <c r="P28" s="49" t="s">
        <v>422</v>
      </c>
      <c r="Q28" s="49" t="s">
        <v>1248</v>
      </c>
      <c r="R28" s="49" t="s">
        <v>225</v>
      </c>
      <c r="S28" s="49"/>
      <c r="T28" s="51" t="str">
        <f>IF(G33="","",IF(OR(G33="Tier 3"),"No",IF(AND(S33&lt;&gt;"",OR(ISNUMBER(SEARCH("OFAC",S33)),ISNUMBER(SEARCH("penal",S33)),ISNUMBER(SEARCH("rojo pendiente",S33)))),"Revisar","Sí")))</f>
        <v>No</v>
      </c>
    </row>
    <row r="29" spans="1:20" ht="31.5" customHeight="1" x14ac:dyDescent="0.2">
      <c r="A29" s="48" t="s">
        <v>1303</v>
      </c>
      <c r="B29" s="48" t="s">
        <v>1304</v>
      </c>
      <c r="C29" s="49" t="s">
        <v>1305</v>
      </c>
      <c r="D29" s="49" t="s">
        <v>24</v>
      </c>
      <c r="E29" s="49" t="s">
        <v>1306</v>
      </c>
      <c r="F29" s="49" t="s">
        <v>1307</v>
      </c>
      <c r="G29" s="50" t="s">
        <v>205</v>
      </c>
      <c r="H29" s="49" t="s">
        <v>269</v>
      </c>
      <c r="I29" s="49" t="s">
        <v>231</v>
      </c>
      <c r="J29" s="49" t="s">
        <v>250</v>
      </c>
      <c r="K29" s="49" t="s">
        <v>209</v>
      </c>
      <c r="L29" s="49" t="s">
        <v>1308</v>
      </c>
      <c r="M29" s="49" t="s">
        <v>1309</v>
      </c>
      <c r="N29" s="49" t="s">
        <v>1310</v>
      </c>
      <c r="O29" s="49"/>
      <c r="P29" s="49" t="s">
        <v>1311</v>
      </c>
      <c r="Q29" s="49" t="s">
        <v>621</v>
      </c>
      <c r="R29" s="49" t="s">
        <v>225</v>
      </c>
      <c r="S29" s="49"/>
      <c r="T29" s="51" t="str">
        <f>IF(G34="","",IF(OR(G34="Tier 3"),"No",IF(AND(S34&lt;&gt;"",OR(ISNUMBER(SEARCH("OFAC",S34)),ISNUMBER(SEARCH("penal",S34)),ISNUMBER(SEARCH("rojo pendiente",S34)))),"Revisar","Sí")))</f>
        <v>No</v>
      </c>
    </row>
    <row r="30" spans="1:20" ht="31.5" customHeight="1" x14ac:dyDescent="0.2">
      <c r="A30" s="48" t="s">
        <v>1312</v>
      </c>
      <c r="B30" s="48" t="s">
        <v>1313</v>
      </c>
      <c r="C30" s="49" t="s">
        <v>1314</v>
      </c>
      <c r="D30" s="49" t="s">
        <v>24</v>
      </c>
      <c r="E30" s="49" t="s">
        <v>1315</v>
      </c>
      <c r="F30" s="49" t="s">
        <v>1307</v>
      </c>
      <c r="G30" s="50" t="s">
        <v>230</v>
      </c>
      <c r="H30" s="49" t="s">
        <v>269</v>
      </c>
      <c r="I30" s="49" t="s">
        <v>231</v>
      </c>
      <c r="J30" s="49" t="s">
        <v>250</v>
      </c>
      <c r="K30" s="49" t="s">
        <v>209</v>
      </c>
      <c r="L30" s="49" t="s">
        <v>1316</v>
      </c>
      <c r="M30" s="49" t="s">
        <v>1317</v>
      </c>
      <c r="N30" s="49" t="s">
        <v>1318</v>
      </c>
      <c r="O30" s="49"/>
      <c r="P30" s="49"/>
      <c r="Q30" s="49" t="s">
        <v>621</v>
      </c>
      <c r="R30" s="49" t="s">
        <v>225</v>
      </c>
      <c r="S30" s="49"/>
      <c r="T30" s="51" t="str">
        <f>IF(G35="","",IF(OR(G35="Tier 3"),"No",IF(AND(S35&lt;&gt;"",OR(ISNUMBER(SEARCH("OFAC",S35)),ISNUMBER(SEARCH("penal",S35)),ISNUMBER(SEARCH("rojo pendiente",S35)))),"Revisar","Sí")))</f>
        <v>Sí</v>
      </c>
    </row>
    <row r="31" spans="1:20" ht="31.5" customHeight="1" x14ac:dyDescent="0.2">
      <c r="A31" s="48" t="s">
        <v>1381</v>
      </c>
      <c r="B31" s="48" t="s">
        <v>1382</v>
      </c>
      <c r="C31" s="49" t="s">
        <v>1383</v>
      </c>
      <c r="D31" s="49" t="s">
        <v>24</v>
      </c>
      <c r="E31" s="49" t="s">
        <v>48</v>
      </c>
      <c r="F31" s="49" t="s">
        <v>392</v>
      </c>
      <c r="G31" s="50" t="s">
        <v>230</v>
      </c>
      <c r="H31" s="49" t="s">
        <v>269</v>
      </c>
      <c r="I31" s="49" t="s">
        <v>1384</v>
      </c>
      <c r="J31" s="49"/>
      <c r="K31" s="49" t="s">
        <v>394</v>
      </c>
      <c r="L31" s="49" t="s">
        <v>1385</v>
      </c>
      <c r="M31" s="49" t="s">
        <v>1386</v>
      </c>
      <c r="N31" s="49" t="s">
        <v>1387</v>
      </c>
      <c r="O31" s="49" t="s">
        <v>1388</v>
      </c>
      <c r="P31" s="49" t="s">
        <v>1389</v>
      </c>
      <c r="Q31" s="49" t="s">
        <v>1390</v>
      </c>
      <c r="R31" s="49" t="s">
        <v>225</v>
      </c>
      <c r="S31" s="49"/>
      <c r="T31" s="51" t="s">
        <v>4259</v>
      </c>
    </row>
    <row r="32" spans="1:20" ht="31.5" customHeight="1" x14ac:dyDescent="0.2">
      <c r="A32" s="48" t="s">
        <v>1426</v>
      </c>
      <c r="B32" s="48" t="s">
        <v>1427</v>
      </c>
      <c r="C32" s="49" t="s">
        <v>1428</v>
      </c>
      <c r="D32" s="49" t="s">
        <v>24</v>
      </c>
      <c r="E32" s="49" t="s">
        <v>48</v>
      </c>
      <c r="F32" s="49" t="s">
        <v>392</v>
      </c>
      <c r="G32" s="50" t="s">
        <v>313</v>
      </c>
      <c r="H32" s="49" t="s">
        <v>269</v>
      </c>
      <c r="I32" s="49" t="s">
        <v>1429</v>
      </c>
      <c r="J32" s="49"/>
      <c r="K32" s="49" t="s">
        <v>394</v>
      </c>
      <c r="L32" s="49" t="s">
        <v>1430</v>
      </c>
      <c r="M32" s="49" t="s">
        <v>1431</v>
      </c>
      <c r="N32" s="49" t="s">
        <v>1432</v>
      </c>
      <c r="O32" s="49"/>
      <c r="P32" s="49"/>
      <c r="Q32" s="49" t="s">
        <v>1433</v>
      </c>
      <c r="R32" s="49" t="s">
        <v>225</v>
      </c>
      <c r="S32" s="49"/>
      <c r="T32" s="51" t="str">
        <f>IF(G38="","",IF(OR(G38="Tier 3"),"No",IF(AND(S38&lt;&gt;"",OR(ISNUMBER(SEARCH("OFAC",S38)),ISNUMBER(SEARCH("penal",S38)),ISNUMBER(SEARCH("rojo pendiente",S38)))),"Revisar","Sí")))</f>
        <v>Sí</v>
      </c>
    </row>
    <row r="33" spans="1:20" ht="31.5" customHeight="1" x14ac:dyDescent="0.2">
      <c r="A33" s="48" t="s">
        <v>1434</v>
      </c>
      <c r="B33" s="48" t="s">
        <v>1435</v>
      </c>
      <c r="C33" s="49" t="s">
        <v>1436</v>
      </c>
      <c r="D33" s="49" t="s">
        <v>24</v>
      </c>
      <c r="E33" s="49" t="s">
        <v>1306</v>
      </c>
      <c r="F33" s="49" t="s">
        <v>392</v>
      </c>
      <c r="G33" s="50" t="s">
        <v>313</v>
      </c>
      <c r="H33" s="49" t="s">
        <v>269</v>
      </c>
      <c r="I33" s="49" t="s">
        <v>1437</v>
      </c>
      <c r="J33" s="49"/>
      <c r="K33" s="49" t="s">
        <v>394</v>
      </c>
      <c r="L33" s="49" t="s">
        <v>1438</v>
      </c>
      <c r="M33" s="49" t="s">
        <v>1439</v>
      </c>
      <c r="N33" s="49" t="s">
        <v>1440</v>
      </c>
      <c r="O33" s="49"/>
      <c r="P33" s="49"/>
      <c r="Q33" s="49" t="s">
        <v>1441</v>
      </c>
      <c r="R33" s="49" t="s">
        <v>225</v>
      </c>
      <c r="S33" s="49"/>
      <c r="T33" s="51" t="str">
        <f>IF(G39="","",IF(OR(G39="Tier 3"),"No",IF(AND(S39&lt;&gt;"",OR(ISNUMBER(SEARCH("OFAC",S39)),ISNUMBER(SEARCH("penal",S39)),ISNUMBER(SEARCH("rojo pendiente",S39)))),"Revisar","Sí")))</f>
        <v>Sí</v>
      </c>
    </row>
    <row r="34" spans="1:20" ht="31.5" customHeight="1" x14ac:dyDescent="0.2">
      <c r="A34" s="48" t="s">
        <v>1449</v>
      </c>
      <c r="B34" s="48" t="s">
        <v>1450</v>
      </c>
      <c r="C34" s="49" t="s">
        <v>1451</v>
      </c>
      <c r="D34" s="49" t="s">
        <v>24</v>
      </c>
      <c r="E34" s="49" t="s">
        <v>48</v>
      </c>
      <c r="F34" s="49" t="s">
        <v>392</v>
      </c>
      <c r="G34" s="50" t="s">
        <v>313</v>
      </c>
      <c r="H34" s="49" t="s">
        <v>269</v>
      </c>
      <c r="I34" s="49" t="s">
        <v>1452</v>
      </c>
      <c r="J34" s="49"/>
      <c r="K34" s="49" t="s">
        <v>394</v>
      </c>
      <c r="L34" s="49" t="s">
        <v>1453</v>
      </c>
      <c r="M34" s="49" t="s">
        <v>1454</v>
      </c>
      <c r="N34" s="49" t="s">
        <v>1455</v>
      </c>
      <c r="O34" s="49"/>
      <c r="P34" s="49"/>
      <c r="Q34" s="49" t="s">
        <v>1456</v>
      </c>
      <c r="R34" s="49" t="s">
        <v>225</v>
      </c>
      <c r="S34" s="49"/>
      <c r="T34" s="51" t="str">
        <f>IF(G40="","",IF(OR(G40="Tier 3"),"No",IF(AND(S40&lt;&gt;"",OR(ISNUMBER(SEARCH("OFAC",S40)),ISNUMBER(SEARCH("penal",S40)),ISNUMBER(SEARCH("rojo pendiente",S40)))),"Revisar","Sí")))</f>
        <v>Sí</v>
      </c>
    </row>
    <row r="35" spans="1:20" ht="31.5" customHeight="1" x14ac:dyDescent="0.2">
      <c r="A35" s="48" t="s">
        <v>1464</v>
      </c>
      <c r="B35" s="48" t="s">
        <v>1465</v>
      </c>
      <c r="C35" s="49" t="s">
        <v>1466</v>
      </c>
      <c r="D35" s="49" t="s">
        <v>24</v>
      </c>
      <c r="E35" s="49" t="s">
        <v>39</v>
      </c>
      <c r="F35" s="49" t="s">
        <v>475</v>
      </c>
      <c r="G35" s="50" t="s">
        <v>230</v>
      </c>
      <c r="H35" s="49" t="s">
        <v>269</v>
      </c>
      <c r="I35" s="49" t="s">
        <v>1467</v>
      </c>
      <c r="J35" s="49" t="s">
        <v>250</v>
      </c>
      <c r="K35" s="49" t="s">
        <v>271</v>
      </c>
      <c r="L35" s="49" t="s">
        <v>1468</v>
      </c>
      <c r="M35" s="49" t="s">
        <v>1469</v>
      </c>
      <c r="N35" s="49" t="s">
        <v>1470</v>
      </c>
      <c r="O35" s="49" t="s">
        <v>1471</v>
      </c>
      <c r="P35" s="49" t="s">
        <v>1472</v>
      </c>
      <c r="Q35" s="49" t="s">
        <v>1473</v>
      </c>
      <c r="R35" s="49" t="s">
        <v>225</v>
      </c>
      <c r="S35" s="49"/>
      <c r="T35" s="51" t="str">
        <f>IF(G41="","",IF(OR(G41="Tier 3"),"No",IF(AND(S41&lt;&gt;"",OR(ISNUMBER(SEARCH("OFAC",S41)),ISNUMBER(SEARCH("penal",S41)),ISNUMBER(SEARCH("rojo pendiente",S41)))),"Revisar","Sí")))</f>
        <v>No</v>
      </c>
    </row>
    <row r="36" spans="1:20" ht="31.5" customHeight="1" x14ac:dyDescent="0.2">
      <c r="A36" s="48" t="s">
        <v>1500</v>
      </c>
      <c r="B36" s="48" t="s">
        <v>1501</v>
      </c>
      <c r="C36" s="49" t="s">
        <v>1502</v>
      </c>
      <c r="D36" s="49" t="s">
        <v>24</v>
      </c>
      <c r="E36" s="49"/>
      <c r="F36" s="49" t="s">
        <v>617</v>
      </c>
      <c r="G36" s="50" t="s">
        <v>230</v>
      </c>
      <c r="H36" s="49" t="s">
        <v>269</v>
      </c>
      <c r="I36" s="49" t="s">
        <v>1503</v>
      </c>
      <c r="J36" s="49"/>
      <c r="K36" s="49" t="s">
        <v>360</v>
      </c>
      <c r="L36" s="49" t="s">
        <v>1504</v>
      </c>
      <c r="M36" s="49" t="s">
        <v>1505</v>
      </c>
      <c r="N36" s="49" t="s">
        <v>1506</v>
      </c>
      <c r="O36" s="49" t="s">
        <v>1507</v>
      </c>
      <c r="P36" s="49" t="s">
        <v>1508</v>
      </c>
      <c r="Q36" s="49" t="s">
        <v>1509</v>
      </c>
      <c r="R36" s="49" t="s">
        <v>225</v>
      </c>
      <c r="S36" s="49"/>
      <c r="T36" s="51" t="str">
        <f>IF(G42="","",IF(OR(G42="Tier 3"),"No",IF(AND(S42&lt;&gt;"",OR(ISNUMBER(SEARCH("OFAC",S42)),ISNUMBER(SEARCH("penal",S42)),ISNUMBER(SEARCH("rojo pendiente",S42)))),"Revisar","Sí")))</f>
        <v>Sí</v>
      </c>
    </row>
    <row r="37" spans="1:20" ht="31.5" customHeight="1" x14ac:dyDescent="0.2">
      <c r="A37" s="149" t="s">
        <v>1531</v>
      </c>
      <c r="B37" s="149" t="s">
        <v>1532</v>
      </c>
      <c r="C37" s="149" t="s">
        <v>1533</v>
      </c>
      <c r="D37" s="149" t="s">
        <v>24</v>
      </c>
      <c r="E37" s="149" t="s">
        <v>1534</v>
      </c>
      <c r="F37" s="149" t="s">
        <v>475</v>
      </c>
      <c r="G37" s="149" t="s">
        <v>230</v>
      </c>
      <c r="H37" s="149" t="s">
        <v>1535</v>
      </c>
      <c r="I37" s="149" t="s">
        <v>1536</v>
      </c>
      <c r="J37" s="149" t="s">
        <v>1537</v>
      </c>
      <c r="K37" s="149" t="s">
        <v>1538</v>
      </c>
      <c r="L37" s="149" t="s">
        <v>1539</v>
      </c>
      <c r="M37" s="149" t="s">
        <v>1540</v>
      </c>
      <c r="N37" s="149" t="s">
        <v>1541</v>
      </c>
      <c r="O37" s="149" t="s">
        <v>1542</v>
      </c>
      <c r="P37" s="149" t="s">
        <v>1543</v>
      </c>
      <c r="Q37" s="149" t="s">
        <v>1544</v>
      </c>
      <c r="R37" s="149" t="s">
        <v>225</v>
      </c>
      <c r="S37" s="149"/>
      <c r="T37" s="51" t="s">
        <v>1530</v>
      </c>
    </row>
    <row r="38" spans="1:20" ht="31.5" customHeight="1" x14ac:dyDescent="0.2">
      <c r="A38" s="149" t="s">
        <v>1545</v>
      </c>
      <c r="B38" s="149" t="s">
        <v>1546</v>
      </c>
      <c r="C38" s="149" t="s">
        <v>1547</v>
      </c>
      <c r="D38" s="149" t="s">
        <v>24</v>
      </c>
      <c r="E38" s="149" t="s">
        <v>27</v>
      </c>
      <c r="F38" s="149" t="s">
        <v>617</v>
      </c>
      <c r="G38" s="149" t="s">
        <v>205</v>
      </c>
      <c r="H38" s="149" t="s">
        <v>269</v>
      </c>
      <c r="I38" s="149" t="s">
        <v>231</v>
      </c>
      <c r="J38" s="149" t="s">
        <v>1548</v>
      </c>
      <c r="K38" s="149" t="s">
        <v>1549</v>
      </c>
      <c r="L38" s="149" t="s">
        <v>1550</v>
      </c>
      <c r="M38" s="149" t="s">
        <v>1551</v>
      </c>
      <c r="N38" s="149" t="s">
        <v>1552</v>
      </c>
      <c r="O38" s="149" t="s">
        <v>1553</v>
      </c>
      <c r="P38" s="149" t="s">
        <v>1554</v>
      </c>
      <c r="Q38" s="149" t="s">
        <v>1555</v>
      </c>
      <c r="R38" s="149" t="s">
        <v>225</v>
      </c>
      <c r="S38" s="149"/>
      <c r="T38" s="51" t="s">
        <v>1530</v>
      </c>
    </row>
    <row r="39" spans="1:20" ht="31.5" customHeight="1" x14ac:dyDescent="0.2">
      <c r="A39" s="48" t="s">
        <v>236</v>
      </c>
      <c r="B39" s="48" t="s">
        <v>237</v>
      </c>
      <c r="C39" s="49" t="s">
        <v>238</v>
      </c>
      <c r="D39" s="49" t="s">
        <v>27</v>
      </c>
      <c r="E39" s="49" t="s">
        <v>203</v>
      </c>
      <c r="F39" s="49" t="s">
        <v>217</v>
      </c>
      <c r="G39" s="50" t="s">
        <v>230</v>
      </c>
      <c r="H39" s="49" t="s">
        <v>218</v>
      </c>
      <c r="I39" s="49" t="s">
        <v>231</v>
      </c>
      <c r="J39" s="49" t="s">
        <v>239</v>
      </c>
      <c r="K39" s="49" t="s">
        <v>209</v>
      </c>
      <c r="L39" s="49" t="s">
        <v>240</v>
      </c>
      <c r="M39" s="49" t="s">
        <v>241</v>
      </c>
      <c r="N39" s="49" t="s">
        <v>4248</v>
      </c>
      <c r="O39" s="49"/>
      <c r="P39" s="49"/>
      <c r="Q39" s="49" t="s">
        <v>243</v>
      </c>
      <c r="R39" s="49" t="s">
        <v>225</v>
      </c>
      <c r="S39" s="49" t="s">
        <v>4247</v>
      </c>
      <c r="T39" s="51" t="str">
        <f>IF(G39="","",IF(OR(G39="Tier 3"),"No",IF(AND(S39&lt;&gt;"",OR(ISNUMBER(SEARCH("OFAC",S39)),ISNUMBER(SEARCH("penal",S39)),ISNUMBER(SEARCH("rojo pendiente",S39)))),"Revisar","Sí")))</f>
        <v>Sí</v>
      </c>
    </row>
    <row r="40" spans="1:20" ht="31.5" customHeight="1" x14ac:dyDescent="0.2">
      <c r="A40" s="48" t="s">
        <v>255</v>
      </c>
      <c r="B40" s="48" t="s">
        <v>256</v>
      </c>
      <c r="C40" s="49" t="s">
        <v>257</v>
      </c>
      <c r="D40" s="49" t="s">
        <v>27</v>
      </c>
      <c r="E40" s="49" t="s">
        <v>258</v>
      </c>
      <c r="F40" s="49" t="s">
        <v>217</v>
      </c>
      <c r="G40" s="50" t="s">
        <v>230</v>
      </c>
      <c r="H40" s="49" t="s">
        <v>218</v>
      </c>
      <c r="I40" s="49" t="s">
        <v>259</v>
      </c>
      <c r="J40" s="49" t="s">
        <v>239</v>
      </c>
      <c r="K40" s="49" t="s">
        <v>209</v>
      </c>
      <c r="L40" s="49" t="s">
        <v>260</v>
      </c>
      <c r="M40" s="49" t="s">
        <v>261</v>
      </c>
      <c r="N40" s="49" t="s">
        <v>4250</v>
      </c>
      <c r="O40" s="49"/>
      <c r="P40" s="49"/>
      <c r="Q40" s="49" t="s">
        <v>263</v>
      </c>
      <c r="R40" s="49" t="s">
        <v>225</v>
      </c>
      <c r="S40" s="49" t="s">
        <v>4253</v>
      </c>
      <c r="T40" s="51" t="str">
        <f>IF(G40="","",IF(OR(G40="Tier 3"),"No",IF(AND(S40&lt;&gt;"",OR(ISNUMBER(SEARCH("OFAC",S40)),ISNUMBER(SEARCH("penal",S40)),ISNUMBER(SEARCH("rojo pendiente",S40)))),"Revisar","Sí")))</f>
        <v>Sí</v>
      </c>
    </row>
    <row r="41" spans="1:20" ht="31.5" customHeight="1" x14ac:dyDescent="0.2">
      <c r="A41" s="48" t="s">
        <v>308</v>
      </c>
      <c r="B41" s="48" t="s">
        <v>309</v>
      </c>
      <c r="C41" s="49" t="s">
        <v>310</v>
      </c>
      <c r="D41" s="49" t="s">
        <v>27</v>
      </c>
      <c r="E41" s="49" t="s">
        <v>311</v>
      </c>
      <c r="F41" s="49" t="s">
        <v>312</v>
      </c>
      <c r="G41" s="50" t="s">
        <v>313</v>
      </c>
      <c r="H41" s="49" t="s">
        <v>303</v>
      </c>
      <c r="I41" s="49" t="s">
        <v>314</v>
      </c>
      <c r="J41" s="49" t="s">
        <v>239</v>
      </c>
      <c r="K41" s="49" t="s">
        <v>209</v>
      </c>
      <c r="L41" s="49" t="s">
        <v>315</v>
      </c>
      <c r="M41" s="49" t="s">
        <v>316</v>
      </c>
      <c r="N41" s="49" t="s">
        <v>317</v>
      </c>
      <c r="O41" s="49"/>
      <c r="P41" s="49"/>
      <c r="Q41" s="49" t="s">
        <v>318</v>
      </c>
      <c r="R41" s="49" t="s">
        <v>225</v>
      </c>
      <c r="S41" s="49"/>
      <c r="T41" s="51" t="str">
        <f>IF(G41="","",IF(OR(G41="Tier 3"),"No",IF(AND(S41&lt;&gt;"",OR(ISNUMBER(SEARCH("OFAC",S41)),ISNUMBER(SEARCH("penal",S41)),ISNUMBER(SEARCH("rojo pendiente",S41)))),"Revisar","Sí")))</f>
        <v>No</v>
      </c>
    </row>
    <row r="42" spans="1:20" ht="31.5" customHeight="1" x14ac:dyDescent="0.2">
      <c r="A42" s="48" t="s">
        <v>336</v>
      </c>
      <c r="B42" s="48" t="s">
        <v>337</v>
      </c>
      <c r="C42" s="49" t="s">
        <v>338</v>
      </c>
      <c r="D42" s="49" t="s">
        <v>27</v>
      </c>
      <c r="E42" s="49"/>
      <c r="F42" s="49" t="s">
        <v>339</v>
      </c>
      <c r="G42" s="50" t="s">
        <v>230</v>
      </c>
      <c r="H42" s="49" t="s">
        <v>340</v>
      </c>
      <c r="I42" s="49" t="s">
        <v>341</v>
      </c>
      <c r="J42" s="49"/>
      <c r="K42" s="49"/>
      <c r="L42" s="49" t="s">
        <v>342</v>
      </c>
      <c r="M42" s="49" t="s">
        <v>343</v>
      </c>
      <c r="N42" s="49" t="s">
        <v>344</v>
      </c>
      <c r="O42" s="49"/>
      <c r="P42" s="49" t="s">
        <v>345</v>
      </c>
      <c r="Q42" s="49" t="s">
        <v>346</v>
      </c>
      <c r="R42" s="49" t="s">
        <v>225</v>
      </c>
      <c r="S42" s="49"/>
      <c r="T42" s="51" t="str">
        <f>IF(G42="","",IF(OR(G42="Tier 3"),"No",IF(AND(S42&lt;&gt;"",OR(ISNUMBER(SEARCH("OFAC",S42)),ISNUMBER(SEARCH("penal",S42)),ISNUMBER(SEARCH("rojo pendiente",S42)))),"Revisar","Sí")))</f>
        <v>Sí</v>
      </c>
    </row>
    <row r="43" spans="1:20" ht="31.5" customHeight="1" x14ac:dyDescent="0.2">
      <c r="A43" s="48" t="s">
        <v>504</v>
      </c>
      <c r="B43" s="48" t="s">
        <v>505</v>
      </c>
      <c r="C43" s="49" t="s">
        <v>506</v>
      </c>
      <c r="D43" s="49" t="s">
        <v>27</v>
      </c>
      <c r="E43" s="49" t="s">
        <v>258</v>
      </c>
      <c r="F43" s="49" t="s">
        <v>217</v>
      </c>
      <c r="G43" s="50" t="s">
        <v>230</v>
      </c>
      <c r="H43" s="49" t="s">
        <v>340</v>
      </c>
      <c r="I43" s="49" t="s">
        <v>507</v>
      </c>
      <c r="J43" s="49" t="s">
        <v>239</v>
      </c>
      <c r="K43" s="49" t="s">
        <v>406</v>
      </c>
      <c r="L43" s="49" t="s">
        <v>508</v>
      </c>
      <c r="M43" s="49" t="s">
        <v>509</v>
      </c>
      <c r="N43" s="49" t="s">
        <v>510</v>
      </c>
      <c r="O43" s="49"/>
      <c r="P43" s="49"/>
      <c r="Q43" s="49" t="s">
        <v>511</v>
      </c>
      <c r="R43" s="49" t="s">
        <v>225</v>
      </c>
      <c r="S43" s="49" t="s">
        <v>512</v>
      </c>
      <c r="T43" s="51" t="str">
        <f>IF(G44="","",IF(OR(G44="Tier 3"),"No",IF(AND(S44&lt;&gt;"",OR(ISNUMBER(SEARCH("OFAC",S44)),ISNUMBER(SEARCH("penal",S44)),ISNUMBER(SEARCH("rojo pendiente",S44)))),"Revisar","Sí")))</f>
        <v>Sí</v>
      </c>
    </row>
    <row r="44" spans="1:20" ht="31.5" customHeight="1" x14ac:dyDescent="0.2">
      <c r="A44" s="48" t="s">
        <v>549</v>
      </c>
      <c r="B44" s="48" t="s">
        <v>550</v>
      </c>
      <c r="C44" s="49" t="s">
        <v>551</v>
      </c>
      <c r="D44" s="49" t="s">
        <v>27</v>
      </c>
      <c r="E44" s="49" t="s">
        <v>203</v>
      </c>
      <c r="F44" s="49" t="s">
        <v>552</v>
      </c>
      <c r="G44" s="50" t="s">
        <v>230</v>
      </c>
      <c r="H44" s="49" t="s">
        <v>218</v>
      </c>
      <c r="I44" s="49" t="s">
        <v>553</v>
      </c>
      <c r="J44" s="49" t="s">
        <v>239</v>
      </c>
      <c r="K44" s="49" t="s">
        <v>293</v>
      </c>
      <c r="L44" s="49" t="s">
        <v>554</v>
      </c>
      <c r="M44" s="49" t="s">
        <v>555</v>
      </c>
      <c r="N44" s="49" t="s">
        <v>556</v>
      </c>
      <c r="O44" s="49"/>
      <c r="P44" s="49"/>
      <c r="Q44" s="49" t="s">
        <v>557</v>
      </c>
      <c r="R44" s="49" t="s">
        <v>225</v>
      </c>
      <c r="S44" s="49"/>
      <c r="T44" s="51" t="str">
        <f>IF(G45="","",IF(OR(G45="Tier 3"),"No",IF(AND(S45&lt;&gt;"",OR(ISNUMBER(SEARCH("OFAC",S45)),ISNUMBER(SEARCH("penal",S45)),ISNUMBER(SEARCH("rojo pendiente",S45)))),"Revisar","Sí")))</f>
        <v>Sí</v>
      </c>
    </row>
    <row r="45" spans="1:20" ht="31.5" customHeight="1" x14ac:dyDescent="0.2">
      <c r="A45" s="48" t="s">
        <v>647</v>
      </c>
      <c r="B45" s="48" t="s">
        <v>648</v>
      </c>
      <c r="C45" s="49" t="s">
        <v>649</v>
      </c>
      <c r="D45" s="49" t="s">
        <v>27</v>
      </c>
      <c r="E45" s="49" t="s">
        <v>203</v>
      </c>
      <c r="F45" s="49" t="s">
        <v>552</v>
      </c>
      <c r="G45" s="50" t="s">
        <v>205</v>
      </c>
      <c r="H45" s="49" t="s">
        <v>218</v>
      </c>
      <c r="I45" s="49" t="s">
        <v>207</v>
      </c>
      <c r="J45" s="49" t="s">
        <v>239</v>
      </c>
      <c r="K45" s="49" t="s">
        <v>293</v>
      </c>
      <c r="L45" s="49" t="s">
        <v>650</v>
      </c>
      <c r="M45" s="49" t="s">
        <v>651</v>
      </c>
      <c r="N45" s="49" t="s">
        <v>652</v>
      </c>
      <c r="O45" s="49"/>
      <c r="P45" s="49"/>
      <c r="Q45" s="49" t="s">
        <v>653</v>
      </c>
      <c r="R45" s="49" t="s">
        <v>225</v>
      </c>
      <c r="S45" s="49"/>
      <c r="T45" s="51" t="str">
        <f>IF(G47="","",IF(OR(G47="Tier 3"),"No",IF(AND(S47&lt;&gt;"",OR(ISNUMBER(SEARCH("OFAC",S47)),ISNUMBER(SEARCH("penal",S47)),ISNUMBER(SEARCH("rojo pendiente",S47)))),"Revisar","Sí")))</f>
        <v>No</v>
      </c>
    </row>
    <row r="46" spans="1:20" ht="31.5" customHeight="1" x14ac:dyDescent="0.2">
      <c r="A46" s="48" t="s">
        <v>654</v>
      </c>
      <c r="B46" s="48" t="s">
        <v>655</v>
      </c>
      <c r="C46" s="49" t="s">
        <v>656</v>
      </c>
      <c r="D46" s="49" t="s">
        <v>27</v>
      </c>
      <c r="E46" s="49" t="s">
        <v>657</v>
      </c>
      <c r="F46" s="49" t="s">
        <v>552</v>
      </c>
      <c r="G46" s="50" t="s">
        <v>313</v>
      </c>
      <c r="H46" s="49" t="s">
        <v>269</v>
      </c>
      <c r="I46" s="49" t="s">
        <v>231</v>
      </c>
      <c r="J46" s="49" t="s">
        <v>239</v>
      </c>
      <c r="K46" s="49" t="s">
        <v>209</v>
      </c>
      <c r="L46" s="49" t="s">
        <v>658</v>
      </c>
      <c r="M46" s="49" t="s">
        <v>659</v>
      </c>
      <c r="N46" s="49" t="s">
        <v>660</v>
      </c>
      <c r="O46" s="49"/>
      <c r="P46" s="49"/>
      <c r="Q46" s="49" t="s">
        <v>661</v>
      </c>
      <c r="R46" s="49" t="s">
        <v>225</v>
      </c>
      <c r="S46" s="49" t="s">
        <v>662</v>
      </c>
      <c r="T46" s="51" t="str">
        <f>IF(G48="","",IF(OR(G48="Tier 3"),"No",IF(AND(S48&lt;&gt;"",OR(ISNUMBER(SEARCH("OFAC",S48)),ISNUMBER(SEARCH("penal",S48)),ISNUMBER(SEARCH("rojo pendiente",S48)))),"Revisar","Sí")))</f>
        <v>No</v>
      </c>
    </row>
    <row r="47" spans="1:20" ht="31.5" customHeight="1" x14ac:dyDescent="0.2">
      <c r="A47" s="48" t="s">
        <v>1024</v>
      </c>
      <c r="B47" s="48" t="s">
        <v>1025</v>
      </c>
      <c r="C47" s="49" t="s">
        <v>1026</v>
      </c>
      <c r="D47" s="49" t="s">
        <v>27</v>
      </c>
      <c r="E47" s="49" t="s">
        <v>258</v>
      </c>
      <c r="F47" s="49" t="s">
        <v>217</v>
      </c>
      <c r="G47" s="50" t="s">
        <v>313</v>
      </c>
      <c r="H47" s="49" t="s">
        <v>218</v>
      </c>
      <c r="I47" s="49" t="s">
        <v>259</v>
      </c>
      <c r="J47" s="49" t="s">
        <v>239</v>
      </c>
      <c r="K47" s="49" t="s">
        <v>209</v>
      </c>
      <c r="L47" s="49" t="s">
        <v>1027</v>
      </c>
      <c r="M47" s="49" t="s">
        <v>1028</v>
      </c>
      <c r="N47" s="49" t="s">
        <v>1029</v>
      </c>
      <c r="O47" s="49"/>
      <c r="P47" s="49"/>
      <c r="Q47" s="49" t="s">
        <v>1030</v>
      </c>
      <c r="R47" s="49" t="s">
        <v>225</v>
      </c>
      <c r="S47" s="49"/>
      <c r="T47" s="51" t="str">
        <f>IF(G49="","",IF(OR(G49="Tier 3"),"No",IF(AND(S49&lt;&gt;"",OR(ISNUMBER(SEARCH("OFAC",S49)),ISNUMBER(SEARCH("penal",S49)),ISNUMBER(SEARCH("rojo pendiente",S49)))),"Revisar","Sí")))</f>
        <v>Sí</v>
      </c>
    </row>
    <row r="48" spans="1:20" ht="31.5" customHeight="1" x14ac:dyDescent="0.2">
      <c r="A48" s="48" t="s">
        <v>1059</v>
      </c>
      <c r="B48" s="48" t="s">
        <v>1060</v>
      </c>
      <c r="C48" s="49" t="s">
        <v>1061</v>
      </c>
      <c r="D48" s="49" t="s">
        <v>27</v>
      </c>
      <c r="E48" s="49" t="s">
        <v>27</v>
      </c>
      <c r="F48" s="49" t="s">
        <v>312</v>
      </c>
      <c r="G48" s="50" t="s">
        <v>313</v>
      </c>
      <c r="H48" s="49" t="s">
        <v>269</v>
      </c>
      <c r="I48" s="49" t="s">
        <v>625</v>
      </c>
      <c r="J48" s="49" t="s">
        <v>239</v>
      </c>
      <c r="K48" s="49" t="s">
        <v>209</v>
      </c>
      <c r="L48" s="49" t="s">
        <v>1062</v>
      </c>
      <c r="M48" s="49" t="s">
        <v>1063</v>
      </c>
      <c r="N48" s="49" t="s">
        <v>1064</v>
      </c>
      <c r="O48" s="49"/>
      <c r="P48" s="49"/>
      <c r="Q48" s="49" t="s">
        <v>1065</v>
      </c>
      <c r="R48" s="49" t="s">
        <v>225</v>
      </c>
      <c r="S48" s="49"/>
      <c r="T48" s="51" t="str">
        <f>IF(G50="","",IF(OR(G50="Tier 3"),"No",IF(AND(S50&lt;&gt;"",OR(ISNUMBER(SEARCH("OFAC",S50)),ISNUMBER(SEARCH("penal",S50)),ISNUMBER(SEARCH("rojo pendiente",S50)))),"Revisar","Sí")))</f>
        <v>No</v>
      </c>
    </row>
    <row r="49" spans="1:20" ht="31.5" customHeight="1" x14ac:dyDescent="0.2">
      <c r="A49" s="48" t="s">
        <v>1109</v>
      </c>
      <c r="B49" s="48" t="s">
        <v>1110</v>
      </c>
      <c r="C49" s="49" t="s">
        <v>1111</v>
      </c>
      <c r="D49" s="49" t="s">
        <v>27</v>
      </c>
      <c r="E49" s="49" t="s">
        <v>203</v>
      </c>
      <c r="F49" s="49" t="s">
        <v>217</v>
      </c>
      <c r="G49" s="50" t="s">
        <v>230</v>
      </c>
      <c r="H49" s="49" t="s">
        <v>218</v>
      </c>
      <c r="I49" s="49" t="s">
        <v>231</v>
      </c>
      <c r="J49" s="49" t="s">
        <v>239</v>
      </c>
      <c r="K49" s="49" t="s">
        <v>209</v>
      </c>
      <c r="L49" s="49" t="s">
        <v>1112</v>
      </c>
      <c r="M49" s="49" t="s">
        <v>1113</v>
      </c>
      <c r="N49" s="49" t="s">
        <v>1114</v>
      </c>
      <c r="O49" s="49"/>
      <c r="P49" s="49"/>
      <c r="Q49" s="49" t="s">
        <v>1115</v>
      </c>
      <c r="R49" s="49" t="s">
        <v>225</v>
      </c>
      <c r="S49" s="49"/>
      <c r="T49" s="51" t="str">
        <f>IF(G52="","",IF(OR(G52="Tier 3"),"No",IF(AND(S52&lt;&gt;"",OR(ISNUMBER(SEARCH("OFAC",S52)),ISNUMBER(SEARCH("penal",S52)),ISNUMBER(SEARCH("rojo pendiente",S52)))),"Revisar","Sí")))</f>
        <v>No</v>
      </c>
    </row>
    <row r="50" spans="1:20" ht="31.5" customHeight="1" x14ac:dyDescent="0.2">
      <c r="A50" s="48" t="s">
        <v>1188</v>
      </c>
      <c r="B50" s="48" t="s">
        <v>1189</v>
      </c>
      <c r="C50" s="49" t="s">
        <v>1190</v>
      </c>
      <c r="D50" s="49" t="s">
        <v>27</v>
      </c>
      <c r="E50" s="49" t="s">
        <v>1191</v>
      </c>
      <c r="F50" s="49" t="s">
        <v>217</v>
      </c>
      <c r="G50" s="50" t="s">
        <v>313</v>
      </c>
      <c r="H50" s="49" t="s">
        <v>218</v>
      </c>
      <c r="I50" s="49" t="s">
        <v>259</v>
      </c>
      <c r="J50" s="49" t="s">
        <v>239</v>
      </c>
      <c r="K50" s="49" t="s">
        <v>406</v>
      </c>
      <c r="L50" s="49" t="s">
        <v>1192</v>
      </c>
      <c r="M50" s="49" t="s">
        <v>1193</v>
      </c>
      <c r="N50" s="49" t="s">
        <v>1194</v>
      </c>
      <c r="O50" s="49"/>
      <c r="P50" s="49"/>
      <c r="Q50" s="49" t="s">
        <v>1195</v>
      </c>
      <c r="R50" s="49" t="s">
        <v>225</v>
      </c>
      <c r="S50" s="49"/>
      <c r="T50" s="51" t="str">
        <f>IF(G53="","",IF(OR(G53="Tier 3"),"No",IF(AND(S53&lt;&gt;"",OR(ISNUMBER(SEARCH("OFAC",S53)),ISNUMBER(SEARCH("penal",S53)),ISNUMBER(SEARCH("rojo pendiente",S53)))),"Revisar","Sí")))</f>
        <v>Sí</v>
      </c>
    </row>
    <row r="51" spans="1:20" ht="31.5" customHeight="1" x14ac:dyDescent="0.2">
      <c r="A51" s="48" t="s">
        <v>1266</v>
      </c>
      <c r="B51" s="48" t="s">
        <v>1267</v>
      </c>
      <c r="C51" s="49" t="s">
        <v>1268</v>
      </c>
      <c r="D51" s="49" t="s">
        <v>27</v>
      </c>
      <c r="E51" s="49" t="s">
        <v>27</v>
      </c>
      <c r="F51" s="49" t="s">
        <v>312</v>
      </c>
      <c r="G51" s="50" t="s">
        <v>313</v>
      </c>
      <c r="H51" s="49" t="s">
        <v>269</v>
      </c>
      <c r="I51" s="49" t="s">
        <v>231</v>
      </c>
      <c r="J51" s="49" t="s">
        <v>239</v>
      </c>
      <c r="K51" s="49" t="s">
        <v>209</v>
      </c>
      <c r="L51" s="49" t="s">
        <v>1269</v>
      </c>
      <c r="M51" s="49" t="s">
        <v>1270</v>
      </c>
      <c r="N51" s="49" t="s">
        <v>1271</v>
      </c>
      <c r="O51" s="49"/>
      <c r="P51" s="49"/>
      <c r="Q51" s="49" t="s">
        <v>1272</v>
      </c>
      <c r="R51" s="49" t="s">
        <v>225</v>
      </c>
      <c r="S51" s="49"/>
      <c r="T51" s="51" t="str">
        <f>IF(G56="","",IF(OR(G56="Tier 3"),"No",IF(AND(S56&lt;&gt;"",OR(ISNUMBER(SEARCH("OFAC",S56)),ISNUMBER(SEARCH("penal",S56)),ISNUMBER(SEARCH("rojo pendiente",S56)))),"Revisar","Sí")))</f>
        <v>Sí</v>
      </c>
    </row>
    <row r="52" spans="1:20" ht="31.5" customHeight="1" x14ac:dyDescent="0.2">
      <c r="A52" s="48" t="s">
        <v>1333</v>
      </c>
      <c r="B52" s="48" t="s">
        <v>1334</v>
      </c>
      <c r="C52" s="49" t="s">
        <v>1335</v>
      </c>
      <c r="D52" s="49" t="s">
        <v>27</v>
      </c>
      <c r="E52" s="49" t="s">
        <v>203</v>
      </c>
      <c r="F52" s="49" t="s">
        <v>552</v>
      </c>
      <c r="G52" s="50" t="s">
        <v>313</v>
      </c>
      <c r="H52" s="49" t="s">
        <v>282</v>
      </c>
      <c r="I52" s="49" t="s">
        <v>231</v>
      </c>
      <c r="J52" s="49" t="s">
        <v>239</v>
      </c>
      <c r="K52" s="49" t="s">
        <v>586</v>
      </c>
      <c r="L52" s="49" t="s">
        <v>1336</v>
      </c>
      <c r="M52" s="49" t="s">
        <v>1337</v>
      </c>
      <c r="N52" s="49" t="s">
        <v>1338</v>
      </c>
      <c r="O52" s="49"/>
      <c r="P52" s="49"/>
      <c r="Q52" s="49" t="s">
        <v>1339</v>
      </c>
      <c r="R52" s="49" t="s">
        <v>225</v>
      </c>
      <c r="S52" s="49"/>
      <c r="T52" s="51" t="str">
        <f>IF(G57="","",IF(OR(G57="Tier 3"),"No",IF(AND(S57&lt;&gt;"",OR(ISNUMBER(SEARCH("OFAC",S57)),ISNUMBER(SEARCH("penal",S57)),ISNUMBER(SEARCH("rojo pendiente",S57)))),"Revisar","Sí")))</f>
        <v>Sí</v>
      </c>
    </row>
    <row r="53" spans="1:20" ht="31.5" customHeight="1" x14ac:dyDescent="0.2">
      <c r="A53" s="48" t="s">
        <v>1416</v>
      </c>
      <c r="B53" s="48" t="s">
        <v>1417</v>
      </c>
      <c r="C53" s="49" t="s">
        <v>1418</v>
      </c>
      <c r="D53" s="49" t="s">
        <v>27</v>
      </c>
      <c r="E53" s="49" t="s">
        <v>54</v>
      </c>
      <c r="F53" s="49" t="s">
        <v>380</v>
      </c>
      <c r="G53" s="50" t="s">
        <v>230</v>
      </c>
      <c r="H53" s="49" t="s">
        <v>282</v>
      </c>
      <c r="I53" s="49" t="s">
        <v>1419</v>
      </c>
      <c r="J53" s="49" t="s">
        <v>239</v>
      </c>
      <c r="K53" s="49" t="s">
        <v>209</v>
      </c>
      <c r="L53" s="49" t="s">
        <v>1420</v>
      </c>
      <c r="M53" s="49" t="s">
        <v>1421</v>
      </c>
      <c r="N53" s="49" t="s">
        <v>1422</v>
      </c>
      <c r="O53" s="49" t="s">
        <v>1423</v>
      </c>
      <c r="P53" s="49" t="s">
        <v>1424</v>
      </c>
      <c r="Q53" s="49" t="s">
        <v>1425</v>
      </c>
      <c r="R53" s="49" t="s">
        <v>225</v>
      </c>
      <c r="S53" s="49"/>
      <c r="T53" s="51" t="str">
        <f>IF(G59="","",IF(OR(G59="Tier 3"),"No",IF(AND(S59&lt;&gt;"",OR(ISNUMBER(SEARCH("OFAC",S59)),ISNUMBER(SEARCH("penal",S59)),ISNUMBER(SEARCH("rojo pendiente",S59)))),"Revisar","Sí")))</f>
        <v>Sí</v>
      </c>
    </row>
    <row r="54" spans="1:20" ht="31.5" customHeight="1" x14ac:dyDescent="0.2">
      <c r="A54" s="48" t="s">
        <v>1510</v>
      </c>
      <c r="B54" s="48" t="s">
        <v>1511</v>
      </c>
      <c r="C54" s="49" t="s">
        <v>1512</v>
      </c>
      <c r="D54" s="49" t="s">
        <v>27</v>
      </c>
      <c r="E54" s="49" t="s">
        <v>51</v>
      </c>
      <c r="F54" s="49" t="s">
        <v>217</v>
      </c>
      <c r="G54" s="50" t="s">
        <v>205</v>
      </c>
      <c r="H54" s="49" t="s">
        <v>303</v>
      </c>
      <c r="I54" s="49" t="s">
        <v>1513</v>
      </c>
      <c r="J54" s="49"/>
      <c r="K54" s="49"/>
      <c r="L54" s="49" t="s">
        <v>1514</v>
      </c>
      <c r="M54" s="49" t="s">
        <v>1515</v>
      </c>
      <c r="N54" s="49" t="s">
        <v>1516</v>
      </c>
      <c r="O54" s="49"/>
      <c r="P54" s="49" t="s">
        <v>1517</v>
      </c>
      <c r="Q54" s="49" t="s">
        <v>1518</v>
      </c>
      <c r="R54" s="49" t="s">
        <v>225</v>
      </c>
      <c r="S54" s="49"/>
      <c r="T54" s="51" t="str">
        <f>IF(G60="","",IF(OR(G60="Tier 3"),"No",IF(AND(S60&lt;&gt;"",OR(ISNUMBER(SEARCH("OFAC",S60)),ISNUMBER(SEARCH("penal",S60)),ISNUMBER(SEARCH("rojo pendiente",S60)))),"Revisar","Sí")))</f>
        <v>Sí</v>
      </c>
    </row>
    <row r="55" spans="1:20" ht="31.5" customHeight="1" x14ac:dyDescent="0.2">
      <c r="A55" s="48" t="s">
        <v>200</v>
      </c>
      <c r="B55" s="48" t="s">
        <v>201</v>
      </c>
      <c r="C55" s="49" t="s">
        <v>202</v>
      </c>
      <c r="D55" s="49" t="s">
        <v>30</v>
      </c>
      <c r="E55" s="49" t="s">
        <v>203</v>
      </c>
      <c r="F55" s="49" t="s">
        <v>204</v>
      </c>
      <c r="G55" s="50" t="s">
        <v>205</v>
      </c>
      <c r="H55" s="49" t="s">
        <v>206</v>
      </c>
      <c r="I55" s="49" t="s">
        <v>207</v>
      </c>
      <c r="J55" s="49" t="s">
        <v>208</v>
      </c>
      <c r="K55" s="49" t="s">
        <v>209</v>
      </c>
      <c r="L55" s="49" t="s">
        <v>4241</v>
      </c>
      <c r="M55" s="49" t="s">
        <v>210</v>
      </c>
      <c r="N55" s="49" t="s">
        <v>211</v>
      </c>
      <c r="O55" s="49"/>
      <c r="P55" s="49"/>
      <c r="Q55" s="49" t="s">
        <v>212</v>
      </c>
      <c r="R55" s="49" t="s">
        <v>213</v>
      </c>
      <c r="S55" s="49" t="s">
        <v>4245</v>
      </c>
      <c r="T55" s="51" t="str">
        <f t="shared" ref="T55:T60" si="0">IF(G55="","",IF(OR(G55="Tier 3"),"No",IF(AND(S55&lt;&gt;"",OR(ISNUMBER(SEARCH("OFAC",S55)),ISNUMBER(SEARCH("penal",S55)),ISNUMBER(SEARCH("rojo pendiente",S55)))),"Revisar","Sí")))</f>
        <v>Sí</v>
      </c>
    </row>
    <row r="56" spans="1:20" ht="31.5" customHeight="1" x14ac:dyDescent="0.2">
      <c r="A56" s="48" t="s">
        <v>226</v>
      </c>
      <c r="B56" s="48" t="s">
        <v>227</v>
      </c>
      <c r="C56" s="49" t="s">
        <v>228</v>
      </c>
      <c r="D56" s="49" t="s">
        <v>30</v>
      </c>
      <c r="E56" s="49" t="s">
        <v>229</v>
      </c>
      <c r="F56" s="49" t="s">
        <v>204</v>
      </c>
      <c r="G56" s="50" t="s">
        <v>230</v>
      </c>
      <c r="H56" s="49" t="s">
        <v>218</v>
      </c>
      <c r="I56" s="49" t="s">
        <v>231</v>
      </c>
      <c r="J56" s="49" t="s">
        <v>208</v>
      </c>
      <c r="K56" s="49" t="s">
        <v>209</v>
      </c>
      <c r="L56" s="49" t="s">
        <v>232</v>
      </c>
      <c r="M56" s="49" t="s">
        <v>233</v>
      </c>
      <c r="N56" s="49" t="s">
        <v>234</v>
      </c>
      <c r="O56" s="49"/>
      <c r="P56" s="49"/>
      <c r="Q56" s="49" t="s">
        <v>235</v>
      </c>
      <c r="R56" s="49" t="s">
        <v>225</v>
      </c>
      <c r="S56" s="49" t="s">
        <v>4246</v>
      </c>
      <c r="T56" s="51" t="str">
        <f t="shared" si="0"/>
        <v>Sí</v>
      </c>
    </row>
    <row r="57" spans="1:20" ht="31.5" customHeight="1" x14ac:dyDescent="0.2">
      <c r="A57" s="48" t="s">
        <v>279</v>
      </c>
      <c r="B57" s="48" t="s">
        <v>280</v>
      </c>
      <c r="C57" s="49" t="s">
        <v>281</v>
      </c>
      <c r="D57" s="49" t="s">
        <v>30</v>
      </c>
      <c r="E57" s="49" t="s">
        <v>203</v>
      </c>
      <c r="F57" s="49" t="s">
        <v>204</v>
      </c>
      <c r="G57" s="50" t="s">
        <v>230</v>
      </c>
      <c r="H57" s="49" t="s">
        <v>282</v>
      </c>
      <c r="I57" s="49" t="s">
        <v>231</v>
      </c>
      <c r="J57" s="49" t="s">
        <v>208</v>
      </c>
      <c r="K57" s="49" t="s">
        <v>209</v>
      </c>
      <c r="L57" s="49" t="s">
        <v>283</v>
      </c>
      <c r="M57" s="49" t="s">
        <v>284</v>
      </c>
      <c r="N57" s="49" t="s">
        <v>285</v>
      </c>
      <c r="O57" s="49"/>
      <c r="P57" s="49"/>
      <c r="Q57" s="49" t="s">
        <v>286</v>
      </c>
      <c r="R57" s="49" t="s">
        <v>225</v>
      </c>
      <c r="S57" s="49" t="s">
        <v>287</v>
      </c>
      <c r="T57" s="51" t="str">
        <f t="shared" si="0"/>
        <v>Sí</v>
      </c>
    </row>
    <row r="58" spans="1:20" ht="31.5" customHeight="1" x14ac:dyDescent="0.2">
      <c r="A58" s="48" t="s">
        <v>288</v>
      </c>
      <c r="B58" s="48" t="s">
        <v>289</v>
      </c>
      <c r="C58" s="49" t="s">
        <v>290</v>
      </c>
      <c r="D58" s="49" t="s">
        <v>30</v>
      </c>
      <c r="E58" s="49" t="s">
        <v>291</v>
      </c>
      <c r="F58" s="49" t="s">
        <v>204</v>
      </c>
      <c r="G58" s="50" t="s">
        <v>205</v>
      </c>
      <c r="H58" s="49" t="s">
        <v>269</v>
      </c>
      <c r="I58" s="49" t="s">
        <v>292</v>
      </c>
      <c r="J58" s="49" t="s">
        <v>208</v>
      </c>
      <c r="K58" s="49" t="s">
        <v>293</v>
      </c>
      <c r="L58" s="49" t="s">
        <v>294</v>
      </c>
      <c r="M58" s="49" t="s">
        <v>295</v>
      </c>
      <c r="N58" s="49" t="s">
        <v>296</v>
      </c>
      <c r="O58" s="49"/>
      <c r="P58" s="49"/>
      <c r="Q58" s="49" t="s">
        <v>297</v>
      </c>
      <c r="R58" s="49" t="s">
        <v>213</v>
      </c>
      <c r="S58" s="49" t="s">
        <v>298</v>
      </c>
      <c r="T58" s="51" t="str">
        <f t="shared" si="0"/>
        <v>Sí</v>
      </c>
    </row>
    <row r="59" spans="1:20" ht="31.5" customHeight="1" x14ac:dyDescent="0.2">
      <c r="A59" s="48" t="s">
        <v>299</v>
      </c>
      <c r="B59" s="48" t="s">
        <v>300</v>
      </c>
      <c r="C59" s="49" t="s">
        <v>301</v>
      </c>
      <c r="D59" s="49" t="s">
        <v>30</v>
      </c>
      <c r="E59" s="49" t="s">
        <v>302</v>
      </c>
      <c r="F59" s="49" t="s">
        <v>204</v>
      </c>
      <c r="G59" s="50" t="s">
        <v>205</v>
      </c>
      <c r="H59" s="49" t="s">
        <v>303</v>
      </c>
      <c r="I59" s="49" t="s">
        <v>231</v>
      </c>
      <c r="J59" s="49" t="s">
        <v>208</v>
      </c>
      <c r="K59" s="49" t="s">
        <v>209</v>
      </c>
      <c r="L59" s="49" t="s">
        <v>304</v>
      </c>
      <c r="M59" s="49" t="s">
        <v>305</v>
      </c>
      <c r="N59" s="49" t="s">
        <v>4254</v>
      </c>
      <c r="O59" s="49"/>
      <c r="P59" s="49"/>
      <c r="Q59" s="49" t="s">
        <v>307</v>
      </c>
      <c r="R59" s="49" t="s">
        <v>225</v>
      </c>
      <c r="S59" s="49"/>
      <c r="T59" s="51" t="str">
        <f t="shared" si="0"/>
        <v>Sí</v>
      </c>
    </row>
    <row r="60" spans="1:20" ht="31.5" customHeight="1" x14ac:dyDescent="0.2">
      <c r="A60" s="48" t="s">
        <v>319</v>
      </c>
      <c r="B60" s="48" t="s">
        <v>320</v>
      </c>
      <c r="C60" s="49" t="s">
        <v>321</v>
      </c>
      <c r="D60" s="49" t="s">
        <v>30</v>
      </c>
      <c r="E60" s="49" t="s">
        <v>203</v>
      </c>
      <c r="F60" s="49" t="s">
        <v>204</v>
      </c>
      <c r="G60" s="50" t="s">
        <v>230</v>
      </c>
      <c r="H60" s="49" t="s">
        <v>269</v>
      </c>
      <c r="I60" s="49" t="s">
        <v>231</v>
      </c>
      <c r="J60" s="49" t="s">
        <v>208</v>
      </c>
      <c r="K60" s="49" t="s">
        <v>209</v>
      </c>
      <c r="L60" s="49" t="s">
        <v>322</v>
      </c>
      <c r="M60" s="49" t="s">
        <v>323</v>
      </c>
      <c r="N60" s="49" t="s">
        <v>324</v>
      </c>
      <c r="O60" s="49"/>
      <c r="P60" s="49"/>
      <c r="Q60" s="49" t="s">
        <v>325</v>
      </c>
      <c r="R60" s="49" t="s">
        <v>225</v>
      </c>
      <c r="S60" s="49"/>
      <c r="T60" s="51" t="str">
        <f t="shared" si="0"/>
        <v>Sí</v>
      </c>
    </row>
    <row r="61" spans="1:20" ht="31.5" customHeight="1" x14ac:dyDescent="0.2">
      <c r="A61" s="48" t="s">
        <v>433</v>
      </c>
      <c r="B61" s="48" t="s">
        <v>434</v>
      </c>
      <c r="C61" s="49" t="s">
        <v>435</v>
      </c>
      <c r="D61" s="49" t="s">
        <v>30</v>
      </c>
      <c r="E61" s="49" t="s">
        <v>203</v>
      </c>
      <c r="F61" s="49" t="s">
        <v>204</v>
      </c>
      <c r="G61" s="50" t="s">
        <v>230</v>
      </c>
      <c r="H61" s="49" t="s">
        <v>282</v>
      </c>
      <c r="I61" s="49" t="s">
        <v>231</v>
      </c>
      <c r="J61" s="49" t="s">
        <v>208</v>
      </c>
      <c r="K61" s="49" t="s">
        <v>209</v>
      </c>
      <c r="L61" s="49" t="s">
        <v>436</v>
      </c>
      <c r="M61" s="49" t="s">
        <v>437</v>
      </c>
      <c r="N61" s="49" t="s">
        <v>438</v>
      </c>
      <c r="O61" s="49" t="s">
        <v>439</v>
      </c>
      <c r="P61" s="49" t="s">
        <v>440</v>
      </c>
      <c r="Q61" s="49" t="s">
        <v>441</v>
      </c>
      <c r="R61" s="49" t="s">
        <v>225</v>
      </c>
      <c r="S61" s="49"/>
      <c r="T61" s="51" t="str">
        <f>IF(G62="","",IF(OR(G62="Tier 3"),"No",IF(AND(S62&lt;&gt;"",OR(ISNUMBER(SEARCH("OFAC",S62)),ISNUMBER(SEARCH("penal",S62)),ISNUMBER(SEARCH("rojo pendiente",S62)))),"Revisar","Sí")))</f>
        <v>Sí</v>
      </c>
    </row>
    <row r="62" spans="1:20" ht="31.5" customHeight="1" x14ac:dyDescent="0.2">
      <c r="A62" s="48" t="s">
        <v>442</v>
      </c>
      <c r="B62" s="48" t="s">
        <v>443</v>
      </c>
      <c r="C62" s="49" t="s">
        <v>444</v>
      </c>
      <c r="D62" s="49" t="s">
        <v>30</v>
      </c>
      <c r="E62" s="49" t="s">
        <v>203</v>
      </c>
      <c r="F62" s="49" t="s">
        <v>204</v>
      </c>
      <c r="G62" s="50" t="s">
        <v>230</v>
      </c>
      <c r="H62" s="49" t="s">
        <v>445</v>
      </c>
      <c r="I62" s="49" t="s">
        <v>446</v>
      </c>
      <c r="J62" s="49" t="s">
        <v>208</v>
      </c>
      <c r="K62" s="49" t="s">
        <v>209</v>
      </c>
      <c r="L62" s="49" t="s">
        <v>447</v>
      </c>
      <c r="M62" s="49" t="s">
        <v>448</v>
      </c>
      <c r="N62" s="49" t="s">
        <v>449</v>
      </c>
      <c r="O62" s="49"/>
      <c r="P62" s="49"/>
      <c r="Q62" s="49" t="s">
        <v>450</v>
      </c>
      <c r="R62" s="49" t="s">
        <v>225</v>
      </c>
      <c r="S62" s="49"/>
      <c r="T62" s="51" t="str">
        <f>IF(G63="","",IF(OR(G63="Tier 3"),"No",IF(AND(S63&lt;&gt;"",OR(ISNUMBER(SEARCH("OFAC",S63)),ISNUMBER(SEARCH("penal",S63)),ISNUMBER(SEARCH("rojo pendiente",S63)))),"Revisar","Sí")))</f>
        <v>Sí</v>
      </c>
    </row>
    <row r="63" spans="1:20" ht="31.5" customHeight="1" x14ac:dyDescent="0.2">
      <c r="A63" s="48" t="s">
        <v>482</v>
      </c>
      <c r="B63" s="48" t="s">
        <v>483</v>
      </c>
      <c r="C63" s="49" t="s">
        <v>484</v>
      </c>
      <c r="D63" s="49" t="s">
        <v>30</v>
      </c>
      <c r="E63" s="49" t="s">
        <v>203</v>
      </c>
      <c r="F63" s="49" t="s">
        <v>204</v>
      </c>
      <c r="G63" s="50" t="s">
        <v>230</v>
      </c>
      <c r="H63" s="49" t="s">
        <v>303</v>
      </c>
      <c r="I63" s="49" t="s">
        <v>231</v>
      </c>
      <c r="J63" s="49" t="s">
        <v>208</v>
      </c>
      <c r="K63" s="49" t="s">
        <v>209</v>
      </c>
      <c r="L63" s="49" t="s">
        <v>485</v>
      </c>
      <c r="M63" s="49" t="s">
        <v>486</v>
      </c>
      <c r="N63" s="49" t="s">
        <v>487</v>
      </c>
      <c r="O63" s="49"/>
      <c r="P63" s="49"/>
      <c r="Q63" s="49" t="s">
        <v>488</v>
      </c>
      <c r="R63" s="49" t="s">
        <v>225</v>
      </c>
      <c r="S63" s="49"/>
      <c r="T63" s="51" t="str">
        <f>IF(G64="","",IF(OR(G64="Tier 3"),"No",IF(AND(S64&lt;&gt;"",OR(ISNUMBER(SEARCH("OFAC",S64)),ISNUMBER(SEARCH("penal",S64)),ISNUMBER(SEARCH("rojo pendiente",S64)))),"Revisar","Sí")))</f>
        <v>Sí</v>
      </c>
    </row>
    <row r="64" spans="1:20" ht="31.5" customHeight="1" x14ac:dyDescent="0.2">
      <c r="A64" s="48" t="s">
        <v>521</v>
      </c>
      <c r="B64" s="48" t="s">
        <v>522</v>
      </c>
      <c r="C64" s="49" t="s">
        <v>523</v>
      </c>
      <c r="D64" s="49" t="s">
        <v>30</v>
      </c>
      <c r="E64" s="49" t="s">
        <v>203</v>
      </c>
      <c r="F64" s="49" t="s">
        <v>204</v>
      </c>
      <c r="G64" s="50" t="s">
        <v>230</v>
      </c>
      <c r="H64" s="49" t="s">
        <v>269</v>
      </c>
      <c r="I64" s="49" t="s">
        <v>467</v>
      </c>
      <c r="J64" s="49" t="s">
        <v>208</v>
      </c>
      <c r="K64" s="49" t="s">
        <v>293</v>
      </c>
      <c r="L64" s="49" t="s">
        <v>524</v>
      </c>
      <c r="M64" s="49" t="s">
        <v>525</v>
      </c>
      <c r="N64" s="49" t="s">
        <v>526</v>
      </c>
      <c r="O64" s="49"/>
      <c r="P64" s="49"/>
      <c r="Q64" s="49" t="s">
        <v>527</v>
      </c>
      <c r="R64" s="49" t="s">
        <v>225</v>
      </c>
      <c r="S64" s="49"/>
      <c r="T64" s="51" t="s">
        <v>1530</v>
      </c>
    </row>
    <row r="65" spans="1:20" ht="31.5" customHeight="1" x14ac:dyDescent="0.2">
      <c r="A65" s="48" t="s">
        <v>696</v>
      </c>
      <c r="B65" s="48" t="s">
        <v>697</v>
      </c>
      <c r="C65" s="49" t="s">
        <v>698</v>
      </c>
      <c r="D65" s="49" t="s">
        <v>30</v>
      </c>
      <c r="E65" s="49" t="s">
        <v>54</v>
      </c>
      <c r="F65" s="49" t="s">
        <v>204</v>
      </c>
      <c r="G65" s="50" t="s">
        <v>205</v>
      </c>
      <c r="H65" s="49" t="s">
        <v>269</v>
      </c>
      <c r="I65" s="49" t="s">
        <v>231</v>
      </c>
      <c r="J65" s="49" t="s">
        <v>208</v>
      </c>
      <c r="K65" s="49" t="s">
        <v>293</v>
      </c>
      <c r="L65" s="49" t="s">
        <v>699</v>
      </c>
      <c r="M65" s="49" t="s">
        <v>700</v>
      </c>
      <c r="N65" s="49" t="s">
        <v>701</v>
      </c>
      <c r="O65" s="49"/>
      <c r="P65" s="49" t="s">
        <v>702</v>
      </c>
      <c r="Q65" s="49" t="s">
        <v>703</v>
      </c>
      <c r="R65" s="49" t="s">
        <v>225</v>
      </c>
      <c r="S65" s="49"/>
      <c r="T65" s="51" t="str">
        <f t="shared" ref="T65:T71" si="1">IF(G67="","",IF(OR(G67="Tier 3"),"No",IF(AND(S67&lt;&gt;"",OR(ISNUMBER(SEARCH("OFAC",S67)),ISNUMBER(SEARCH("penal",S67)),ISNUMBER(SEARCH("rojo pendiente",S67)))),"Revisar","Sí")))</f>
        <v>No</v>
      </c>
    </row>
    <row r="66" spans="1:20" ht="31.5" customHeight="1" x14ac:dyDescent="0.2">
      <c r="A66" s="48" t="s">
        <v>855</v>
      </c>
      <c r="B66" s="48" t="s">
        <v>856</v>
      </c>
      <c r="C66" s="49" t="s">
        <v>857</v>
      </c>
      <c r="D66" s="49" t="s">
        <v>30</v>
      </c>
      <c r="E66" s="49" t="s">
        <v>203</v>
      </c>
      <c r="F66" s="49" t="s">
        <v>204</v>
      </c>
      <c r="G66" s="50" t="s">
        <v>230</v>
      </c>
      <c r="H66" s="49" t="s">
        <v>303</v>
      </c>
      <c r="I66" s="49" t="s">
        <v>231</v>
      </c>
      <c r="J66" s="49" t="s">
        <v>208</v>
      </c>
      <c r="K66" s="49" t="s">
        <v>586</v>
      </c>
      <c r="L66" s="49" t="s">
        <v>858</v>
      </c>
      <c r="M66" s="49" t="s">
        <v>859</v>
      </c>
      <c r="N66" s="49" t="s">
        <v>860</v>
      </c>
      <c r="O66" s="49"/>
      <c r="P66" s="49"/>
      <c r="Q66" s="49" t="s">
        <v>861</v>
      </c>
      <c r="R66" s="49" t="s">
        <v>225</v>
      </c>
      <c r="S66" s="49"/>
      <c r="T66" s="51" t="str">
        <f t="shared" si="1"/>
        <v>No</v>
      </c>
    </row>
    <row r="67" spans="1:20" ht="31.5" customHeight="1" x14ac:dyDescent="0.2">
      <c r="A67" s="48" t="s">
        <v>869</v>
      </c>
      <c r="B67" s="48" t="s">
        <v>870</v>
      </c>
      <c r="C67" s="49" t="s">
        <v>871</v>
      </c>
      <c r="D67" s="49" t="s">
        <v>30</v>
      </c>
      <c r="E67" s="49" t="s">
        <v>203</v>
      </c>
      <c r="F67" s="49" t="s">
        <v>204</v>
      </c>
      <c r="G67" s="50" t="s">
        <v>313</v>
      </c>
      <c r="H67" s="49" t="s">
        <v>303</v>
      </c>
      <c r="I67" s="49" t="s">
        <v>499</v>
      </c>
      <c r="J67" s="49" t="s">
        <v>208</v>
      </c>
      <c r="K67" s="49" t="s">
        <v>406</v>
      </c>
      <c r="L67" s="49" t="s">
        <v>872</v>
      </c>
      <c r="M67" s="49" t="s">
        <v>873</v>
      </c>
      <c r="N67" s="49" t="s">
        <v>874</v>
      </c>
      <c r="O67" s="49"/>
      <c r="P67" s="49"/>
      <c r="Q67" s="49" t="s">
        <v>875</v>
      </c>
      <c r="R67" s="49" t="s">
        <v>225</v>
      </c>
      <c r="S67" s="49" t="s">
        <v>876</v>
      </c>
      <c r="T67" s="51" t="str">
        <f t="shared" si="1"/>
        <v>No</v>
      </c>
    </row>
    <row r="68" spans="1:20" ht="31.5" customHeight="1" x14ac:dyDescent="0.2">
      <c r="A68" s="48" t="s">
        <v>951</v>
      </c>
      <c r="B68" s="48" t="s">
        <v>952</v>
      </c>
      <c r="C68" s="49" t="s">
        <v>953</v>
      </c>
      <c r="D68" s="49" t="s">
        <v>30</v>
      </c>
      <c r="E68" s="49" t="s">
        <v>203</v>
      </c>
      <c r="F68" s="49" t="s">
        <v>204</v>
      </c>
      <c r="G68" s="50" t="s">
        <v>313</v>
      </c>
      <c r="H68" s="49" t="s">
        <v>269</v>
      </c>
      <c r="I68" s="49" t="s">
        <v>954</v>
      </c>
      <c r="J68" s="49" t="s">
        <v>208</v>
      </c>
      <c r="K68" s="49" t="s">
        <v>209</v>
      </c>
      <c r="L68" s="49" t="s">
        <v>955</v>
      </c>
      <c r="M68" s="49" t="s">
        <v>956</v>
      </c>
      <c r="N68" s="49" t="s">
        <v>957</v>
      </c>
      <c r="O68" s="49" t="s">
        <v>958</v>
      </c>
      <c r="P68" s="49" t="s">
        <v>959</v>
      </c>
      <c r="Q68" s="49"/>
      <c r="R68" s="49" t="s">
        <v>213</v>
      </c>
      <c r="S68" s="49"/>
      <c r="T68" s="51" t="str">
        <f t="shared" si="1"/>
        <v>No</v>
      </c>
    </row>
    <row r="69" spans="1:20" ht="31.5" customHeight="1" x14ac:dyDescent="0.2">
      <c r="A69" s="48" t="s">
        <v>990</v>
      </c>
      <c r="B69" s="48" t="s">
        <v>991</v>
      </c>
      <c r="C69" s="49" t="s">
        <v>992</v>
      </c>
      <c r="D69" s="49" t="s">
        <v>30</v>
      </c>
      <c r="E69" s="49" t="s">
        <v>203</v>
      </c>
      <c r="F69" s="49" t="s">
        <v>204</v>
      </c>
      <c r="G69" s="50" t="s">
        <v>313</v>
      </c>
      <c r="H69" s="49" t="s">
        <v>476</v>
      </c>
      <c r="I69" s="49" t="s">
        <v>231</v>
      </c>
      <c r="J69" s="49" t="s">
        <v>208</v>
      </c>
      <c r="K69" s="49" t="s">
        <v>209</v>
      </c>
      <c r="L69" s="49" t="s">
        <v>993</v>
      </c>
      <c r="M69" s="49" t="s">
        <v>994</v>
      </c>
      <c r="N69" s="49" t="s">
        <v>995</v>
      </c>
      <c r="O69" s="49"/>
      <c r="P69" s="49"/>
      <c r="Q69" s="49" t="s">
        <v>996</v>
      </c>
      <c r="R69" s="49" t="s">
        <v>225</v>
      </c>
      <c r="S69" s="49"/>
      <c r="T69" s="51" t="str">
        <f t="shared" si="1"/>
        <v>No</v>
      </c>
    </row>
    <row r="70" spans="1:20" ht="31.5" customHeight="1" x14ac:dyDescent="0.2">
      <c r="A70" s="48" t="s">
        <v>1017</v>
      </c>
      <c r="B70" s="48" t="s">
        <v>1018</v>
      </c>
      <c r="C70" s="49" t="s">
        <v>1019</v>
      </c>
      <c r="D70" s="49" t="s">
        <v>30</v>
      </c>
      <c r="E70" s="49"/>
      <c r="F70" s="49" t="s">
        <v>204</v>
      </c>
      <c r="G70" s="50" t="s">
        <v>313</v>
      </c>
      <c r="H70" s="49" t="s">
        <v>282</v>
      </c>
      <c r="I70" s="49" t="s">
        <v>231</v>
      </c>
      <c r="J70" s="49" t="s">
        <v>208</v>
      </c>
      <c r="K70" s="49" t="s">
        <v>271</v>
      </c>
      <c r="L70" s="49" t="s">
        <v>1020</v>
      </c>
      <c r="M70" s="49" t="s">
        <v>1021</v>
      </c>
      <c r="N70" s="49" t="s">
        <v>1022</v>
      </c>
      <c r="O70" s="49"/>
      <c r="P70" s="49"/>
      <c r="Q70" s="49" t="s">
        <v>1023</v>
      </c>
      <c r="R70" s="49" t="s">
        <v>225</v>
      </c>
      <c r="S70" s="49"/>
      <c r="T70" s="51" t="str">
        <f t="shared" si="1"/>
        <v>No</v>
      </c>
    </row>
    <row r="71" spans="1:20" ht="31.5" customHeight="1" x14ac:dyDescent="0.2">
      <c r="A71" s="48" t="s">
        <v>1066</v>
      </c>
      <c r="B71" s="48" t="s">
        <v>1067</v>
      </c>
      <c r="C71" s="49" t="s">
        <v>1068</v>
      </c>
      <c r="D71" s="49" t="s">
        <v>30</v>
      </c>
      <c r="E71" s="49" t="s">
        <v>203</v>
      </c>
      <c r="F71" s="49" t="s">
        <v>204</v>
      </c>
      <c r="G71" s="50" t="s">
        <v>313</v>
      </c>
      <c r="H71" s="49" t="s">
        <v>303</v>
      </c>
      <c r="I71" s="49" t="s">
        <v>231</v>
      </c>
      <c r="J71" s="49" t="s">
        <v>208</v>
      </c>
      <c r="K71" s="49" t="s">
        <v>209</v>
      </c>
      <c r="L71" s="49" t="s">
        <v>1069</v>
      </c>
      <c r="M71" s="49" t="s">
        <v>1070</v>
      </c>
      <c r="N71" s="49" t="s">
        <v>1071</v>
      </c>
      <c r="O71" s="49"/>
      <c r="P71" s="49"/>
      <c r="Q71" s="49" t="s">
        <v>1072</v>
      </c>
      <c r="R71" s="49" t="s">
        <v>213</v>
      </c>
      <c r="S71" s="49"/>
      <c r="T71" s="51" t="str">
        <f t="shared" si="1"/>
        <v>Sí</v>
      </c>
    </row>
    <row r="72" spans="1:20" ht="31.5" customHeight="1" x14ac:dyDescent="0.2">
      <c r="A72" s="48" t="s">
        <v>1116</v>
      </c>
      <c r="B72" s="48" t="s">
        <v>1117</v>
      </c>
      <c r="C72" s="49" t="s">
        <v>1118</v>
      </c>
      <c r="D72" s="49" t="s">
        <v>30</v>
      </c>
      <c r="E72" s="49" t="s">
        <v>203</v>
      </c>
      <c r="F72" s="49" t="s">
        <v>204</v>
      </c>
      <c r="G72" s="50" t="s">
        <v>313</v>
      </c>
      <c r="H72" s="49" t="s">
        <v>218</v>
      </c>
      <c r="I72" s="49" t="s">
        <v>499</v>
      </c>
      <c r="J72" s="49" t="s">
        <v>208</v>
      </c>
      <c r="K72" s="49" t="s">
        <v>209</v>
      </c>
      <c r="L72" s="49" t="s">
        <v>1119</v>
      </c>
      <c r="M72" s="49" t="s">
        <v>1120</v>
      </c>
      <c r="N72" s="49" t="s">
        <v>1121</v>
      </c>
      <c r="O72" s="49"/>
      <c r="P72" s="49"/>
      <c r="Q72" s="49" t="s">
        <v>1122</v>
      </c>
      <c r="R72" s="49" t="s">
        <v>225</v>
      </c>
      <c r="S72" s="49"/>
      <c r="T72" s="51" t="str">
        <f>IF(G75="","",IF(OR(G75="Tier 3"),"No",IF(AND(S75&lt;&gt;"",OR(ISNUMBER(SEARCH("OFAC",S75)),ISNUMBER(SEARCH("penal",S75)),ISNUMBER(SEARCH("rojo pendiente",S75)))),"Revisar","Sí")))</f>
        <v>Sí</v>
      </c>
    </row>
    <row r="73" spans="1:20" ht="31.5" customHeight="1" x14ac:dyDescent="0.2">
      <c r="A73" s="48" t="s">
        <v>1131</v>
      </c>
      <c r="B73" s="48" t="s">
        <v>1132</v>
      </c>
      <c r="C73" s="49" t="s">
        <v>1133</v>
      </c>
      <c r="D73" s="49" t="s">
        <v>30</v>
      </c>
      <c r="E73" s="49" t="s">
        <v>203</v>
      </c>
      <c r="F73" s="49" t="s">
        <v>204</v>
      </c>
      <c r="G73" s="50" t="s">
        <v>230</v>
      </c>
      <c r="H73" s="49" t="s">
        <v>218</v>
      </c>
      <c r="I73" s="49" t="s">
        <v>231</v>
      </c>
      <c r="J73" s="49" t="s">
        <v>208</v>
      </c>
      <c r="K73" s="49" t="s">
        <v>209</v>
      </c>
      <c r="L73" s="49" t="s">
        <v>1134</v>
      </c>
      <c r="M73" s="49" t="s">
        <v>1135</v>
      </c>
      <c r="N73" s="49" t="s">
        <v>1136</v>
      </c>
      <c r="O73" s="49"/>
      <c r="P73" s="49"/>
      <c r="Q73" s="49" t="s">
        <v>1137</v>
      </c>
      <c r="R73" s="49" t="s">
        <v>225</v>
      </c>
      <c r="S73" s="49" t="s">
        <v>1138</v>
      </c>
      <c r="T73" s="51" t="s">
        <v>4259</v>
      </c>
    </row>
    <row r="74" spans="1:20" ht="31.5" customHeight="1" x14ac:dyDescent="0.2">
      <c r="A74" s="48" t="s">
        <v>1159</v>
      </c>
      <c r="B74" s="48" t="s">
        <v>1160</v>
      </c>
      <c r="C74" s="49" t="s">
        <v>1161</v>
      </c>
      <c r="D74" s="49" t="s">
        <v>30</v>
      </c>
      <c r="E74" s="49" t="s">
        <v>203</v>
      </c>
      <c r="F74" s="49" t="s">
        <v>204</v>
      </c>
      <c r="G74" s="50" t="s">
        <v>313</v>
      </c>
      <c r="H74" s="49" t="s">
        <v>269</v>
      </c>
      <c r="I74" s="49" t="s">
        <v>1162</v>
      </c>
      <c r="J74" s="49" t="s">
        <v>208</v>
      </c>
      <c r="K74" s="49" t="s">
        <v>209</v>
      </c>
      <c r="L74" s="49" t="s">
        <v>1163</v>
      </c>
      <c r="M74" s="49" t="s">
        <v>1164</v>
      </c>
      <c r="N74" s="49" t="s">
        <v>1165</v>
      </c>
      <c r="O74" s="49" t="s">
        <v>1166</v>
      </c>
      <c r="P74" s="49" t="s">
        <v>1167</v>
      </c>
      <c r="Q74" s="49" t="s">
        <v>1168</v>
      </c>
      <c r="R74" s="49" t="s">
        <v>1169</v>
      </c>
      <c r="S74" s="49" t="s">
        <v>1170</v>
      </c>
      <c r="T74" s="51" t="s">
        <v>4259</v>
      </c>
    </row>
    <row r="75" spans="1:20" ht="31.5" customHeight="1" x14ac:dyDescent="0.2">
      <c r="A75" s="48" t="s">
        <v>1235</v>
      </c>
      <c r="B75" s="48" t="s">
        <v>1236</v>
      </c>
      <c r="C75" s="49" t="s">
        <v>1237</v>
      </c>
      <c r="D75" s="49" t="s">
        <v>30</v>
      </c>
      <c r="E75" s="49" t="s">
        <v>203</v>
      </c>
      <c r="F75" s="49" t="s">
        <v>204</v>
      </c>
      <c r="G75" s="50" t="s">
        <v>230</v>
      </c>
      <c r="H75" s="49" t="s">
        <v>206</v>
      </c>
      <c r="I75" s="49" t="s">
        <v>231</v>
      </c>
      <c r="J75" s="49" t="s">
        <v>208</v>
      </c>
      <c r="K75" s="49" t="s">
        <v>209</v>
      </c>
      <c r="L75" s="49" t="s">
        <v>1238</v>
      </c>
      <c r="M75" s="49" t="s">
        <v>1239</v>
      </c>
      <c r="N75" s="49" t="s">
        <v>1240</v>
      </c>
      <c r="O75" s="49"/>
      <c r="P75" s="49"/>
      <c r="Q75" s="49" t="s">
        <v>1241</v>
      </c>
      <c r="R75" s="49" t="s">
        <v>225</v>
      </c>
      <c r="S75" s="49"/>
      <c r="T75" s="51" t="str">
        <f>IF(G80="","",IF(OR(G80="Tier 3"),"No",IF(AND(S80&lt;&gt;"",OR(ISNUMBER(SEARCH("OFAC",S80)),ISNUMBER(SEARCH("penal",S80)),ISNUMBER(SEARCH("rojo pendiente",S80)))),"Revisar","Sí")))</f>
        <v>No</v>
      </c>
    </row>
    <row r="76" spans="1:20" ht="31.5" customHeight="1" x14ac:dyDescent="0.2">
      <c r="A76" s="48" t="s">
        <v>1289</v>
      </c>
      <c r="B76" s="48" t="s">
        <v>1290</v>
      </c>
      <c r="C76" s="49" t="s">
        <v>1291</v>
      </c>
      <c r="D76" s="49" t="s">
        <v>30</v>
      </c>
      <c r="E76" s="49" t="s">
        <v>203</v>
      </c>
      <c r="F76" s="49" t="s">
        <v>204</v>
      </c>
      <c r="G76" s="50" t="s">
        <v>313</v>
      </c>
      <c r="H76" s="49" t="s">
        <v>303</v>
      </c>
      <c r="I76" s="49" t="s">
        <v>231</v>
      </c>
      <c r="J76" s="49" t="s">
        <v>208</v>
      </c>
      <c r="K76" s="49" t="s">
        <v>209</v>
      </c>
      <c r="L76" s="49" t="s">
        <v>1292</v>
      </c>
      <c r="M76" s="49" t="s">
        <v>1293</v>
      </c>
      <c r="N76" s="49" t="s">
        <v>1294</v>
      </c>
      <c r="O76" s="49"/>
      <c r="P76" s="49"/>
      <c r="Q76" s="49" t="s">
        <v>1295</v>
      </c>
      <c r="R76" s="49" t="s">
        <v>225</v>
      </c>
      <c r="S76" s="49"/>
      <c r="T76" s="51" t="s">
        <v>4259</v>
      </c>
    </row>
    <row r="77" spans="1:20" ht="31.5" customHeight="1" x14ac:dyDescent="0.2">
      <c r="A77" s="48" t="s">
        <v>1326</v>
      </c>
      <c r="B77" s="48" t="s">
        <v>1327</v>
      </c>
      <c r="C77" s="49" t="s">
        <v>1328</v>
      </c>
      <c r="D77" s="49" t="s">
        <v>30</v>
      </c>
      <c r="E77" s="49" t="s">
        <v>203</v>
      </c>
      <c r="F77" s="49" t="s">
        <v>204</v>
      </c>
      <c r="G77" s="50" t="s">
        <v>313</v>
      </c>
      <c r="H77" s="49" t="s">
        <v>218</v>
      </c>
      <c r="I77" s="49" t="s">
        <v>499</v>
      </c>
      <c r="J77" s="49" t="s">
        <v>208</v>
      </c>
      <c r="K77" s="49" t="s">
        <v>209</v>
      </c>
      <c r="L77" s="49" t="s">
        <v>1329</v>
      </c>
      <c r="M77" s="49" t="s">
        <v>1330</v>
      </c>
      <c r="N77" s="49" t="s">
        <v>1331</v>
      </c>
      <c r="O77" s="49"/>
      <c r="P77" s="49"/>
      <c r="Q77" s="49" t="s">
        <v>1332</v>
      </c>
      <c r="R77" s="49" t="s">
        <v>225</v>
      </c>
      <c r="S77" s="49"/>
      <c r="T77" s="51" t="str">
        <f>IF(G82="","",IF(OR(G82="Tier 3"),"No",IF(AND(S82&lt;&gt;"",OR(ISNUMBER(SEARCH("OFAC",S82)),ISNUMBER(SEARCH("penal",S82)),ISNUMBER(SEARCH("rojo pendiente",S82)))),"Revisar","Sí")))</f>
        <v>Sí</v>
      </c>
    </row>
    <row r="78" spans="1:20" ht="31.5" customHeight="1" x14ac:dyDescent="0.2">
      <c r="A78" s="48" t="s">
        <v>1340</v>
      </c>
      <c r="B78" s="48" t="s">
        <v>1341</v>
      </c>
      <c r="C78" s="49" t="s">
        <v>1342</v>
      </c>
      <c r="D78" s="49" t="s">
        <v>30</v>
      </c>
      <c r="E78" s="49"/>
      <c r="F78" s="49" t="s">
        <v>204</v>
      </c>
      <c r="G78" s="50" t="s">
        <v>230</v>
      </c>
      <c r="H78" s="49" t="s">
        <v>1343</v>
      </c>
      <c r="I78" s="49" t="s">
        <v>1344</v>
      </c>
      <c r="J78" s="49" t="s">
        <v>208</v>
      </c>
      <c r="K78" s="49" t="s">
        <v>271</v>
      </c>
      <c r="L78" s="49" t="s">
        <v>1345</v>
      </c>
      <c r="M78" s="49" t="s">
        <v>1346</v>
      </c>
      <c r="N78" s="49" t="s">
        <v>1347</v>
      </c>
      <c r="O78" s="49"/>
      <c r="P78" s="49"/>
      <c r="Q78" s="49" t="s">
        <v>1348</v>
      </c>
      <c r="R78" s="49" t="s">
        <v>225</v>
      </c>
      <c r="S78" s="49"/>
      <c r="T78" s="51" t="str">
        <f>IF(G84="","",IF(OR(G84="Tier 3"),"No",IF(AND(S84&lt;&gt;"",OR(ISNUMBER(SEARCH("OFAC",S84)),ISNUMBER(SEARCH("penal",S84)),ISNUMBER(SEARCH("rojo pendiente",S84)))),"Revisar","Sí")))</f>
        <v>No</v>
      </c>
    </row>
    <row r="79" spans="1:20" ht="31.5" customHeight="1" x14ac:dyDescent="0.2">
      <c r="A79" s="48" t="s">
        <v>1409</v>
      </c>
      <c r="B79" s="48" t="s">
        <v>1410</v>
      </c>
      <c r="C79" s="49" t="s">
        <v>1411</v>
      </c>
      <c r="D79" s="49" t="s">
        <v>30</v>
      </c>
      <c r="E79" s="49" t="s">
        <v>203</v>
      </c>
      <c r="F79" s="49" t="s">
        <v>204</v>
      </c>
      <c r="G79" s="50" t="s">
        <v>313</v>
      </c>
      <c r="H79" s="49" t="s">
        <v>303</v>
      </c>
      <c r="I79" s="49" t="s">
        <v>1162</v>
      </c>
      <c r="J79" s="49" t="s">
        <v>208</v>
      </c>
      <c r="K79" s="49" t="s">
        <v>209</v>
      </c>
      <c r="L79" s="49" t="s">
        <v>1412</v>
      </c>
      <c r="M79" s="49" t="s">
        <v>1413</v>
      </c>
      <c r="N79" s="49" t="s">
        <v>1414</v>
      </c>
      <c r="O79" s="49"/>
      <c r="P79" s="49"/>
      <c r="Q79" s="49" t="s">
        <v>1415</v>
      </c>
      <c r="R79" s="49" t="s">
        <v>225</v>
      </c>
      <c r="S79" s="49"/>
      <c r="T79" s="51" t="s">
        <v>4259</v>
      </c>
    </row>
    <row r="80" spans="1:20" ht="31.5" customHeight="1" x14ac:dyDescent="0.2">
      <c r="A80" s="48" t="s">
        <v>1442</v>
      </c>
      <c r="B80" s="48" t="s">
        <v>1443</v>
      </c>
      <c r="C80" s="49" t="s">
        <v>1444</v>
      </c>
      <c r="D80" s="49" t="s">
        <v>30</v>
      </c>
      <c r="E80" s="49" t="s">
        <v>203</v>
      </c>
      <c r="F80" s="49" t="s">
        <v>204</v>
      </c>
      <c r="G80" s="50" t="s">
        <v>313</v>
      </c>
      <c r="H80" s="49" t="s">
        <v>218</v>
      </c>
      <c r="I80" s="49" t="s">
        <v>231</v>
      </c>
      <c r="J80" s="49" t="s">
        <v>208</v>
      </c>
      <c r="K80" s="49" t="s">
        <v>209</v>
      </c>
      <c r="L80" s="49" t="s">
        <v>1445</v>
      </c>
      <c r="M80" s="49" t="s">
        <v>1446</v>
      </c>
      <c r="N80" s="49" t="s">
        <v>1447</v>
      </c>
      <c r="O80" s="49"/>
      <c r="P80" s="49"/>
      <c r="Q80" s="49" t="s">
        <v>1448</v>
      </c>
      <c r="R80" s="49" t="s">
        <v>225</v>
      </c>
      <c r="S80" s="49"/>
      <c r="T80" s="51" t="str">
        <f>IF(G86="","",IF(OR(G86="Tier 3"),"No",IF(AND(S86&lt;&gt;"",OR(ISNUMBER(SEARCH("OFAC",S86)),ISNUMBER(SEARCH("penal",S86)),ISNUMBER(SEARCH("rojo pendiente",S86)))),"Revisar","Sí")))</f>
        <v>Sí</v>
      </c>
    </row>
    <row r="81" spans="1:20" ht="31.5" customHeight="1" x14ac:dyDescent="0.2">
      <c r="A81" s="48" t="s">
        <v>1474</v>
      </c>
      <c r="B81" s="48" t="s">
        <v>1475</v>
      </c>
      <c r="C81" s="49" t="s">
        <v>1476</v>
      </c>
      <c r="D81" s="49" t="s">
        <v>30</v>
      </c>
      <c r="E81" s="49" t="s">
        <v>203</v>
      </c>
      <c r="F81" s="49" t="s">
        <v>204</v>
      </c>
      <c r="G81" s="50" t="s">
        <v>230</v>
      </c>
      <c r="H81" s="49" t="s">
        <v>269</v>
      </c>
      <c r="I81" s="49" t="s">
        <v>1477</v>
      </c>
      <c r="J81" s="49" t="s">
        <v>208</v>
      </c>
      <c r="K81" s="49" t="s">
        <v>209</v>
      </c>
      <c r="L81" s="49" t="s">
        <v>1478</v>
      </c>
      <c r="M81" s="49" t="s">
        <v>1479</v>
      </c>
      <c r="N81" s="49" t="s">
        <v>1480</v>
      </c>
      <c r="O81" s="49"/>
      <c r="P81" s="49"/>
      <c r="Q81" s="49" t="s">
        <v>1481</v>
      </c>
      <c r="R81" s="49" t="s">
        <v>213</v>
      </c>
      <c r="S81" s="49" t="s">
        <v>1482</v>
      </c>
      <c r="T81" s="51" t="str">
        <f>IF(G87="","",IF(OR(G87="Tier 3"),"No",IF(AND(S87&lt;&gt;"",OR(ISNUMBER(SEARCH("OFAC",S87)),ISNUMBER(SEARCH("penal",S87)),ISNUMBER(SEARCH("rojo pendiente",S87)))),"Revisar","Sí")))</f>
        <v>Sí</v>
      </c>
    </row>
    <row r="82" spans="1:20" ht="31.5" customHeight="1" x14ac:dyDescent="0.2">
      <c r="A82" s="48" t="s">
        <v>1483</v>
      </c>
      <c r="B82" s="48" t="s">
        <v>1484</v>
      </c>
      <c r="C82" s="49" t="s">
        <v>1485</v>
      </c>
      <c r="D82" s="49" t="s">
        <v>30</v>
      </c>
      <c r="E82" s="49" t="s">
        <v>48</v>
      </c>
      <c r="F82" s="49" t="s">
        <v>204</v>
      </c>
      <c r="G82" s="50" t="s">
        <v>230</v>
      </c>
      <c r="H82" s="49" t="s">
        <v>303</v>
      </c>
      <c r="I82" s="49" t="s">
        <v>269</v>
      </c>
      <c r="J82" s="49"/>
      <c r="K82" s="49" t="s">
        <v>394</v>
      </c>
      <c r="L82" s="49" t="s">
        <v>1486</v>
      </c>
      <c r="M82" s="49" t="s">
        <v>1487</v>
      </c>
      <c r="N82" s="49" t="s">
        <v>1488</v>
      </c>
      <c r="O82" s="49"/>
      <c r="P82" s="49" t="s">
        <v>1489</v>
      </c>
      <c r="Q82" s="49" t="s">
        <v>1490</v>
      </c>
      <c r="R82" s="49" t="s">
        <v>225</v>
      </c>
      <c r="S82" s="49"/>
      <c r="T82" s="51" t="str">
        <f>IF(G88="","",IF(OR(G88="Tier 3"),"No",IF(AND(S88&lt;&gt;"",OR(ISNUMBER(SEARCH("OFAC",S88)),ISNUMBER(SEARCH("penal",S88)),ISNUMBER(SEARCH("rojo pendiente",S88)))),"Revisar","Sí")))</f>
        <v>Sí</v>
      </c>
    </row>
    <row r="83" spans="1:20" ht="31.5" customHeight="1" x14ac:dyDescent="0.2">
      <c r="A83" s="48" t="s">
        <v>912</v>
      </c>
      <c r="B83" s="48" t="s">
        <v>913</v>
      </c>
      <c r="C83" s="49" t="s">
        <v>914</v>
      </c>
      <c r="D83" s="49" t="s">
        <v>36</v>
      </c>
      <c r="E83" s="49"/>
      <c r="F83" s="49" t="s">
        <v>915</v>
      </c>
      <c r="G83" s="50" t="s">
        <v>313</v>
      </c>
      <c r="H83" s="49" t="s">
        <v>269</v>
      </c>
      <c r="I83" s="49" t="s">
        <v>371</v>
      </c>
      <c r="J83" s="49" t="s">
        <v>351</v>
      </c>
      <c r="K83" s="49" t="s">
        <v>293</v>
      </c>
      <c r="L83" s="49" t="s">
        <v>916</v>
      </c>
      <c r="M83" s="49" t="s">
        <v>917</v>
      </c>
      <c r="N83" s="49" t="s">
        <v>918</v>
      </c>
      <c r="O83" s="49"/>
      <c r="P83" s="49"/>
      <c r="Q83" s="49" t="s">
        <v>919</v>
      </c>
      <c r="R83" s="49" t="s">
        <v>225</v>
      </c>
      <c r="S83" s="49"/>
      <c r="T83" s="51" t="s">
        <v>1530</v>
      </c>
    </row>
    <row r="84" spans="1:20" ht="31.5" customHeight="1" x14ac:dyDescent="0.2">
      <c r="A84" s="48" t="s">
        <v>1101</v>
      </c>
      <c r="B84" s="48" t="s">
        <v>1102</v>
      </c>
      <c r="C84" s="49" t="s">
        <v>1103</v>
      </c>
      <c r="D84" s="49" t="s">
        <v>36</v>
      </c>
      <c r="E84" s="49"/>
      <c r="F84" s="49" t="s">
        <v>350</v>
      </c>
      <c r="G84" s="50" t="s">
        <v>313</v>
      </c>
      <c r="H84" s="49" t="s">
        <v>269</v>
      </c>
      <c r="I84" s="49" t="s">
        <v>1104</v>
      </c>
      <c r="J84" s="49" t="s">
        <v>351</v>
      </c>
      <c r="K84" s="49" t="s">
        <v>293</v>
      </c>
      <c r="L84" s="49" t="s">
        <v>1105</v>
      </c>
      <c r="M84" s="49" t="s">
        <v>1106</v>
      </c>
      <c r="N84" s="49" t="s">
        <v>1107</v>
      </c>
      <c r="O84" s="49"/>
      <c r="P84" s="49"/>
      <c r="Q84" s="49" t="s">
        <v>1108</v>
      </c>
      <c r="R84" s="49" t="s">
        <v>225</v>
      </c>
      <c r="S84" s="49"/>
      <c r="T84" s="51" t="s">
        <v>4259</v>
      </c>
    </row>
    <row r="85" spans="1:20" ht="31.5" customHeight="1" x14ac:dyDescent="0.2">
      <c r="A85" s="48" t="s">
        <v>1139</v>
      </c>
      <c r="B85" s="48" t="s">
        <v>1140</v>
      </c>
      <c r="C85" s="49" t="s">
        <v>1141</v>
      </c>
      <c r="D85" s="49" t="s">
        <v>36</v>
      </c>
      <c r="E85" s="49"/>
      <c r="F85" s="49" t="s">
        <v>350</v>
      </c>
      <c r="G85" s="50" t="s">
        <v>230</v>
      </c>
      <c r="H85" s="49" t="s">
        <v>218</v>
      </c>
      <c r="I85" s="49" t="s">
        <v>1142</v>
      </c>
      <c r="J85" s="49" t="s">
        <v>351</v>
      </c>
      <c r="K85" s="49" t="s">
        <v>835</v>
      </c>
      <c r="L85" s="49" t="s">
        <v>1143</v>
      </c>
      <c r="M85" s="49" t="s">
        <v>1144</v>
      </c>
      <c r="N85" s="49" t="s">
        <v>1145</v>
      </c>
      <c r="O85" s="49"/>
      <c r="P85" s="49" t="s">
        <v>1146</v>
      </c>
      <c r="Q85" s="49" t="s">
        <v>1147</v>
      </c>
      <c r="R85" s="49" t="s">
        <v>225</v>
      </c>
      <c r="S85" s="49" t="s">
        <v>1148</v>
      </c>
      <c r="T85" s="51" t="s">
        <v>4259</v>
      </c>
    </row>
    <row r="86" spans="1:20" ht="31.5" customHeight="1" x14ac:dyDescent="0.2">
      <c r="A86" s="48" t="s">
        <v>1206</v>
      </c>
      <c r="B86" s="48" t="s">
        <v>1207</v>
      </c>
      <c r="C86" s="49" t="s">
        <v>1208</v>
      </c>
      <c r="D86" s="49" t="s">
        <v>36</v>
      </c>
      <c r="E86" s="49"/>
      <c r="F86" s="49" t="s">
        <v>350</v>
      </c>
      <c r="G86" s="50" t="s">
        <v>205</v>
      </c>
      <c r="H86" s="49" t="s">
        <v>269</v>
      </c>
      <c r="I86" s="49" t="s">
        <v>1209</v>
      </c>
      <c r="J86" s="49" t="s">
        <v>351</v>
      </c>
      <c r="K86" s="49" t="s">
        <v>209</v>
      </c>
      <c r="L86" s="49" t="s">
        <v>1210</v>
      </c>
      <c r="M86" s="49" t="s">
        <v>1211</v>
      </c>
      <c r="N86" s="49" t="s">
        <v>1212</v>
      </c>
      <c r="O86" s="49"/>
      <c r="P86" s="49" t="s">
        <v>1213</v>
      </c>
      <c r="Q86" s="49" t="s">
        <v>1214</v>
      </c>
      <c r="R86" s="49" t="s">
        <v>225</v>
      </c>
      <c r="S86" s="49" t="s">
        <v>1215</v>
      </c>
      <c r="T86" s="51" t="str">
        <f>IF(G89="","",IF(OR(G89="Tier 3"),"No",IF(AND(S89&lt;&gt;"",OR(ISNUMBER(SEARCH("OFAC",S89)),ISNUMBER(SEARCH("penal",S89)),ISNUMBER(SEARCH("rojo pendiente",S89)))),"Revisar","Sí")))</f>
        <v>Sí</v>
      </c>
    </row>
    <row r="87" spans="1:20" ht="31.5" customHeight="1" x14ac:dyDescent="0.2">
      <c r="A87" s="48" t="s">
        <v>1216</v>
      </c>
      <c r="B87" s="48" t="s">
        <v>1217</v>
      </c>
      <c r="C87" s="49" t="s">
        <v>1218</v>
      </c>
      <c r="D87" s="49" t="s">
        <v>36</v>
      </c>
      <c r="E87" s="49"/>
      <c r="F87" s="49" t="s">
        <v>1219</v>
      </c>
      <c r="G87" s="50" t="s">
        <v>205</v>
      </c>
      <c r="H87" s="49" t="s">
        <v>269</v>
      </c>
      <c r="I87" s="49" t="s">
        <v>371</v>
      </c>
      <c r="J87" s="49" t="s">
        <v>351</v>
      </c>
      <c r="K87" s="49" t="s">
        <v>209</v>
      </c>
      <c r="L87" s="49" t="s">
        <v>1220</v>
      </c>
      <c r="M87" s="49" t="s">
        <v>1221</v>
      </c>
      <c r="N87" s="49" t="s">
        <v>1222</v>
      </c>
      <c r="O87" s="49"/>
      <c r="P87" s="49" t="s">
        <v>1223</v>
      </c>
      <c r="Q87" s="49" t="s">
        <v>1224</v>
      </c>
      <c r="R87" s="49" t="s">
        <v>225</v>
      </c>
      <c r="S87" s="49" t="s">
        <v>1225</v>
      </c>
      <c r="T87" s="51" t="str">
        <f>IF(G91="","",IF(OR(G91="Tier 3"),"No",IF(AND(S91&lt;&gt;"",OR(ISNUMBER(SEARCH("OFAC",S91)),ISNUMBER(SEARCH("penal",S91)),ISNUMBER(SEARCH("rojo pendiente",S91)))),"Revisar","Sí")))</f>
        <v>Sí</v>
      </c>
    </row>
    <row r="88" spans="1:20" ht="31.5" customHeight="1" x14ac:dyDescent="0.2">
      <c r="A88" s="48" t="s">
        <v>1249</v>
      </c>
      <c r="B88" s="48" t="s">
        <v>1250</v>
      </c>
      <c r="C88" s="49" t="s">
        <v>1251</v>
      </c>
      <c r="D88" s="49" t="s">
        <v>36</v>
      </c>
      <c r="E88" s="49"/>
      <c r="F88" s="49" t="s">
        <v>1252</v>
      </c>
      <c r="G88" s="50" t="s">
        <v>230</v>
      </c>
      <c r="H88" s="49" t="s">
        <v>218</v>
      </c>
      <c r="I88" s="49" t="s">
        <v>1253</v>
      </c>
      <c r="J88" s="49" t="s">
        <v>351</v>
      </c>
      <c r="K88" s="49" t="s">
        <v>209</v>
      </c>
      <c r="L88" s="49" t="s">
        <v>1254</v>
      </c>
      <c r="M88" s="49" t="s">
        <v>1255</v>
      </c>
      <c r="N88" s="49" t="s">
        <v>1256</v>
      </c>
      <c r="O88" s="49"/>
      <c r="P88" s="49" t="s">
        <v>1257</v>
      </c>
      <c r="Q88" s="49" t="s">
        <v>1258</v>
      </c>
      <c r="R88" s="49" t="s">
        <v>225</v>
      </c>
      <c r="S88" s="49"/>
      <c r="T88" s="51" t="s">
        <v>4259</v>
      </c>
    </row>
    <row r="89" spans="1:20" ht="31.5" customHeight="1" x14ac:dyDescent="0.2">
      <c r="A89" s="48" t="s">
        <v>1349</v>
      </c>
      <c r="B89" s="48" t="s">
        <v>1350</v>
      </c>
      <c r="C89" s="49" t="s">
        <v>1351</v>
      </c>
      <c r="D89" s="49" t="s">
        <v>36</v>
      </c>
      <c r="E89" s="49"/>
      <c r="F89" s="49" t="s">
        <v>1252</v>
      </c>
      <c r="G89" s="50" t="s">
        <v>230</v>
      </c>
      <c r="H89" s="49" t="s">
        <v>269</v>
      </c>
      <c r="I89" s="49" t="s">
        <v>1352</v>
      </c>
      <c r="J89" s="49" t="s">
        <v>351</v>
      </c>
      <c r="K89" s="49" t="s">
        <v>209</v>
      </c>
      <c r="L89" s="49" t="s">
        <v>1353</v>
      </c>
      <c r="M89" s="49" t="s">
        <v>1354</v>
      </c>
      <c r="N89" s="49" t="s">
        <v>1355</v>
      </c>
      <c r="O89" s="49"/>
      <c r="P89" s="49"/>
      <c r="Q89" s="49" t="s">
        <v>1356</v>
      </c>
      <c r="R89" s="49" t="s">
        <v>225</v>
      </c>
      <c r="S89" s="49"/>
      <c r="T89" s="51" t="str">
        <f>IF(G95="","",IF(OR(G95="Tier 3"),"No",IF(AND(S95&lt;&gt;"",OR(ISNUMBER(SEARCH("OFAC",S95)),ISNUMBER(SEARCH("penal",S95)),ISNUMBER(SEARCH("rojo pendiente",S95)))),"Revisar","Sí")))</f>
        <v>Sí</v>
      </c>
    </row>
    <row r="90" spans="1:20" ht="31.5" customHeight="1" x14ac:dyDescent="0.2">
      <c r="A90" s="48" t="s">
        <v>1357</v>
      </c>
      <c r="B90" s="48" t="s">
        <v>1358</v>
      </c>
      <c r="C90" s="49" t="s">
        <v>1359</v>
      </c>
      <c r="D90" s="49" t="s">
        <v>36</v>
      </c>
      <c r="E90" s="49"/>
      <c r="F90" s="49" t="s">
        <v>1252</v>
      </c>
      <c r="G90" s="50" t="s">
        <v>313</v>
      </c>
      <c r="H90" s="49" t="s">
        <v>206</v>
      </c>
      <c r="I90" s="49" t="s">
        <v>1360</v>
      </c>
      <c r="J90" s="49" t="s">
        <v>351</v>
      </c>
      <c r="K90" s="49" t="s">
        <v>209</v>
      </c>
      <c r="L90" s="49" t="s">
        <v>1361</v>
      </c>
      <c r="M90" s="49" t="s">
        <v>1362</v>
      </c>
      <c r="N90" s="49" t="s">
        <v>1363</v>
      </c>
      <c r="O90" s="49"/>
      <c r="P90" s="49"/>
      <c r="Q90" s="49" t="s">
        <v>1364</v>
      </c>
      <c r="R90" s="49" t="s">
        <v>213</v>
      </c>
      <c r="S90" s="49"/>
      <c r="T90" s="51" t="str">
        <f>IF(G96="","",IF(OR(G96="Tier 3"),"No",IF(AND(S96&lt;&gt;"",OR(ISNUMBER(SEARCH("OFAC",S96)),ISNUMBER(SEARCH("penal",S96)),ISNUMBER(SEARCH("rojo pendiente",S96)))),"Revisar","Sí")))</f>
        <v>Sí</v>
      </c>
    </row>
    <row r="91" spans="1:20" ht="31.5" customHeight="1" x14ac:dyDescent="0.2">
      <c r="A91" s="48" t="s">
        <v>1365</v>
      </c>
      <c r="B91" s="48" t="s">
        <v>1366</v>
      </c>
      <c r="C91" s="49" t="s">
        <v>1367</v>
      </c>
      <c r="D91" s="49" t="s">
        <v>36</v>
      </c>
      <c r="E91" s="49"/>
      <c r="F91" s="49" t="s">
        <v>1219</v>
      </c>
      <c r="G91" s="50" t="s">
        <v>230</v>
      </c>
      <c r="H91" s="49" t="s">
        <v>269</v>
      </c>
      <c r="I91" s="49" t="s">
        <v>371</v>
      </c>
      <c r="J91" s="49" t="s">
        <v>351</v>
      </c>
      <c r="K91" s="49" t="s">
        <v>293</v>
      </c>
      <c r="L91" s="49" t="s">
        <v>1368</v>
      </c>
      <c r="M91" s="49" t="s">
        <v>1369</v>
      </c>
      <c r="N91" s="49" t="s">
        <v>1370</v>
      </c>
      <c r="O91" s="49"/>
      <c r="P91" s="49"/>
      <c r="Q91" s="49" t="s">
        <v>1371</v>
      </c>
      <c r="R91" s="49" t="s">
        <v>213</v>
      </c>
      <c r="S91" s="49" t="s">
        <v>512</v>
      </c>
      <c r="T91" s="51" t="str">
        <f>IF(G97="","",IF(OR(G97="Tier 3"),"No",IF(AND(S97&lt;&gt;"",OR(ISNUMBER(SEARCH("OFAC",S97)),ISNUMBER(SEARCH("penal",S97)),ISNUMBER(SEARCH("rojo pendiente",S97)))),"Revisar","Sí")))</f>
        <v>Revisar</v>
      </c>
    </row>
    <row r="92" spans="1:20" ht="31.5" customHeight="1" x14ac:dyDescent="0.2">
      <c r="A92" s="48" t="s">
        <v>1391</v>
      </c>
      <c r="B92" s="48" t="s">
        <v>1392</v>
      </c>
      <c r="C92" s="49" t="s">
        <v>1393</v>
      </c>
      <c r="D92" s="49" t="s">
        <v>36</v>
      </c>
      <c r="E92" s="49"/>
      <c r="F92" s="49" t="s">
        <v>1252</v>
      </c>
      <c r="G92" s="50" t="s">
        <v>205</v>
      </c>
      <c r="H92" s="49" t="s">
        <v>218</v>
      </c>
      <c r="I92" s="49" t="s">
        <v>1394</v>
      </c>
      <c r="J92" s="49" t="s">
        <v>351</v>
      </c>
      <c r="K92" s="49" t="s">
        <v>209</v>
      </c>
      <c r="L92" s="49" t="s">
        <v>1395</v>
      </c>
      <c r="M92" s="49" t="s">
        <v>1396</v>
      </c>
      <c r="N92" s="49" t="s">
        <v>1397</v>
      </c>
      <c r="O92" s="49"/>
      <c r="P92" s="49" t="s">
        <v>1398</v>
      </c>
      <c r="Q92" s="49" t="s">
        <v>1399</v>
      </c>
      <c r="R92" s="49" t="s">
        <v>225</v>
      </c>
      <c r="S92" s="49"/>
      <c r="T92" s="51" t="s">
        <v>4259</v>
      </c>
    </row>
    <row r="93" spans="1:20" ht="31.5" customHeight="1" x14ac:dyDescent="0.2">
      <c r="A93" s="48" t="s">
        <v>1400</v>
      </c>
      <c r="B93" s="48" t="s">
        <v>1401</v>
      </c>
      <c r="C93" s="49" t="s">
        <v>1402</v>
      </c>
      <c r="D93" s="49" t="s">
        <v>36</v>
      </c>
      <c r="E93" s="49"/>
      <c r="F93" s="49" t="s">
        <v>1252</v>
      </c>
      <c r="G93" s="50" t="s">
        <v>230</v>
      </c>
      <c r="H93" s="49" t="s">
        <v>476</v>
      </c>
      <c r="I93" s="49" t="s">
        <v>1403</v>
      </c>
      <c r="J93" s="49" t="s">
        <v>351</v>
      </c>
      <c r="K93" s="49" t="s">
        <v>209</v>
      </c>
      <c r="L93" s="49" t="s">
        <v>1404</v>
      </c>
      <c r="M93" s="49" t="s">
        <v>1405</v>
      </c>
      <c r="N93" s="49" t="s">
        <v>1406</v>
      </c>
      <c r="O93" s="49"/>
      <c r="P93" s="49" t="s">
        <v>1407</v>
      </c>
      <c r="Q93" s="49" t="s">
        <v>1408</v>
      </c>
      <c r="R93" s="49" t="s">
        <v>225</v>
      </c>
      <c r="S93" s="49"/>
      <c r="T93" s="51" t="s">
        <v>4259</v>
      </c>
    </row>
    <row r="94" spans="1:20" ht="31.5" customHeight="1" x14ac:dyDescent="0.2">
      <c r="A94" s="48" t="s">
        <v>1491</v>
      </c>
      <c r="B94" s="48" t="s">
        <v>1492</v>
      </c>
      <c r="C94" s="49" t="s">
        <v>1493</v>
      </c>
      <c r="D94" s="49" t="s">
        <v>36</v>
      </c>
      <c r="E94" s="49" t="s">
        <v>39</v>
      </c>
      <c r="F94" s="49" t="s">
        <v>1219</v>
      </c>
      <c r="G94" s="50" t="s">
        <v>205</v>
      </c>
      <c r="H94" s="49" t="s">
        <v>303</v>
      </c>
      <c r="I94" s="49" t="s">
        <v>1494</v>
      </c>
      <c r="J94" s="49" t="s">
        <v>351</v>
      </c>
      <c r="K94" s="49" t="s">
        <v>293</v>
      </c>
      <c r="L94" s="49" t="s">
        <v>1495</v>
      </c>
      <c r="M94" s="49" t="s">
        <v>1496</v>
      </c>
      <c r="N94" s="49" t="s">
        <v>1497</v>
      </c>
      <c r="O94" s="49"/>
      <c r="P94" s="49" t="s">
        <v>1498</v>
      </c>
      <c r="Q94" s="49" t="s">
        <v>1499</v>
      </c>
      <c r="R94" s="49" t="s">
        <v>225</v>
      </c>
      <c r="S94" s="49"/>
      <c r="T94" s="51" t="str">
        <f>IF(G100="","",IF(OR(G100="Tier 3"),"No",IF(AND(S100&lt;&gt;"",OR(ISNUMBER(SEARCH("OFAC",S100)),ISNUMBER(SEARCH("penal",S100)),ISNUMBER(SEARCH("rojo pendiente",S100)))),"Revisar","Sí")))</f>
        <v>Sí</v>
      </c>
    </row>
    <row r="95" spans="1:20" ht="31.5" customHeight="1" x14ac:dyDescent="0.2">
      <c r="A95" s="48" t="s">
        <v>264</v>
      </c>
      <c r="B95" s="48" t="s">
        <v>265</v>
      </c>
      <c r="C95" s="49" t="s">
        <v>266</v>
      </c>
      <c r="D95" s="49" t="s">
        <v>39</v>
      </c>
      <c r="E95" s="49" t="s">
        <v>267</v>
      </c>
      <c r="F95" s="49" t="s">
        <v>268</v>
      </c>
      <c r="G95" s="50" t="s">
        <v>230</v>
      </c>
      <c r="H95" s="49" t="s">
        <v>269</v>
      </c>
      <c r="I95" s="49" t="s">
        <v>231</v>
      </c>
      <c r="J95" s="49" t="s">
        <v>270</v>
      </c>
      <c r="K95" s="49" t="s">
        <v>271</v>
      </c>
      <c r="L95" s="49" t="s">
        <v>272</v>
      </c>
      <c r="M95" s="49" t="s">
        <v>273</v>
      </c>
      <c r="N95" s="49" t="s">
        <v>274</v>
      </c>
      <c r="O95" s="49" t="s">
        <v>275</v>
      </c>
      <c r="P95" s="49" t="s">
        <v>276</v>
      </c>
      <c r="Q95" s="49" t="s">
        <v>277</v>
      </c>
      <c r="R95" s="49" t="s">
        <v>225</v>
      </c>
      <c r="S95" s="49" t="s">
        <v>278</v>
      </c>
      <c r="T95" s="51" t="str">
        <f>IF(G95="","",IF(OR(G95="Tier 3"),"No",IF(AND(S95&lt;&gt;"",OR(ISNUMBER(SEARCH("OFAC",S95)),ISNUMBER(SEARCH("penal",S95)),ISNUMBER(SEARCH("rojo pendiente",S95)))),"Revisar","Sí")))</f>
        <v>Sí</v>
      </c>
    </row>
    <row r="96" spans="1:20" ht="31.5" customHeight="1" x14ac:dyDescent="0.2">
      <c r="A96" s="48" t="s">
        <v>400</v>
      </c>
      <c r="B96" s="48" t="s">
        <v>401</v>
      </c>
      <c r="C96" s="49" t="s">
        <v>402</v>
      </c>
      <c r="D96" s="49" t="s">
        <v>39</v>
      </c>
      <c r="E96" s="49" t="s">
        <v>403</v>
      </c>
      <c r="F96" s="49" t="s">
        <v>404</v>
      </c>
      <c r="G96" s="50" t="s">
        <v>205</v>
      </c>
      <c r="H96" s="49" t="s">
        <v>269</v>
      </c>
      <c r="I96" s="49" t="s">
        <v>371</v>
      </c>
      <c r="J96" s="49" t="s">
        <v>405</v>
      </c>
      <c r="K96" s="49" t="s">
        <v>406</v>
      </c>
      <c r="L96" s="49" t="s">
        <v>407</v>
      </c>
      <c r="M96" s="49" t="s">
        <v>408</v>
      </c>
      <c r="N96" s="49" t="s">
        <v>409</v>
      </c>
      <c r="O96" s="49" t="s">
        <v>410</v>
      </c>
      <c r="P96" s="49" t="s">
        <v>411</v>
      </c>
      <c r="Q96" s="49" t="s">
        <v>412</v>
      </c>
      <c r="R96" s="49" t="s">
        <v>225</v>
      </c>
      <c r="S96" s="49"/>
      <c r="T96" s="51" t="str">
        <f>IF(G96="","",IF(OR(G96="Tier 3"),"No",IF(AND(S96&lt;&gt;"",OR(ISNUMBER(SEARCH("OFAC",S96)),ISNUMBER(SEARCH("penal",S96)),ISNUMBER(SEARCH("rojo pendiente",S96)))),"Revisar","Sí")))</f>
        <v>Sí</v>
      </c>
    </row>
    <row r="97" spans="1:20" ht="31.5" customHeight="1" x14ac:dyDescent="0.2">
      <c r="A97" s="48" t="s">
        <v>528</v>
      </c>
      <c r="B97" s="48" t="s">
        <v>529</v>
      </c>
      <c r="C97" s="49" t="s">
        <v>530</v>
      </c>
      <c r="D97" s="49" t="s">
        <v>39</v>
      </c>
      <c r="E97" s="49" t="s">
        <v>302</v>
      </c>
      <c r="F97" s="49" t="s">
        <v>350</v>
      </c>
      <c r="G97" s="50" t="s">
        <v>230</v>
      </c>
      <c r="H97" s="49" t="s">
        <v>218</v>
      </c>
      <c r="I97" s="49" t="s">
        <v>531</v>
      </c>
      <c r="J97" s="49" t="s">
        <v>270</v>
      </c>
      <c r="K97" s="49" t="s">
        <v>209</v>
      </c>
      <c r="L97" s="49" t="s">
        <v>532</v>
      </c>
      <c r="M97" s="49" t="s">
        <v>533</v>
      </c>
      <c r="N97" s="49" t="s">
        <v>534</v>
      </c>
      <c r="O97" s="49"/>
      <c r="P97" s="49"/>
      <c r="Q97" s="49" t="s">
        <v>535</v>
      </c>
      <c r="R97" s="49" t="s">
        <v>225</v>
      </c>
      <c r="S97" s="49" t="s">
        <v>536</v>
      </c>
      <c r="T97" s="51" t="str">
        <f>IF(G98="","",IF(OR(G98="Tier 3"),"No",IF(AND(S98&lt;&gt;"",OR(ISNUMBER(SEARCH("OFAC",S98)),ISNUMBER(SEARCH("penal",S98)),ISNUMBER(SEARCH("rojo pendiente",S98)))),"Revisar","Sí")))</f>
        <v>Sí</v>
      </c>
    </row>
    <row r="98" spans="1:20" ht="31.5" customHeight="1" x14ac:dyDescent="0.2">
      <c r="A98" s="48" t="s">
        <v>581</v>
      </c>
      <c r="B98" s="48" t="s">
        <v>582</v>
      </c>
      <c r="C98" s="49" t="s">
        <v>583</v>
      </c>
      <c r="D98" s="49" t="s">
        <v>39</v>
      </c>
      <c r="E98" s="49" t="s">
        <v>584</v>
      </c>
      <c r="F98" s="49" t="s">
        <v>404</v>
      </c>
      <c r="G98" s="50" t="s">
        <v>230</v>
      </c>
      <c r="H98" s="49" t="s">
        <v>218</v>
      </c>
      <c r="I98" s="49" t="s">
        <v>585</v>
      </c>
      <c r="J98" s="49" t="s">
        <v>270</v>
      </c>
      <c r="K98" s="49" t="s">
        <v>586</v>
      </c>
      <c r="L98" s="49" t="s">
        <v>587</v>
      </c>
      <c r="M98" s="49" t="s">
        <v>588</v>
      </c>
      <c r="N98" s="49" t="s">
        <v>589</v>
      </c>
      <c r="O98" s="49"/>
      <c r="P98" s="49" t="s">
        <v>590</v>
      </c>
      <c r="Q98" s="49" t="s">
        <v>591</v>
      </c>
      <c r="R98" s="49" t="s">
        <v>225</v>
      </c>
      <c r="S98" s="49"/>
      <c r="T98" s="51" t="str">
        <f>IF(G99="","",IF(OR(G99="Tier 3"),"No",IF(AND(S99&lt;&gt;"",OR(ISNUMBER(SEARCH("OFAC",S99)),ISNUMBER(SEARCH("penal",S99)),ISNUMBER(SEARCH("rojo pendiente",S99)))),"Revisar","Sí")))</f>
        <v>Sí</v>
      </c>
    </row>
    <row r="99" spans="1:20" ht="31.5" customHeight="1" x14ac:dyDescent="0.2">
      <c r="A99" s="48" t="s">
        <v>663</v>
      </c>
      <c r="B99" s="48" t="s">
        <v>664</v>
      </c>
      <c r="C99" s="49" t="s">
        <v>665</v>
      </c>
      <c r="D99" s="49" t="s">
        <v>39</v>
      </c>
      <c r="E99" s="49" t="s">
        <v>311</v>
      </c>
      <c r="F99" s="49" t="s">
        <v>350</v>
      </c>
      <c r="G99" s="50" t="s">
        <v>230</v>
      </c>
      <c r="H99" s="49" t="s">
        <v>303</v>
      </c>
      <c r="I99" s="49" t="s">
        <v>371</v>
      </c>
      <c r="J99" s="49" t="s">
        <v>270</v>
      </c>
      <c r="K99" s="49" t="s">
        <v>293</v>
      </c>
      <c r="L99" s="49" t="s">
        <v>666</v>
      </c>
      <c r="M99" s="49" t="s">
        <v>667</v>
      </c>
      <c r="N99" s="49" t="s">
        <v>668</v>
      </c>
      <c r="O99" s="49"/>
      <c r="P99" s="49" t="s">
        <v>669</v>
      </c>
      <c r="Q99" s="49" t="s">
        <v>670</v>
      </c>
      <c r="R99" s="49" t="s">
        <v>225</v>
      </c>
      <c r="S99" s="49"/>
      <c r="T99" s="51" t="str">
        <f>IF(G101="","",IF(OR(G101="Tier 3"),"No",IF(AND(S101&lt;&gt;"",OR(ISNUMBER(SEARCH("OFAC",S101)),ISNUMBER(SEARCH("penal",S101)),ISNUMBER(SEARCH("rojo pendiente",S101)))),"Revisar","Sí")))</f>
        <v>Sí</v>
      </c>
    </row>
    <row r="100" spans="1:20" ht="31.5" customHeight="1" x14ac:dyDescent="0.2">
      <c r="A100" s="48" t="s">
        <v>760</v>
      </c>
      <c r="B100" s="48" t="s">
        <v>761</v>
      </c>
      <c r="C100" s="49" t="s">
        <v>762</v>
      </c>
      <c r="D100" s="49" t="s">
        <v>39</v>
      </c>
      <c r="E100" s="49" t="s">
        <v>763</v>
      </c>
      <c r="F100" s="49" t="s">
        <v>404</v>
      </c>
      <c r="G100" s="50" t="s">
        <v>230</v>
      </c>
      <c r="H100" s="49" t="s">
        <v>269</v>
      </c>
      <c r="I100" s="49" t="s">
        <v>764</v>
      </c>
      <c r="J100" s="49" t="s">
        <v>270</v>
      </c>
      <c r="K100" s="49" t="s">
        <v>406</v>
      </c>
      <c r="L100" s="49" t="s">
        <v>765</v>
      </c>
      <c r="M100" s="49" t="s">
        <v>766</v>
      </c>
      <c r="N100" s="49" t="s">
        <v>767</v>
      </c>
      <c r="O100" s="49" t="s">
        <v>768</v>
      </c>
      <c r="P100" s="49" t="s">
        <v>769</v>
      </c>
      <c r="Q100" s="49" t="s">
        <v>770</v>
      </c>
      <c r="R100" s="49" t="s">
        <v>225</v>
      </c>
      <c r="S100" s="49"/>
      <c r="T100" s="51" t="str">
        <f>IF(G102="","",IF(OR(G102="Tier 3"),"No",IF(AND(S102&lt;&gt;"",OR(ISNUMBER(SEARCH("OFAC",S102)),ISNUMBER(SEARCH("penal",S102)),ISNUMBER(SEARCH("rojo pendiente",S102)))),"Revisar","Sí")))</f>
        <v>No</v>
      </c>
    </row>
    <row r="101" spans="1:20" ht="31.5" customHeight="1" x14ac:dyDescent="0.2">
      <c r="A101" s="48" t="s">
        <v>832</v>
      </c>
      <c r="B101" s="48" t="s">
        <v>833</v>
      </c>
      <c r="C101" s="49" t="s">
        <v>834</v>
      </c>
      <c r="D101" s="49" t="s">
        <v>39</v>
      </c>
      <c r="E101" s="49" t="s">
        <v>229</v>
      </c>
      <c r="F101" s="49" t="s">
        <v>268</v>
      </c>
      <c r="G101" s="50" t="s">
        <v>230</v>
      </c>
      <c r="H101" s="49" t="s">
        <v>269</v>
      </c>
      <c r="I101" s="49" t="s">
        <v>393</v>
      </c>
      <c r="J101" s="49" t="s">
        <v>270</v>
      </c>
      <c r="K101" s="49" t="s">
        <v>835</v>
      </c>
      <c r="L101" s="49" t="s">
        <v>836</v>
      </c>
      <c r="M101" s="49" t="s">
        <v>837</v>
      </c>
      <c r="N101" s="49" t="s">
        <v>838</v>
      </c>
      <c r="O101" s="49" t="s">
        <v>839</v>
      </c>
      <c r="P101" s="49" t="s">
        <v>840</v>
      </c>
      <c r="Q101" s="49" t="s">
        <v>841</v>
      </c>
      <c r="R101" s="49" t="s">
        <v>225</v>
      </c>
      <c r="S101" s="49"/>
      <c r="T101" s="51" t="str">
        <f>IF(G102="","",IF(OR(G102="Tier 3"),"No",IF(AND(S102&lt;&gt;"",OR(ISNUMBER(SEARCH("OFAC",S102)),ISNUMBER(SEARCH("penal",S102)),ISNUMBER(SEARCH("rojo pendiente",S102)))),"Revisar","Sí")))</f>
        <v>No</v>
      </c>
    </row>
    <row r="102" spans="1:20" ht="31.5" customHeight="1" x14ac:dyDescent="0.2">
      <c r="A102" s="48" t="s">
        <v>862</v>
      </c>
      <c r="B102" s="48" t="s">
        <v>863</v>
      </c>
      <c r="C102" s="49" t="s">
        <v>864</v>
      </c>
      <c r="D102" s="49" t="s">
        <v>39</v>
      </c>
      <c r="E102" s="49" t="s">
        <v>784</v>
      </c>
      <c r="F102" s="49" t="s">
        <v>268</v>
      </c>
      <c r="G102" s="50" t="s">
        <v>313</v>
      </c>
      <c r="H102" s="49" t="s">
        <v>269</v>
      </c>
      <c r="I102" s="49" t="s">
        <v>865</v>
      </c>
      <c r="J102" s="49" t="s">
        <v>270</v>
      </c>
      <c r="K102" s="49" t="s">
        <v>835</v>
      </c>
      <c r="L102" s="49" t="s">
        <v>866</v>
      </c>
      <c r="M102" s="49" t="s">
        <v>867</v>
      </c>
      <c r="N102" s="49" t="s">
        <v>868</v>
      </c>
      <c r="O102" s="49"/>
      <c r="P102" s="49"/>
      <c r="Q102" s="49" t="s">
        <v>841</v>
      </c>
      <c r="R102" s="49" t="s">
        <v>225</v>
      </c>
      <c r="S102" s="49"/>
      <c r="T102" s="51" t="str">
        <f>IF(G104="","",IF(OR(G104="Tier 3"),"No",IF(AND(S104&lt;&gt;"",OR(ISNUMBER(SEARCH("OFAC",S104)),ISNUMBER(SEARCH("penal",S104)),ISNUMBER(SEARCH("rojo pendiente",S104)))),"Revisar","Sí")))</f>
        <v>Sí</v>
      </c>
    </row>
    <row r="103" spans="1:20" ht="31.5" customHeight="1" x14ac:dyDescent="0.2">
      <c r="A103" s="48" t="s">
        <v>930</v>
      </c>
      <c r="B103" s="48" t="s">
        <v>931</v>
      </c>
      <c r="C103" s="49" t="s">
        <v>932</v>
      </c>
      <c r="D103" s="49" t="s">
        <v>39</v>
      </c>
      <c r="E103" s="49" t="s">
        <v>42</v>
      </c>
      <c r="F103" s="49" t="s">
        <v>350</v>
      </c>
      <c r="G103" s="50" t="s">
        <v>313</v>
      </c>
      <c r="H103" s="49" t="s">
        <v>269</v>
      </c>
      <c r="I103" s="49" t="s">
        <v>371</v>
      </c>
      <c r="J103" s="49" t="s">
        <v>270</v>
      </c>
      <c r="K103" s="49" t="s">
        <v>406</v>
      </c>
      <c r="L103" s="49" t="s">
        <v>933</v>
      </c>
      <c r="M103" s="49" t="s">
        <v>934</v>
      </c>
      <c r="N103" s="49" t="s">
        <v>935</v>
      </c>
      <c r="O103" s="49"/>
      <c r="P103" s="49"/>
      <c r="Q103" s="49" t="s">
        <v>936</v>
      </c>
      <c r="R103" s="49" t="s">
        <v>225</v>
      </c>
      <c r="S103" s="49" t="s">
        <v>876</v>
      </c>
      <c r="T103" s="51" t="str">
        <f>IF(G105="","",IF(OR(G105="Tier 3"),"No",IF(AND(S105&lt;&gt;"",OR(ISNUMBER(SEARCH("OFAC",S105)),ISNUMBER(SEARCH("penal",S105)),ISNUMBER(SEARCH("rojo pendiente",S105)))),"Revisar","Sí")))</f>
        <v>No</v>
      </c>
    </row>
    <row r="104" spans="1:20" ht="31.5" customHeight="1" x14ac:dyDescent="0.2">
      <c r="A104" s="48" t="s">
        <v>1073</v>
      </c>
      <c r="B104" s="48" t="s">
        <v>1074</v>
      </c>
      <c r="C104" s="49" t="s">
        <v>1075</v>
      </c>
      <c r="D104" s="49" t="s">
        <v>39</v>
      </c>
      <c r="E104" s="49" t="s">
        <v>229</v>
      </c>
      <c r="F104" s="49" t="s">
        <v>268</v>
      </c>
      <c r="G104" s="50" t="s">
        <v>230</v>
      </c>
      <c r="H104" s="49" t="s">
        <v>269</v>
      </c>
      <c r="I104" s="49" t="s">
        <v>1076</v>
      </c>
      <c r="J104" s="49" t="s">
        <v>270</v>
      </c>
      <c r="K104" s="49" t="s">
        <v>835</v>
      </c>
      <c r="L104" s="49" t="s">
        <v>1077</v>
      </c>
      <c r="M104" s="49" t="s">
        <v>1078</v>
      </c>
      <c r="N104" s="49" t="s">
        <v>1079</v>
      </c>
      <c r="O104" s="49" t="s">
        <v>1080</v>
      </c>
      <c r="P104" s="49" t="s">
        <v>1081</v>
      </c>
      <c r="Q104" s="49" t="s">
        <v>1082</v>
      </c>
      <c r="R104" s="49" t="s">
        <v>225</v>
      </c>
      <c r="S104" s="49" t="s">
        <v>1083</v>
      </c>
      <c r="T104" s="51" t="s">
        <v>4259</v>
      </c>
    </row>
    <row r="105" spans="1:20" ht="31.5" customHeight="1" x14ac:dyDescent="0.2">
      <c r="A105" s="48" t="s">
        <v>1259</v>
      </c>
      <c r="B105" s="48" t="s">
        <v>1260</v>
      </c>
      <c r="C105" s="49" t="s">
        <v>1261</v>
      </c>
      <c r="D105" s="49" t="s">
        <v>39</v>
      </c>
      <c r="E105" s="49" t="s">
        <v>42</v>
      </c>
      <c r="F105" s="49" t="s">
        <v>268</v>
      </c>
      <c r="G105" s="50" t="s">
        <v>313</v>
      </c>
      <c r="H105" s="49" t="s">
        <v>303</v>
      </c>
      <c r="I105" s="49" t="s">
        <v>1088</v>
      </c>
      <c r="J105" s="49" t="s">
        <v>270</v>
      </c>
      <c r="K105" s="49" t="s">
        <v>406</v>
      </c>
      <c r="L105" s="49" t="s">
        <v>1262</v>
      </c>
      <c r="M105" s="49" t="s">
        <v>1263</v>
      </c>
      <c r="N105" s="49" t="s">
        <v>1264</v>
      </c>
      <c r="O105" s="49"/>
      <c r="P105" s="49"/>
      <c r="Q105" s="49" t="s">
        <v>1265</v>
      </c>
      <c r="R105" s="49" t="s">
        <v>225</v>
      </c>
      <c r="S105" s="49" t="s">
        <v>876</v>
      </c>
      <c r="T105" s="51" t="str">
        <f>IF(G110="","",IF(OR(G110="Tier 3"),"No",IF(AND(S110&lt;&gt;"",OR(ISNUMBER(SEARCH("OFAC",S110)),ISNUMBER(SEARCH("penal",S110)),ISNUMBER(SEARCH("rojo pendiente",S110)))),"Revisar","Sí")))</f>
        <v>Sí</v>
      </c>
    </row>
    <row r="106" spans="1:20" ht="31.5" customHeight="1" x14ac:dyDescent="0.2">
      <c r="A106" s="48" t="s">
        <v>326</v>
      </c>
      <c r="B106" s="48" t="s">
        <v>327</v>
      </c>
      <c r="C106" s="49" t="s">
        <v>328</v>
      </c>
      <c r="D106" s="49" t="s">
        <v>42</v>
      </c>
      <c r="E106" s="49" t="s">
        <v>36</v>
      </c>
      <c r="F106" s="49" t="s">
        <v>329</v>
      </c>
      <c r="G106" s="50" t="s">
        <v>205</v>
      </c>
      <c r="H106" s="49" t="s">
        <v>269</v>
      </c>
      <c r="I106" s="49" t="s">
        <v>330</v>
      </c>
      <c r="J106" s="49" t="s">
        <v>331</v>
      </c>
      <c r="K106" s="49" t="s">
        <v>209</v>
      </c>
      <c r="L106" s="49" t="s">
        <v>332</v>
      </c>
      <c r="M106" s="49" t="s">
        <v>333</v>
      </c>
      <c r="N106" s="49" t="s">
        <v>334</v>
      </c>
      <c r="O106" s="49"/>
      <c r="P106" s="49"/>
      <c r="Q106" s="49" t="s">
        <v>335</v>
      </c>
      <c r="R106" s="49" t="s">
        <v>225</v>
      </c>
      <c r="S106" s="49"/>
      <c r="T106" s="51" t="str">
        <f>IF(G106="","",IF(OR(G106="Tier 3"),"No",IF(AND(S106&lt;&gt;"",OR(ISNUMBER(SEARCH("OFAC",S106)),ISNUMBER(SEARCH("penal",S106)),ISNUMBER(SEARCH("rojo pendiente",S106)))),"Revisar","Sí")))</f>
        <v>Sí</v>
      </c>
    </row>
    <row r="107" spans="1:20" ht="31.5" customHeight="1" x14ac:dyDescent="0.2">
      <c r="A107" s="48" t="s">
        <v>602</v>
      </c>
      <c r="B107" s="48" t="s">
        <v>603</v>
      </c>
      <c r="C107" s="49" t="s">
        <v>604</v>
      </c>
      <c r="D107" s="49" t="s">
        <v>42</v>
      </c>
      <c r="E107" s="49" t="s">
        <v>605</v>
      </c>
      <c r="F107" s="49" t="s">
        <v>329</v>
      </c>
      <c r="G107" s="50" t="s">
        <v>205</v>
      </c>
      <c r="H107" s="49" t="s">
        <v>303</v>
      </c>
      <c r="I107" s="49" t="s">
        <v>606</v>
      </c>
      <c r="J107" s="49" t="s">
        <v>331</v>
      </c>
      <c r="K107" s="49" t="s">
        <v>209</v>
      </c>
      <c r="L107" s="49" t="s">
        <v>607</v>
      </c>
      <c r="M107" s="49" t="s">
        <v>608</v>
      </c>
      <c r="N107" s="49" t="s">
        <v>609</v>
      </c>
      <c r="O107" s="49" t="s">
        <v>610</v>
      </c>
      <c r="P107" s="49" t="s">
        <v>611</v>
      </c>
      <c r="Q107" s="49" t="s">
        <v>612</v>
      </c>
      <c r="R107" s="49" t="s">
        <v>225</v>
      </c>
      <c r="S107" s="49" t="s">
        <v>613</v>
      </c>
      <c r="T107" s="51" t="str">
        <f>IF(G108="","",IF(OR(G108="Tier 3"),"No",IF(AND(S108&lt;&gt;"",OR(ISNUMBER(SEARCH("OFAC",S108)),ISNUMBER(SEARCH("penal",S108)),ISNUMBER(SEARCH("rojo pendiente",S108)))),"Revisar","Sí")))</f>
        <v>Sí</v>
      </c>
    </row>
    <row r="108" spans="1:20" ht="31.5" customHeight="1" x14ac:dyDescent="0.2">
      <c r="A108" s="48" t="s">
        <v>632</v>
      </c>
      <c r="B108" s="48" t="s">
        <v>633</v>
      </c>
      <c r="C108" s="49" t="s">
        <v>634</v>
      </c>
      <c r="D108" s="49" t="s">
        <v>42</v>
      </c>
      <c r="E108" s="49" t="s">
        <v>48</v>
      </c>
      <c r="F108" s="49" t="s">
        <v>329</v>
      </c>
      <c r="G108" s="50" t="s">
        <v>205</v>
      </c>
      <c r="H108" s="49" t="s">
        <v>476</v>
      </c>
      <c r="I108" s="49" t="s">
        <v>635</v>
      </c>
      <c r="J108" s="49" t="s">
        <v>331</v>
      </c>
      <c r="K108" s="49" t="s">
        <v>406</v>
      </c>
      <c r="L108" s="49" t="s">
        <v>636</v>
      </c>
      <c r="M108" s="49" t="s">
        <v>637</v>
      </c>
      <c r="N108" s="49" t="s">
        <v>638</v>
      </c>
      <c r="O108" s="49"/>
      <c r="P108" s="49"/>
      <c r="Q108" s="49" t="s">
        <v>639</v>
      </c>
      <c r="R108" s="49" t="s">
        <v>225</v>
      </c>
      <c r="S108" s="49"/>
      <c r="T108" s="51" t="str">
        <f>IF(G109="","",IF(OR(G109="Tier 3"),"No",IF(AND(S109&lt;&gt;"",OR(ISNUMBER(SEARCH("OFAC",S109)),ISNUMBER(SEARCH("penal",S109)),ISNUMBER(SEARCH("rojo pendiente",S109)))),"Revisar","Sí")))</f>
        <v>No</v>
      </c>
    </row>
    <row r="109" spans="1:20" ht="31.5" customHeight="1" x14ac:dyDescent="0.2">
      <c r="A109" s="48" t="s">
        <v>1171</v>
      </c>
      <c r="B109" s="48" t="s">
        <v>1172</v>
      </c>
      <c r="C109" s="49" t="s">
        <v>1173</v>
      </c>
      <c r="D109" s="49" t="s">
        <v>42</v>
      </c>
      <c r="E109" s="49" t="s">
        <v>605</v>
      </c>
      <c r="F109" s="49" t="s">
        <v>329</v>
      </c>
      <c r="G109" s="50" t="s">
        <v>313</v>
      </c>
      <c r="H109" s="49" t="s">
        <v>445</v>
      </c>
      <c r="I109" s="49" t="s">
        <v>1174</v>
      </c>
      <c r="J109" s="49" t="s">
        <v>331</v>
      </c>
      <c r="K109" s="49" t="s">
        <v>293</v>
      </c>
      <c r="L109" s="49" t="s">
        <v>1175</v>
      </c>
      <c r="M109" s="49" t="s">
        <v>1176</v>
      </c>
      <c r="N109" s="49" t="s">
        <v>1177</v>
      </c>
      <c r="O109" s="49"/>
      <c r="P109" s="49"/>
      <c r="Q109" s="49" t="s">
        <v>1178</v>
      </c>
      <c r="R109" s="49" t="s">
        <v>213</v>
      </c>
      <c r="S109" s="49"/>
      <c r="T109" s="51" t="str">
        <f>IF(G112="","",IF(OR(G112="Tier 3"),"No",IF(AND(S112&lt;&gt;"",OR(ISNUMBER(SEARCH("OFAC",S112)),ISNUMBER(SEARCH("penal",S112)),ISNUMBER(SEARCH("rojo pendiente",S112)))),"Revisar","Sí")))</f>
        <v>Sí</v>
      </c>
    </row>
    <row r="110" spans="1:20" ht="31.5" customHeight="1" x14ac:dyDescent="0.2">
      <c r="A110" s="48" t="s">
        <v>1372</v>
      </c>
      <c r="B110" s="48" t="s">
        <v>1373</v>
      </c>
      <c r="C110" s="49" t="s">
        <v>1374</v>
      </c>
      <c r="D110" s="49" t="s">
        <v>42</v>
      </c>
      <c r="E110" s="49"/>
      <c r="F110" s="49" t="s">
        <v>1375</v>
      </c>
      <c r="G110" s="50" t="s">
        <v>230</v>
      </c>
      <c r="H110" s="49" t="s">
        <v>218</v>
      </c>
      <c r="I110" s="49" t="s">
        <v>1088</v>
      </c>
      <c r="J110" s="49" t="s">
        <v>331</v>
      </c>
      <c r="K110" s="49" t="s">
        <v>209</v>
      </c>
      <c r="L110" s="49" t="s">
        <v>1376</v>
      </c>
      <c r="M110" s="49" t="s">
        <v>1377</v>
      </c>
      <c r="N110" s="49" t="s">
        <v>1378</v>
      </c>
      <c r="O110" s="49"/>
      <c r="P110" s="49"/>
      <c r="Q110" s="49" t="s">
        <v>1379</v>
      </c>
      <c r="R110" s="49" t="s">
        <v>225</v>
      </c>
      <c r="S110" s="49" t="s">
        <v>1380</v>
      </c>
      <c r="T110" s="51" t="str">
        <f>IF(G116="","",IF(OR(G116="Tier 3"),"No",IF(AND(S116&lt;&gt;"",OR(ISNUMBER(SEARCH("OFAC",S116)),ISNUMBER(SEARCH("penal",S116)),ISNUMBER(SEARCH("rojo pendiente",S116)))),"Revisar","Sí")))</f>
        <v>No</v>
      </c>
    </row>
    <row r="111" spans="1:20" ht="31.5" customHeight="1" x14ac:dyDescent="0.2">
      <c r="A111" s="48" t="s">
        <v>1457</v>
      </c>
      <c r="B111" s="48" t="s">
        <v>1458</v>
      </c>
      <c r="C111" s="49" t="s">
        <v>1459</v>
      </c>
      <c r="D111" s="49" t="s">
        <v>42</v>
      </c>
      <c r="E111" s="49"/>
      <c r="F111" s="49" t="s">
        <v>1375</v>
      </c>
      <c r="G111" s="50" t="s">
        <v>313</v>
      </c>
      <c r="H111" s="49" t="s">
        <v>476</v>
      </c>
      <c r="I111" s="49" t="s">
        <v>259</v>
      </c>
      <c r="J111" s="49" t="s">
        <v>331</v>
      </c>
      <c r="K111" s="49" t="s">
        <v>293</v>
      </c>
      <c r="L111" s="49" t="s">
        <v>1460</v>
      </c>
      <c r="M111" s="49" t="s">
        <v>1461</v>
      </c>
      <c r="N111" s="49" t="s">
        <v>1462</v>
      </c>
      <c r="O111" s="49"/>
      <c r="P111" s="49"/>
      <c r="Q111" s="49" t="s">
        <v>1463</v>
      </c>
      <c r="R111" s="49" t="s">
        <v>225</v>
      </c>
      <c r="S111" s="49" t="s">
        <v>876</v>
      </c>
      <c r="T111" s="51" t="str">
        <f>IF(G117="","",IF(OR(G117="Tier 3"),"No",IF(AND(S117&lt;&gt;"",OR(ISNUMBER(SEARCH("OFAC",S117)),ISNUMBER(SEARCH("penal",S117)),ISNUMBER(SEARCH("rojo pendiente",S117)))),"Revisar","Sí")))</f>
        <v>Sí</v>
      </c>
    </row>
    <row r="112" spans="1:20" ht="31.5" customHeight="1" x14ac:dyDescent="0.2">
      <c r="A112" s="48" t="s">
        <v>558</v>
      </c>
      <c r="B112" s="48" t="s">
        <v>559</v>
      </c>
      <c r="C112" s="49" t="s">
        <v>560</v>
      </c>
      <c r="D112" s="49" t="s">
        <v>48</v>
      </c>
      <c r="E112" s="49"/>
      <c r="F112" s="49" t="s">
        <v>561</v>
      </c>
      <c r="G112" s="50" t="s">
        <v>230</v>
      </c>
      <c r="H112" s="49" t="s">
        <v>269</v>
      </c>
      <c r="I112" s="49" t="s">
        <v>562</v>
      </c>
      <c r="J112" s="49" t="s">
        <v>563</v>
      </c>
      <c r="K112" s="49" t="s">
        <v>209</v>
      </c>
      <c r="L112" s="49" t="s">
        <v>564</v>
      </c>
      <c r="M112" s="49" t="s">
        <v>565</v>
      </c>
      <c r="N112" s="49" t="s">
        <v>566</v>
      </c>
      <c r="O112" s="49"/>
      <c r="P112" s="49"/>
      <c r="Q112" s="49"/>
      <c r="R112" s="49" t="s">
        <v>225</v>
      </c>
      <c r="S112" s="49" t="s">
        <v>567</v>
      </c>
      <c r="T112" s="51" t="str">
        <f>IF(G113="","",IF(OR(G113="Tier 3"),"No",IF(AND(S113&lt;&gt;"",OR(ISNUMBER(SEARCH("OFAC",S113)),ISNUMBER(SEARCH("penal",S113)),ISNUMBER(SEARCH("rojo pendiente",S113)))),"Revisar","Sí")))</f>
        <v>Sí</v>
      </c>
    </row>
    <row r="113" spans="1:20" ht="31.5" customHeight="1" x14ac:dyDescent="0.2">
      <c r="A113" s="48" t="s">
        <v>568</v>
      </c>
      <c r="B113" s="48" t="s">
        <v>569</v>
      </c>
      <c r="C113" s="49" t="s">
        <v>570</v>
      </c>
      <c r="D113" s="49" t="s">
        <v>48</v>
      </c>
      <c r="E113" s="49"/>
      <c r="F113" s="49" t="s">
        <v>561</v>
      </c>
      <c r="G113" s="50" t="s">
        <v>230</v>
      </c>
      <c r="H113" s="49" t="s">
        <v>269</v>
      </c>
      <c r="I113" s="49" t="s">
        <v>467</v>
      </c>
      <c r="J113" s="49" t="s">
        <v>563</v>
      </c>
      <c r="K113" s="49" t="s">
        <v>209</v>
      </c>
      <c r="L113" s="49" t="s">
        <v>571</v>
      </c>
      <c r="M113" s="49" t="s">
        <v>572</v>
      </c>
      <c r="N113" s="49" t="s">
        <v>573</v>
      </c>
      <c r="O113" s="49"/>
      <c r="P113" s="49"/>
      <c r="Q113" s="49"/>
      <c r="R113" s="49" t="s">
        <v>225</v>
      </c>
      <c r="S113" s="49"/>
      <c r="T113" s="51" t="str">
        <f>IF(G114="","",IF(OR(G114="Tier 3"),"No",IF(AND(S114&lt;&gt;"",OR(ISNUMBER(SEARCH("OFAC",S114)),ISNUMBER(SEARCH("penal",S114)),ISNUMBER(SEARCH("rojo pendiente",S114)))),"Revisar","Sí")))</f>
        <v>Sí</v>
      </c>
    </row>
    <row r="114" spans="1:20" ht="31.5" customHeight="1" x14ac:dyDescent="0.2">
      <c r="A114" s="48" t="s">
        <v>574</v>
      </c>
      <c r="B114" s="48" t="s">
        <v>575</v>
      </c>
      <c r="C114" s="49" t="s">
        <v>576</v>
      </c>
      <c r="D114" s="49" t="s">
        <v>48</v>
      </c>
      <c r="E114" s="49"/>
      <c r="F114" s="49" t="s">
        <v>561</v>
      </c>
      <c r="G114" s="50" t="s">
        <v>230</v>
      </c>
      <c r="H114" s="49" t="s">
        <v>269</v>
      </c>
      <c r="I114" s="49" t="s">
        <v>231</v>
      </c>
      <c r="J114" s="49" t="s">
        <v>563</v>
      </c>
      <c r="K114" s="49" t="s">
        <v>209</v>
      </c>
      <c r="L114" s="49" t="s">
        <v>577</v>
      </c>
      <c r="M114" s="49" t="s">
        <v>578</v>
      </c>
      <c r="N114" s="49" t="s">
        <v>579</v>
      </c>
      <c r="O114" s="49"/>
      <c r="P114" s="49" t="s">
        <v>580</v>
      </c>
      <c r="Q114" s="49"/>
      <c r="R114" s="49" t="s">
        <v>225</v>
      </c>
      <c r="S114" s="49"/>
      <c r="T114" s="51" t="str">
        <f>IF(G115="","",IF(OR(G115="Tier 3"),"No",IF(AND(S115&lt;&gt;"",OR(ISNUMBER(SEARCH("OFAC",S115)),ISNUMBER(SEARCH("penal",S115)),ISNUMBER(SEARCH("rojo pendiente",S115)))),"Revisar","Sí")))</f>
        <v>Sí</v>
      </c>
    </row>
    <row r="115" spans="1:20" ht="31.5" customHeight="1" x14ac:dyDescent="0.2">
      <c r="A115" s="149" t="s">
        <v>1519</v>
      </c>
      <c r="B115" s="149" t="s">
        <v>1520</v>
      </c>
      <c r="C115" s="149" t="s">
        <v>1521</v>
      </c>
      <c r="D115" s="149" t="s">
        <v>48</v>
      </c>
      <c r="E115" s="149" t="s">
        <v>1522</v>
      </c>
      <c r="F115" s="149" t="s">
        <v>561</v>
      </c>
      <c r="G115" s="149" t="s">
        <v>230</v>
      </c>
      <c r="H115" s="149" t="s">
        <v>269</v>
      </c>
      <c r="I115" s="149" t="s">
        <v>707</v>
      </c>
      <c r="J115" s="149" t="s">
        <v>1523</v>
      </c>
      <c r="K115" s="149" t="s">
        <v>1524</v>
      </c>
      <c r="L115" s="149" t="s">
        <v>1525</v>
      </c>
      <c r="M115" s="149" t="s">
        <v>1526</v>
      </c>
      <c r="N115" s="149" t="s">
        <v>1527</v>
      </c>
      <c r="O115" s="149" t="s">
        <v>1528</v>
      </c>
      <c r="P115" s="149" t="s">
        <v>1529</v>
      </c>
      <c r="Q115" s="149"/>
      <c r="R115" s="149" t="s">
        <v>225</v>
      </c>
      <c r="S115" s="149"/>
      <c r="T115" s="51" t="s">
        <v>1530</v>
      </c>
    </row>
    <row r="116" spans="1:20" ht="31.5" customHeight="1" x14ac:dyDescent="0.2">
      <c r="A116" s="48" t="s">
        <v>214</v>
      </c>
      <c r="B116" s="48" t="s">
        <v>215</v>
      </c>
      <c r="C116" s="49" t="s">
        <v>216</v>
      </c>
      <c r="D116" s="49" t="s">
        <v>51</v>
      </c>
      <c r="E116" s="49" t="s">
        <v>36</v>
      </c>
      <c r="F116" s="49" t="s">
        <v>217</v>
      </c>
      <c r="G116" s="50" t="s">
        <v>313</v>
      </c>
      <c r="H116" s="49" t="s">
        <v>218</v>
      </c>
      <c r="I116" s="49" t="s">
        <v>219</v>
      </c>
      <c r="J116" s="49" t="s">
        <v>220</v>
      </c>
      <c r="K116" s="49" t="s">
        <v>209</v>
      </c>
      <c r="L116" s="49" t="s">
        <v>221</v>
      </c>
      <c r="M116" s="49" t="s">
        <v>222</v>
      </c>
      <c r="N116" s="49" t="s">
        <v>4242</v>
      </c>
      <c r="O116" s="49"/>
      <c r="P116" s="49"/>
      <c r="Q116" s="49" t="s">
        <v>224</v>
      </c>
      <c r="R116" s="49" t="s">
        <v>225</v>
      </c>
      <c r="S116" s="145" t="s">
        <v>4244</v>
      </c>
      <c r="T116" s="51" t="str">
        <f>IF(G116="","",IF(OR(G116="Tier 3"),"No",IF(AND(S116&lt;&gt;"",OR(ISNUMBER(SEARCH("OFAC",S116)),ISNUMBER(SEARCH("penal",S116)),ISNUMBER(SEARCH("rojo pendiente",S116)))),"Revisar","Sí")))</f>
        <v>No</v>
      </c>
    </row>
    <row r="117" spans="1:20" ht="31.5" customHeight="1" x14ac:dyDescent="0.2">
      <c r="A117" s="48" t="s">
        <v>513</v>
      </c>
      <c r="B117" s="48" t="s">
        <v>514</v>
      </c>
      <c r="C117" s="49" t="s">
        <v>515</v>
      </c>
      <c r="D117" s="49" t="s">
        <v>51</v>
      </c>
      <c r="E117" s="49"/>
      <c r="F117" s="49" t="s">
        <v>516</v>
      </c>
      <c r="G117" s="50" t="s">
        <v>230</v>
      </c>
      <c r="H117" s="49" t="s">
        <v>269</v>
      </c>
      <c r="I117" s="49"/>
      <c r="J117" s="49" t="s">
        <v>220</v>
      </c>
      <c r="K117" s="49" t="s">
        <v>293</v>
      </c>
      <c r="L117" s="49" t="s">
        <v>517</v>
      </c>
      <c r="M117" s="49" t="s">
        <v>518</v>
      </c>
      <c r="N117" s="49" t="s">
        <v>519</v>
      </c>
      <c r="O117" s="49"/>
      <c r="P117" s="49"/>
      <c r="Q117" s="49" t="s">
        <v>520</v>
      </c>
      <c r="R117" s="49" t="s">
        <v>225</v>
      </c>
      <c r="S117" s="49"/>
      <c r="T117" s="51" t="str">
        <f>IF(G118="","",IF(OR(G118="Tier 3"),"No",IF(AND(S118&lt;&gt;"",OR(ISNUMBER(SEARCH("OFAC",S118)),ISNUMBER(SEARCH("penal",S118)),ISNUMBER(SEARCH("rojo pendiente",S118)))),"Revisar","Sí")))</f>
        <v>Sí</v>
      </c>
    </row>
    <row r="118" spans="1:20" ht="31.5" customHeight="1" x14ac:dyDescent="0.2">
      <c r="A118" s="48" t="s">
        <v>680</v>
      </c>
      <c r="B118" s="48" t="s">
        <v>681</v>
      </c>
      <c r="C118" s="49" t="s">
        <v>682</v>
      </c>
      <c r="D118" s="49" t="s">
        <v>51</v>
      </c>
      <c r="E118" s="49" t="s">
        <v>36</v>
      </c>
      <c r="F118" s="49" t="s">
        <v>516</v>
      </c>
      <c r="G118" s="50" t="s">
        <v>205</v>
      </c>
      <c r="H118" s="49" t="s">
        <v>340</v>
      </c>
      <c r="I118" s="49" t="s">
        <v>683</v>
      </c>
      <c r="J118" s="49" t="s">
        <v>220</v>
      </c>
      <c r="K118" s="49" t="s">
        <v>209</v>
      </c>
      <c r="L118" s="49" t="s">
        <v>684</v>
      </c>
      <c r="M118" s="49" t="s">
        <v>685</v>
      </c>
      <c r="N118" s="49" t="s">
        <v>686</v>
      </c>
      <c r="O118" s="49"/>
      <c r="P118" s="49"/>
      <c r="Q118" s="49" t="s">
        <v>687</v>
      </c>
      <c r="R118" s="49" t="s">
        <v>225</v>
      </c>
      <c r="S118" s="49"/>
      <c r="T118" s="51" t="str">
        <f t="shared" ref="T118:T126" si="2">IF(G120="","",IF(OR(G120="Tier 3"),"No",IF(AND(S120&lt;&gt;"",OR(ISNUMBER(SEARCH("OFAC",S120)),ISNUMBER(SEARCH("penal",S120)),ISNUMBER(SEARCH("rojo pendiente",S120)))),"Revisar","Sí")))</f>
        <v>Sí</v>
      </c>
    </row>
    <row r="119" spans="1:20" ht="31.5" customHeight="1" x14ac:dyDescent="0.2">
      <c r="A119" s="48" t="s">
        <v>704</v>
      </c>
      <c r="B119" s="48" t="s">
        <v>705</v>
      </c>
      <c r="C119" s="49" t="s">
        <v>706</v>
      </c>
      <c r="D119" s="49" t="s">
        <v>51</v>
      </c>
      <c r="E119" s="49" t="s">
        <v>36</v>
      </c>
      <c r="F119" s="49" t="s">
        <v>516</v>
      </c>
      <c r="G119" s="50" t="s">
        <v>205</v>
      </c>
      <c r="H119" s="49" t="s">
        <v>269</v>
      </c>
      <c r="I119" s="49" t="s">
        <v>707</v>
      </c>
      <c r="J119" s="49" t="s">
        <v>220</v>
      </c>
      <c r="K119" s="49" t="s">
        <v>209</v>
      </c>
      <c r="L119" s="49" t="s">
        <v>708</v>
      </c>
      <c r="M119" s="49" t="s">
        <v>709</v>
      </c>
      <c r="N119" s="49" t="s">
        <v>710</v>
      </c>
      <c r="O119" s="49"/>
      <c r="P119" s="49"/>
      <c r="Q119" s="49" t="s">
        <v>711</v>
      </c>
      <c r="R119" s="49" t="s">
        <v>225</v>
      </c>
      <c r="S119" s="49"/>
      <c r="T119" s="51" t="str">
        <f t="shared" si="2"/>
        <v>Sí</v>
      </c>
    </row>
    <row r="120" spans="1:20" ht="31.5" customHeight="1" x14ac:dyDescent="0.2">
      <c r="A120" s="48" t="s">
        <v>846</v>
      </c>
      <c r="B120" s="48" t="s">
        <v>847</v>
      </c>
      <c r="C120" s="49" t="s">
        <v>848</v>
      </c>
      <c r="D120" s="49" t="s">
        <v>51</v>
      </c>
      <c r="E120" s="49" t="s">
        <v>48</v>
      </c>
      <c r="F120" s="49" t="s">
        <v>516</v>
      </c>
      <c r="G120" s="50" t="s">
        <v>205</v>
      </c>
      <c r="H120" s="49" t="s">
        <v>340</v>
      </c>
      <c r="I120" s="49" t="s">
        <v>849</v>
      </c>
      <c r="J120" s="49" t="s">
        <v>220</v>
      </c>
      <c r="K120" s="49" t="s">
        <v>209</v>
      </c>
      <c r="L120" s="49" t="s">
        <v>850</v>
      </c>
      <c r="M120" s="49" t="s">
        <v>851</v>
      </c>
      <c r="N120" s="49" t="s">
        <v>852</v>
      </c>
      <c r="O120" s="49" t="s">
        <v>853</v>
      </c>
      <c r="P120" s="49" t="s">
        <v>854</v>
      </c>
      <c r="Q120" s="49"/>
      <c r="R120" s="49" t="s">
        <v>225</v>
      </c>
      <c r="S120" s="49"/>
      <c r="T120" s="51" t="str">
        <f t="shared" si="2"/>
        <v>Sí</v>
      </c>
    </row>
    <row r="121" spans="1:20" ht="31.5" customHeight="1" x14ac:dyDescent="0.2">
      <c r="A121" s="48" t="s">
        <v>877</v>
      </c>
      <c r="B121" s="48" t="s">
        <v>878</v>
      </c>
      <c r="C121" s="49" t="s">
        <v>879</v>
      </c>
      <c r="D121" s="49" t="s">
        <v>51</v>
      </c>
      <c r="E121" s="49" t="s">
        <v>36</v>
      </c>
      <c r="F121" s="49" t="s">
        <v>516</v>
      </c>
      <c r="G121" s="50" t="s">
        <v>205</v>
      </c>
      <c r="H121" s="49" t="s">
        <v>218</v>
      </c>
      <c r="I121" s="49" t="s">
        <v>880</v>
      </c>
      <c r="J121" s="49" t="s">
        <v>220</v>
      </c>
      <c r="K121" s="49" t="s">
        <v>209</v>
      </c>
      <c r="L121" s="49" t="s">
        <v>881</v>
      </c>
      <c r="M121" s="49" t="s">
        <v>882</v>
      </c>
      <c r="N121" s="49" t="s">
        <v>883</v>
      </c>
      <c r="O121" s="49"/>
      <c r="P121" s="49"/>
      <c r="Q121" s="49" t="s">
        <v>884</v>
      </c>
      <c r="R121" s="49" t="s">
        <v>225</v>
      </c>
      <c r="S121" s="49"/>
      <c r="T121" s="51" t="str">
        <f t="shared" si="2"/>
        <v>Sí</v>
      </c>
    </row>
    <row r="122" spans="1:20" ht="31.5" customHeight="1" x14ac:dyDescent="0.2">
      <c r="A122" s="48" t="s">
        <v>885</v>
      </c>
      <c r="B122" s="48" t="s">
        <v>886</v>
      </c>
      <c r="C122" s="49" t="s">
        <v>887</v>
      </c>
      <c r="D122" s="49" t="s">
        <v>51</v>
      </c>
      <c r="E122" s="49"/>
      <c r="F122" s="49" t="s">
        <v>516</v>
      </c>
      <c r="G122" s="50" t="s">
        <v>205</v>
      </c>
      <c r="H122" s="49" t="s">
        <v>303</v>
      </c>
      <c r="I122" s="49" t="s">
        <v>888</v>
      </c>
      <c r="J122" s="49" t="s">
        <v>331</v>
      </c>
      <c r="K122" s="49" t="s">
        <v>209</v>
      </c>
      <c r="L122" s="49" t="s">
        <v>889</v>
      </c>
      <c r="M122" s="49" t="s">
        <v>890</v>
      </c>
      <c r="N122" s="49" t="s">
        <v>891</v>
      </c>
      <c r="O122" s="49"/>
      <c r="P122" s="49"/>
      <c r="Q122" s="49" t="s">
        <v>892</v>
      </c>
      <c r="R122" s="49" t="s">
        <v>225</v>
      </c>
      <c r="S122" s="49" t="s">
        <v>893</v>
      </c>
      <c r="T122" s="51" t="str">
        <f t="shared" si="2"/>
        <v>No</v>
      </c>
    </row>
    <row r="123" spans="1:20" ht="31.5" customHeight="1" x14ac:dyDescent="0.2">
      <c r="A123" s="48" t="s">
        <v>920</v>
      </c>
      <c r="B123" s="48" t="s">
        <v>921</v>
      </c>
      <c r="C123" s="49" t="s">
        <v>922</v>
      </c>
      <c r="D123" s="49" t="s">
        <v>51</v>
      </c>
      <c r="E123" s="49" t="s">
        <v>923</v>
      </c>
      <c r="F123" s="49" t="s">
        <v>924</v>
      </c>
      <c r="G123" s="50" t="s">
        <v>205</v>
      </c>
      <c r="H123" s="49" t="s">
        <v>218</v>
      </c>
      <c r="I123" s="49" t="s">
        <v>925</v>
      </c>
      <c r="J123" s="49" t="s">
        <v>220</v>
      </c>
      <c r="K123" s="49" t="s">
        <v>209</v>
      </c>
      <c r="L123" s="49" t="s">
        <v>926</v>
      </c>
      <c r="M123" s="49" t="s">
        <v>927</v>
      </c>
      <c r="N123" s="49" t="s">
        <v>928</v>
      </c>
      <c r="O123" s="49"/>
      <c r="P123" s="49"/>
      <c r="Q123" s="49" t="s">
        <v>929</v>
      </c>
      <c r="R123" s="49" t="s">
        <v>225</v>
      </c>
      <c r="S123" s="49"/>
      <c r="T123" s="51" t="str">
        <f t="shared" si="2"/>
        <v>Sí</v>
      </c>
    </row>
    <row r="124" spans="1:20" ht="31.5" customHeight="1" x14ac:dyDescent="0.2">
      <c r="A124" s="48" t="s">
        <v>937</v>
      </c>
      <c r="B124" s="48" t="s">
        <v>938</v>
      </c>
      <c r="C124" s="49" t="s">
        <v>939</v>
      </c>
      <c r="D124" s="49" t="s">
        <v>51</v>
      </c>
      <c r="E124" s="49"/>
      <c r="F124" s="49" t="s">
        <v>516</v>
      </c>
      <c r="G124" s="50" t="s">
        <v>313</v>
      </c>
      <c r="H124" s="49" t="s">
        <v>269</v>
      </c>
      <c r="I124" s="49" t="s">
        <v>371</v>
      </c>
      <c r="J124" s="49" t="s">
        <v>270</v>
      </c>
      <c r="K124" s="49" t="s">
        <v>406</v>
      </c>
      <c r="L124" s="49" t="s">
        <v>940</v>
      </c>
      <c r="M124" s="49" t="s">
        <v>941</v>
      </c>
      <c r="N124" s="49" t="s">
        <v>942</v>
      </c>
      <c r="O124" s="49"/>
      <c r="P124" s="49"/>
      <c r="Q124" s="49"/>
      <c r="R124" s="49" t="s">
        <v>213</v>
      </c>
      <c r="S124" s="49"/>
      <c r="T124" s="51" t="str">
        <f t="shared" si="2"/>
        <v>Sí</v>
      </c>
    </row>
    <row r="125" spans="1:20" ht="31.5" customHeight="1" x14ac:dyDescent="0.2">
      <c r="A125" s="48" t="s">
        <v>943</v>
      </c>
      <c r="B125" s="48" t="s">
        <v>944</v>
      </c>
      <c r="C125" s="49" t="s">
        <v>945</v>
      </c>
      <c r="D125" s="49" t="s">
        <v>51</v>
      </c>
      <c r="E125" s="49" t="s">
        <v>48</v>
      </c>
      <c r="F125" s="49" t="s">
        <v>516</v>
      </c>
      <c r="G125" s="50" t="s">
        <v>205</v>
      </c>
      <c r="H125" s="49" t="s">
        <v>303</v>
      </c>
      <c r="I125" s="49" t="s">
        <v>946</v>
      </c>
      <c r="J125" s="49" t="s">
        <v>220</v>
      </c>
      <c r="K125" s="49" t="s">
        <v>406</v>
      </c>
      <c r="L125" s="49" t="s">
        <v>947</v>
      </c>
      <c r="M125" s="49" t="s">
        <v>948</v>
      </c>
      <c r="N125" s="49" t="s">
        <v>949</v>
      </c>
      <c r="O125" s="49"/>
      <c r="P125" s="49"/>
      <c r="Q125" s="49" t="s">
        <v>950</v>
      </c>
      <c r="R125" s="49" t="s">
        <v>225</v>
      </c>
      <c r="S125" s="49"/>
      <c r="T125" s="51" t="str">
        <f t="shared" si="2"/>
        <v>Sí</v>
      </c>
    </row>
    <row r="126" spans="1:20" ht="31.5" customHeight="1" x14ac:dyDescent="0.2">
      <c r="A126" s="48" t="s">
        <v>1031</v>
      </c>
      <c r="B126" s="48" t="s">
        <v>1032</v>
      </c>
      <c r="C126" s="49" t="s">
        <v>1033</v>
      </c>
      <c r="D126" s="49" t="s">
        <v>51</v>
      </c>
      <c r="E126" s="49" t="s">
        <v>584</v>
      </c>
      <c r="F126" s="49" t="s">
        <v>516</v>
      </c>
      <c r="G126" s="50" t="s">
        <v>205</v>
      </c>
      <c r="H126" s="49" t="s">
        <v>445</v>
      </c>
      <c r="I126" s="49" t="s">
        <v>1034</v>
      </c>
      <c r="J126" s="49" t="s">
        <v>220</v>
      </c>
      <c r="K126" s="49" t="s">
        <v>209</v>
      </c>
      <c r="L126" s="49" t="s">
        <v>1035</v>
      </c>
      <c r="M126" s="49" t="s">
        <v>1036</v>
      </c>
      <c r="N126" s="49" t="s">
        <v>1037</v>
      </c>
      <c r="O126" s="49"/>
      <c r="P126" s="49"/>
      <c r="Q126" s="49" t="s">
        <v>1038</v>
      </c>
      <c r="R126" s="49" t="s">
        <v>225</v>
      </c>
      <c r="S126" s="49"/>
      <c r="T126" s="51" t="str">
        <f t="shared" si="2"/>
        <v>Sí</v>
      </c>
    </row>
    <row r="127" spans="1:20" ht="31.5" customHeight="1" x14ac:dyDescent="0.2">
      <c r="A127" s="48" t="s">
        <v>1179</v>
      </c>
      <c r="B127" s="48" t="s">
        <v>1180</v>
      </c>
      <c r="C127" s="49" t="s">
        <v>1181</v>
      </c>
      <c r="D127" s="49" t="s">
        <v>51</v>
      </c>
      <c r="E127" s="49" t="s">
        <v>48</v>
      </c>
      <c r="F127" s="49" t="s">
        <v>516</v>
      </c>
      <c r="G127" s="50" t="s">
        <v>205</v>
      </c>
      <c r="H127" s="49" t="s">
        <v>218</v>
      </c>
      <c r="I127" s="49" t="s">
        <v>1182</v>
      </c>
      <c r="J127" s="49" t="s">
        <v>220</v>
      </c>
      <c r="K127" s="49" t="s">
        <v>209</v>
      </c>
      <c r="L127" s="49" t="s">
        <v>1183</v>
      </c>
      <c r="M127" s="49" t="s">
        <v>1184</v>
      </c>
      <c r="N127" s="49" t="s">
        <v>1185</v>
      </c>
      <c r="O127" s="49"/>
      <c r="P127" s="49"/>
      <c r="Q127" s="49" t="s">
        <v>1186</v>
      </c>
      <c r="R127" s="49" t="s">
        <v>225</v>
      </c>
      <c r="S127" s="49" t="s">
        <v>1187</v>
      </c>
      <c r="T127" s="51" t="str">
        <f>IF(G130="","",IF(OR(G130="Tier 3"),"No",IF(AND(S130&lt;&gt;"",OR(ISNUMBER(SEARCH("OFAC",S130)),ISNUMBER(SEARCH("penal",S130)),ISNUMBER(SEARCH("rojo pendiente",S130)))),"Revisar","Sí")))</f>
        <v>Sí</v>
      </c>
    </row>
    <row r="128" spans="1:20" ht="31.5" customHeight="1" x14ac:dyDescent="0.2">
      <c r="A128" s="48" t="s">
        <v>1226</v>
      </c>
      <c r="B128" s="48" t="s">
        <v>1227</v>
      </c>
      <c r="C128" s="49" t="s">
        <v>1228</v>
      </c>
      <c r="D128" s="49" t="s">
        <v>51</v>
      </c>
      <c r="E128" s="49"/>
      <c r="F128" s="49" t="s">
        <v>516</v>
      </c>
      <c r="G128" s="50" t="s">
        <v>230</v>
      </c>
      <c r="H128" s="49" t="s">
        <v>269</v>
      </c>
      <c r="I128" s="49" t="s">
        <v>1229</v>
      </c>
      <c r="J128" s="49" t="s">
        <v>351</v>
      </c>
      <c r="K128" s="49" t="s">
        <v>209</v>
      </c>
      <c r="L128" s="49" t="s">
        <v>1230</v>
      </c>
      <c r="M128" s="49" t="s">
        <v>1231</v>
      </c>
      <c r="N128" s="49" t="s">
        <v>1232</v>
      </c>
      <c r="O128" s="49"/>
      <c r="P128" s="49" t="s">
        <v>1233</v>
      </c>
      <c r="Q128" s="49" t="s">
        <v>1234</v>
      </c>
      <c r="R128" s="49" t="s">
        <v>225</v>
      </c>
      <c r="S128" s="49"/>
      <c r="T128" s="51" t="s">
        <v>4259</v>
      </c>
    </row>
    <row r="129" spans="1:20" ht="31.5" customHeight="1" x14ac:dyDescent="0.2">
      <c r="A129" s="48" t="s">
        <v>1273</v>
      </c>
      <c r="B129" s="48" t="s">
        <v>1274</v>
      </c>
      <c r="C129" s="49" t="s">
        <v>1275</v>
      </c>
      <c r="D129" s="49" t="s">
        <v>51</v>
      </c>
      <c r="E129" s="49"/>
      <c r="F129" s="49" t="s">
        <v>516</v>
      </c>
      <c r="G129" s="50" t="s">
        <v>205</v>
      </c>
      <c r="H129" s="49" t="s">
        <v>218</v>
      </c>
      <c r="I129" s="49" t="s">
        <v>1276</v>
      </c>
      <c r="J129" s="49" t="s">
        <v>220</v>
      </c>
      <c r="K129" s="49" t="s">
        <v>209</v>
      </c>
      <c r="L129" s="49" t="s">
        <v>1277</v>
      </c>
      <c r="M129" s="49" t="s">
        <v>1278</v>
      </c>
      <c r="N129" s="49" t="s">
        <v>1279</v>
      </c>
      <c r="O129" s="49"/>
      <c r="P129" s="49"/>
      <c r="Q129" s="49" t="s">
        <v>1280</v>
      </c>
      <c r="R129" s="49" t="s">
        <v>225</v>
      </c>
      <c r="S129" s="49"/>
      <c r="T129" s="51" t="str">
        <f>IF(G134="","",IF(OR(G134="Tier 3"),"No",IF(AND(S134&lt;&gt;"",OR(ISNUMBER(SEARCH("OFAC",S134)),ISNUMBER(SEARCH("penal",S134)),ISNUMBER(SEARCH("rojo pendiente",S134)))),"Revisar","Sí")))</f>
        <v>No</v>
      </c>
    </row>
    <row r="130" spans="1:20" ht="31.5" customHeight="1" x14ac:dyDescent="0.2">
      <c r="A130" s="48" t="s">
        <v>1281</v>
      </c>
      <c r="B130" s="48" t="s">
        <v>1282</v>
      </c>
      <c r="C130" s="49" t="s">
        <v>1283</v>
      </c>
      <c r="D130" s="49" t="s">
        <v>51</v>
      </c>
      <c r="E130" s="49"/>
      <c r="F130" s="49" t="s">
        <v>516</v>
      </c>
      <c r="G130" s="50" t="s">
        <v>230</v>
      </c>
      <c r="H130" s="49" t="s">
        <v>206</v>
      </c>
      <c r="I130" s="49" t="s">
        <v>1284</v>
      </c>
      <c r="J130" s="49" t="s">
        <v>220</v>
      </c>
      <c r="K130" s="49" t="s">
        <v>209</v>
      </c>
      <c r="L130" s="49" t="s">
        <v>1285</v>
      </c>
      <c r="M130" s="49" t="s">
        <v>1286</v>
      </c>
      <c r="N130" s="49" t="s">
        <v>1287</v>
      </c>
      <c r="O130" s="49"/>
      <c r="P130" s="49"/>
      <c r="Q130" s="49" t="s">
        <v>1288</v>
      </c>
      <c r="R130" s="49" t="s">
        <v>225</v>
      </c>
      <c r="S130" s="49"/>
      <c r="T130" s="51" t="s">
        <v>4259</v>
      </c>
    </row>
    <row r="131" spans="1:20" ht="31.5" customHeight="1" x14ac:dyDescent="0.2">
      <c r="A131" s="48" t="s">
        <v>1296</v>
      </c>
      <c r="B131" s="48" t="s">
        <v>1297</v>
      </c>
      <c r="C131" s="49" t="s">
        <v>1298</v>
      </c>
      <c r="D131" s="49" t="s">
        <v>51</v>
      </c>
      <c r="E131" s="49"/>
      <c r="F131" s="49" t="s">
        <v>516</v>
      </c>
      <c r="G131" s="50" t="s">
        <v>205</v>
      </c>
      <c r="H131" s="49" t="s">
        <v>269</v>
      </c>
      <c r="I131" s="49" t="s">
        <v>231</v>
      </c>
      <c r="J131" s="49" t="s">
        <v>220</v>
      </c>
      <c r="K131" s="49" t="s">
        <v>209</v>
      </c>
      <c r="L131" s="49" t="s">
        <v>1299</v>
      </c>
      <c r="M131" s="49" t="s">
        <v>1300</v>
      </c>
      <c r="N131" s="49" t="s">
        <v>1301</v>
      </c>
      <c r="O131" s="49"/>
      <c r="P131" s="49"/>
      <c r="Q131" s="49" t="s">
        <v>1302</v>
      </c>
      <c r="R131" s="49" t="s">
        <v>225</v>
      </c>
      <c r="S131" s="49"/>
      <c r="T131" s="51" t="str">
        <f>IF(G136="","",IF(OR(G136="Tier 3"),"No",IF(AND(S136&lt;&gt;"",OR(ISNUMBER(SEARCH("OFAC",S136)),ISNUMBER(SEARCH("penal",S136)),ISNUMBER(SEARCH("rojo pendiente",S136)))),"Revisar","Sí")))</f>
        <v>No</v>
      </c>
    </row>
    <row r="132" spans="1:20" ht="31.5" customHeight="1" x14ac:dyDescent="0.2">
      <c r="A132" s="48" t="s">
        <v>244</v>
      </c>
      <c r="B132" s="48" t="s">
        <v>245</v>
      </c>
      <c r="C132" s="49" t="s">
        <v>246</v>
      </c>
      <c r="D132" s="49" t="s">
        <v>54</v>
      </c>
      <c r="E132" s="49" t="s">
        <v>247</v>
      </c>
      <c r="F132" s="49" t="s">
        <v>248</v>
      </c>
      <c r="G132" s="50" t="s">
        <v>230</v>
      </c>
      <c r="H132" s="49" t="s">
        <v>218</v>
      </c>
      <c r="I132" s="49" t="s">
        <v>249</v>
      </c>
      <c r="J132" s="49" t="s">
        <v>250</v>
      </c>
      <c r="K132" s="49" t="s">
        <v>209</v>
      </c>
      <c r="L132" s="49" t="s">
        <v>4249</v>
      </c>
      <c r="M132" s="49" t="s">
        <v>251</v>
      </c>
      <c r="N132" s="49" t="s">
        <v>252</v>
      </c>
      <c r="O132" s="49" t="s">
        <v>253</v>
      </c>
      <c r="P132" s="49" t="s">
        <v>4252</v>
      </c>
      <c r="Q132" s="49" t="s">
        <v>254</v>
      </c>
      <c r="R132" s="49" t="s">
        <v>225</v>
      </c>
      <c r="S132" s="49" t="s">
        <v>4251</v>
      </c>
      <c r="T132" s="51" t="str">
        <f>IF(G132="","",IF(OR(G132="Tier 3"),"No",IF(AND(S132&lt;&gt;"",OR(ISNUMBER(SEARCH("OFAC",S132)),ISNUMBER(SEARCH("penal",S132)),ISNUMBER(SEARCH("rojo pendiente",S132)))),"Revisar","Sí")))</f>
        <v>Sí</v>
      </c>
    </row>
    <row r="133" spans="1:20" ht="31.5" customHeight="1" x14ac:dyDescent="0.2">
      <c r="A133" s="48" t="s">
        <v>377</v>
      </c>
      <c r="B133" s="48" t="s">
        <v>378</v>
      </c>
      <c r="C133" s="49" t="s">
        <v>379</v>
      </c>
      <c r="D133" s="49" t="s">
        <v>54</v>
      </c>
      <c r="E133" s="49" t="s">
        <v>302</v>
      </c>
      <c r="F133" s="49" t="s">
        <v>380</v>
      </c>
      <c r="G133" s="50" t="s">
        <v>205</v>
      </c>
      <c r="H133" s="49" t="s">
        <v>269</v>
      </c>
      <c r="I133" s="49" t="s">
        <v>381</v>
      </c>
      <c r="J133" s="49" t="s">
        <v>250</v>
      </c>
      <c r="K133" s="49" t="s">
        <v>209</v>
      </c>
      <c r="L133" s="49" t="s">
        <v>382</v>
      </c>
      <c r="M133" s="49" t="s">
        <v>383</v>
      </c>
      <c r="N133" s="49" t="s">
        <v>384</v>
      </c>
      <c r="O133" s="49" t="s">
        <v>385</v>
      </c>
      <c r="P133" s="49" t="s">
        <v>386</v>
      </c>
      <c r="Q133" s="49" t="s">
        <v>387</v>
      </c>
      <c r="R133" s="49" t="s">
        <v>225</v>
      </c>
      <c r="S133" s="49" t="s">
        <v>388</v>
      </c>
      <c r="T133" s="51" t="str">
        <f>IF(G133="","",IF(OR(G133="Tier 3"),"No",IF(AND(S133&lt;&gt;"",OR(ISNUMBER(SEARCH("OFAC",S133)),ISNUMBER(SEARCH("penal",S133)),ISNUMBER(SEARCH("rojo pendiente",S133)))),"Revisar","Sí")))</f>
        <v>Sí</v>
      </c>
    </row>
    <row r="134" spans="1:20" ht="31.5" customHeight="1" x14ac:dyDescent="0.2">
      <c r="A134" s="48" t="s">
        <v>496</v>
      </c>
      <c r="B134" s="48" t="s">
        <v>497</v>
      </c>
      <c r="C134" s="49" t="s">
        <v>498</v>
      </c>
      <c r="D134" s="49" t="s">
        <v>54</v>
      </c>
      <c r="E134" s="49" t="s">
        <v>54</v>
      </c>
      <c r="F134" s="49" t="s">
        <v>248</v>
      </c>
      <c r="G134" s="50" t="s">
        <v>313</v>
      </c>
      <c r="H134" s="49" t="s">
        <v>340</v>
      </c>
      <c r="I134" s="49" t="s">
        <v>499</v>
      </c>
      <c r="J134" s="49" t="s">
        <v>250</v>
      </c>
      <c r="K134" s="49" t="s">
        <v>209</v>
      </c>
      <c r="L134" s="49" t="s">
        <v>500</v>
      </c>
      <c r="M134" s="49" t="s">
        <v>501</v>
      </c>
      <c r="N134" s="49" t="s">
        <v>502</v>
      </c>
      <c r="O134" s="49"/>
      <c r="P134" s="49"/>
      <c r="Q134" s="49" t="s">
        <v>503</v>
      </c>
      <c r="R134" s="49" t="s">
        <v>225</v>
      </c>
      <c r="S134" s="49"/>
      <c r="T134" s="51" t="str">
        <f>IF(G135="","",IF(OR(G135="Tier 3"),"No",IF(AND(S135&lt;&gt;"",OR(ISNUMBER(SEARCH("OFAC",S135)),ISNUMBER(SEARCH("penal",S135)),ISNUMBER(SEARCH("rojo pendiente",S135)))),"Revisar","Sí")))</f>
        <v>Sí</v>
      </c>
    </row>
    <row r="135" spans="1:20" ht="31.5" customHeight="1" x14ac:dyDescent="0.2">
      <c r="A135" s="48" t="s">
        <v>537</v>
      </c>
      <c r="B135" s="48" t="s">
        <v>538</v>
      </c>
      <c r="C135" s="49" t="s">
        <v>539</v>
      </c>
      <c r="D135" s="49" t="s">
        <v>54</v>
      </c>
      <c r="E135" s="49" t="s">
        <v>540</v>
      </c>
      <c r="F135" s="49" t="s">
        <v>541</v>
      </c>
      <c r="G135" s="50" t="s">
        <v>205</v>
      </c>
      <c r="H135" s="49" t="s">
        <v>218</v>
      </c>
      <c r="I135" s="49" t="s">
        <v>542</v>
      </c>
      <c r="J135" s="49" t="s">
        <v>250</v>
      </c>
      <c r="K135" s="49" t="s">
        <v>293</v>
      </c>
      <c r="L135" s="49" t="s">
        <v>543</v>
      </c>
      <c r="M135" s="49" t="s">
        <v>544</v>
      </c>
      <c r="N135" s="49" t="s">
        <v>545</v>
      </c>
      <c r="O135" s="49" t="s">
        <v>546</v>
      </c>
      <c r="P135" s="49" t="s">
        <v>547</v>
      </c>
      <c r="Q135" s="49" t="s">
        <v>548</v>
      </c>
      <c r="R135" s="49" t="s">
        <v>225</v>
      </c>
      <c r="S135" s="49"/>
      <c r="T135" s="51" t="str">
        <f>IF(G136="","",IF(OR(G136="Tier 3"),"No",IF(AND(S136&lt;&gt;"",OR(ISNUMBER(SEARCH("OFAC",S136)),ISNUMBER(SEARCH("penal",S136)),ISNUMBER(SEARCH("rojo pendiente",S136)))),"Revisar","Sí")))</f>
        <v>No</v>
      </c>
    </row>
    <row r="136" spans="1:20" ht="31.5" customHeight="1" x14ac:dyDescent="0.2">
      <c r="A136" s="48" t="s">
        <v>592</v>
      </c>
      <c r="B136" s="48" t="s">
        <v>593</v>
      </c>
      <c r="C136" s="49" t="s">
        <v>594</v>
      </c>
      <c r="D136" s="49" t="s">
        <v>54</v>
      </c>
      <c r="E136" s="49" t="s">
        <v>302</v>
      </c>
      <c r="F136" s="49" t="s">
        <v>595</v>
      </c>
      <c r="G136" s="50" t="s">
        <v>313</v>
      </c>
      <c r="H136" s="49" t="s">
        <v>269</v>
      </c>
      <c r="I136" s="49" t="s">
        <v>231</v>
      </c>
      <c r="J136" s="49" t="s">
        <v>250</v>
      </c>
      <c r="K136" s="49" t="s">
        <v>293</v>
      </c>
      <c r="L136" s="49" t="s">
        <v>596</v>
      </c>
      <c r="M136" s="49" t="s">
        <v>597</v>
      </c>
      <c r="N136" s="49" t="s">
        <v>598</v>
      </c>
      <c r="O136" s="49" t="s">
        <v>599</v>
      </c>
      <c r="P136" s="49" t="s">
        <v>600</v>
      </c>
      <c r="Q136" s="49" t="s">
        <v>601</v>
      </c>
      <c r="R136" s="49" t="s">
        <v>225</v>
      </c>
      <c r="S136" s="49"/>
      <c r="T136" s="51" t="str">
        <f>IF(G137="","",IF(OR(G137="Tier 3"),"No",IF(AND(S137&lt;&gt;"",OR(ISNUMBER(SEARCH("OFAC",S137)),ISNUMBER(SEARCH("penal",S137)),ISNUMBER(SEARCH("rojo pendiente",S137)))),"Revisar","Sí")))</f>
        <v>Sí</v>
      </c>
    </row>
    <row r="137" spans="1:20" ht="31.5" customHeight="1" x14ac:dyDescent="0.2">
      <c r="A137" s="48" t="s">
        <v>622</v>
      </c>
      <c r="B137" s="48" t="s">
        <v>623</v>
      </c>
      <c r="C137" s="49" t="s">
        <v>624</v>
      </c>
      <c r="D137" s="49" t="s">
        <v>54</v>
      </c>
      <c r="E137" s="49" t="s">
        <v>474</v>
      </c>
      <c r="F137" s="49" t="s">
        <v>380</v>
      </c>
      <c r="G137" s="50" t="s">
        <v>205</v>
      </c>
      <c r="H137" s="49" t="s">
        <v>269</v>
      </c>
      <c r="I137" s="49" t="s">
        <v>625</v>
      </c>
      <c r="J137" s="49" t="s">
        <v>250</v>
      </c>
      <c r="K137" s="49" t="s">
        <v>209</v>
      </c>
      <c r="L137" s="49" t="s">
        <v>626</v>
      </c>
      <c r="M137" s="49" t="s">
        <v>627</v>
      </c>
      <c r="N137" s="49" t="s">
        <v>628</v>
      </c>
      <c r="O137" s="49" t="s">
        <v>629</v>
      </c>
      <c r="P137" s="49" t="s">
        <v>630</v>
      </c>
      <c r="Q137" s="49" t="s">
        <v>631</v>
      </c>
      <c r="R137" s="49" t="s">
        <v>225</v>
      </c>
      <c r="S137" s="49"/>
      <c r="T137" s="51" t="str">
        <f>IF(G138="","",IF(OR(G138="Tier 3"),"No",IF(AND(S138&lt;&gt;"",OR(ISNUMBER(SEARCH("OFAC",S138)),ISNUMBER(SEARCH("penal",S138)),ISNUMBER(SEARCH("rojo pendiente",S138)))),"Revisar","Sí")))</f>
        <v>Sí</v>
      </c>
    </row>
    <row r="138" spans="1:20" ht="31.5" customHeight="1" x14ac:dyDescent="0.2">
      <c r="A138" s="48" t="s">
        <v>640</v>
      </c>
      <c r="B138" s="48" t="s">
        <v>641</v>
      </c>
      <c r="C138" s="49" t="s">
        <v>642</v>
      </c>
      <c r="D138" s="49" t="s">
        <v>54</v>
      </c>
      <c r="E138" s="49" t="s">
        <v>605</v>
      </c>
      <c r="F138" s="49" t="s">
        <v>248</v>
      </c>
      <c r="G138" s="50" t="s">
        <v>230</v>
      </c>
      <c r="H138" s="49" t="s">
        <v>269</v>
      </c>
      <c r="I138" s="49" t="s">
        <v>643</v>
      </c>
      <c r="J138" s="49" t="s">
        <v>250</v>
      </c>
      <c r="K138" s="49" t="s">
        <v>293</v>
      </c>
      <c r="L138" s="49" t="s">
        <v>644</v>
      </c>
      <c r="M138" s="49" t="s">
        <v>645</v>
      </c>
      <c r="N138" s="49" t="s">
        <v>646</v>
      </c>
      <c r="O138" s="49"/>
      <c r="P138" s="49"/>
      <c r="Q138" s="49"/>
      <c r="R138" s="49" t="s">
        <v>225</v>
      </c>
      <c r="S138" s="49" t="s">
        <v>512</v>
      </c>
      <c r="T138" s="51" t="s">
        <v>1530</v>
      </c>
    </row>
    <row r="139" spans="1:20" ht="31.5" customHeight="1" x14ac:dyDescent="0.2">
      <c r="A139" s="48" t="s">
        <v>671</v>
      </c>
      <c r="B139" s="48" t="s">
        <v>672</v>
      </c>
      <c r="C139" s="49" t="s">
        <v>673</v>
      </c>
      <c r="D139" s="49" t="s">
        <v>54</v>
      </c>
      <c r="E139" s="49" t="s">
        <v>674</v>
      </c>
      <c r="F139" s="49" t="s">
        <v>248</v>
      </c>
      <c r="G139" s="50" t="s">
        <v>205</v>
      </c>
      <c r="H139" s="49" t="s">
        <v>218</v>
      </c>
      <c r="I139" s="49" t="s">
        <v>675</v>
      </c>
      <c r="J139" s="49" t="s">
        <v>250</v>
      </c>
      <c r="K139" s="49" t="s">
        <v>209</v>
      </c>
      <c r="L139" s="49" t="s">
        <v>676</v>
      </c>
      <c r="M139" s="49" t="s">
        <v>677</v>
      </c>
      <c r="N139" s="49" t="s">
        <v>678</v>
      </c>
      <c r="O139" s="49"/>
      <c r="P139" s="49"/>
      <c r="Q139" s="49" t="s">
        <v>679</v>
      </c>
      <c r="R139" s="49" t="s">
        <v>225</v>
      </c>
      <c r="S139" s="49"/>
      <c r="T139" s="51" t="str">
        <f t="shared" ref="T139:T147" si="3">IF(G141="","",IF(OR(G141="Tier 3"),"No",IF(AND(S141&lt;&gt;"",OR(ISNUMBER(SEARCH("OFAC",S141)),ISNUMBER(SEARCH("penal",S141)),ISNUMBER(SEARCH("rojo pendiente",S141)))),"Revisar","Sí")))</f>
        <v>Sí</v>
      </c>
    </row>
    <row r="140" spans="1:20" ht="31.5" customHeight="1" x14ac:dyDescent="0.2">
      <c r="A140" s="48" t="s">
        <v>720</v>
      </c>
      <c r="B140" s="48" t="s">
        <v>721</v>
      </c>
      <c r="C140" s="49" t="s">
        <v>722</v>
      </c>
      <c r="D140" s="49" t="s">
        <v>54</v>
      </c>
      <c r="E140" s="49" t="s">
        <v>403</v>
      </c>
      <c r="F140" s="49" t="s">
        <v>380</v>
      </c>
      <c r="G140" s="50" t="s">
        <v>205</v>
      </c>
      <c r="H140" s="49" t="s">
        <v>269</v>
      </c>
      <c r="I140" s="49" t="s">
        <v>231</v>
      </c>
      <c r="J140" s="49" t="s">
        <v>250</v>
      </c>
      <c r="K140" s="49" t="s">
        <v>293</v>
      </c>
      <c r="L140" s="49" t="s">
        <v>723</v>
      </c>
      <c r="M140" s="49" t="s">
        <v>724</v>
      </c>
      <c r="N140" s="49" t="s">
        <v>725</v>
      </c>
      <c r="O140" s="49" t="s">
        <v>726</v>
      </c>
      <c r="P140" s="49" t="s">
        <v>727</v>
      </c>
      <c r="Q140" s="49" t="s">
        <v>728</v>
      </c>
      <c r="R140" s="49" t="s">
        <v>225</v>
      </c>
      <c r="S140" s="49"/>
      <c r="T140" s="51" t="str">
        <f t="shared" si="3"/>
        <v>Sí</v>
      </c>
    </row>
    <row r="141" spans="1:20" ht="31.5" customHeight="1" x14ac:dyDescent="0.2">
      <c r="A141" s="48" t="s">
        <v>739</v>
      </c>
      <c r="B141" s="48" t="s">
        <v>740</v>
      </c>
      <c r="C141" s="49" t="s">
        <v>741</v>
      </c>
      <c r="D141" s="49" t="s">
        <v>54</v>
      </c>
      <c r="E141" s="49" t="s">
        <v>742</v>
      </c>
      <c r="F141" s="49" t="s">
        <v>380</v>
      </c>
      <c r="G141" s="50" t="s">
        <v>205</v>
      </c>
      <c r="H141" s="49" t="s">
        <v>269</v>
      </c>
      <c r="I141" s="49" t="s">
        <v>743</v>
      </c>
      <c r="J141" s="49" t="s">
        <v>250</v>
      </c>
      <c r="K141" s="49" t="s">
        <v>209</v>
      </c>
      <c r="L141" s="49" t="s">
        <v>744</v>
      </c>
      <c r="M141" s="49" t="s">
        <v>745</v>
      </c>
      <c r="N141" s="49" t="s">
        <v>746</v>
      </c>
      <c r="O141" s="49" t="s">
        <v>747</v>
      </c>
      <c r="P141" s="49" t="s">
        <v>748</v>
      </c>
      <c r="Q141" s="49" t="s">
        <v>749</v>
      </c>
      <c r="R141" s="49" t="s">
        <v>225</v>
      </c>
      <c r="S141" s="49" t="s">
        <v>750</v>
      </c>
      <c r="T141" s="51" t="str">
        <f t="shared" si="3"/>
        <v>Sí</v>
      </c>
    </row>
    <row r="142" spans="1:20" ht="31.5" customHeight="1" x14ac:dyDescent="0.2">
      <c r="A142" s="48" t="s">
        <v>751</v>
      </c>
      <c r="B142" s="48" t="s">
        <v>752</v>
      </c>
      <c r="C142" s="49" t="s">
        <v>753</v>
      </c>
      <c r="D142" s="49" t="s">
        <v>54</v>
      </c>
      <c r="E142" s="49" t="s">
        <v>754</v>
      </c>
      <c r="F142" s="49" t="s">
        <v>595</v>
      </c>
      <c r="G142" s="50" t="s">
        <v>205</v>
      </c>
      <c r="H142" s="49" t="s">
        <v>269</v>
      </c>
      <c r="I142" s="49" t="s">
        <v>231</v>
      </c>
      <c r="J142" s="49" t="s">
        <v>250</v>
      </c>
      <c r="K142" s="49" t="s">
        <v>293</v>
      </c>
      <c r="L142" s="49" t="s">
        <v>755</v>
      </c>
      <c r="M142" s="49" t="s">
        <v>756</v>
      </c>
      <c r="N142" s="49" t="s">
        <v>757</v>
      </c>
      <c r="O142" s="49" t="s">
        <v>758</v>
      </c>
      <c r="P142" s="49" t="s">
        <v>759</v>
      </c>
      <c r="Q142" s="49"/>
      <c r="R142" s="49" t="s">
        <v>225</v>
      </c>
      <c r="S142" s="49"/>
      <c r="T142" s="51" t="str">
        <f t="shared" si="3"/>
        <v>Sí</v>
      </c>
    </row>
    <row r="143" spans="1:20" ht="31.5" customHeight="1" x14ac:dyDescent="0.2">
      <c r="A143" s="48" t="s">
        <v>771</v>
      </c>
      <c r="B143" s="48" t="s">
        <v>772</v>
      </c>
      <c r="C143" s="49" t="s">
        <v>773</v>
      </c>
      <c r="D143" s="49" t="s">
        <v>54</v>
      </c>
      <c r="E143" s="49" t="s">
        <v>302</v>
      </c>
      <c r="F143" s="49" t="s">
        <v>380</v>
      </c>
      <c r="G143" s="50" t="s">
        <v>205</v>
      </c>
      <c r="H143" s="49" t="s">
        <v>269</v>
      </c>
      <c r="I143" s="49" t="s">
        <v>467</v>
      </c>
      <c r="J143" s="49" t="s">
        <v>250</v>
      </c>
      <c r="K143" s="49" t="s">
        <v>209</v>
      </c>
      <c r="L143" s="49" t="s">
        <v>774</v>
      </c>
      <c r="M143" s="49" t="s">
        <v>775</v>
      </c>
      <c r="N143" s="49" t="s">
        <v>776</v>
      </c>
      <c r="O143" s="49" t="s">
        <v>777</v>
      </c>
      <c r="P143" s="49" t="s">
        <v>778</v>
      </c>
      <c r="Q143" s="49" t="s">
        <v>779</v>
      </c>
      <c r="R143" s="49" t="s">
        <v>225</v>
      </c>
      <c r="S143" s="49" t="s">
        <v>780</v>
      </c>
      <c r="T143" s="51" t="str">
        <f t="shared" si="3"/>
        <v>Sí</v>
      </c>
    </row>
    <row r="144" spans="1:20" ht="31.5" customHeight="1" x14ac:dyDescent="0.2">
      <c r="A144" s="48" t="s">
        <v>781</v>
      </c>
      <c r="B144" s="48" t="s">
        <v>782</v>
      </c>
      <c r="C144" s="49" t="s">
        <v>783</v>
      </c>
      <c r="D144" s="49" t="s">
        <v>54</v>
      </c>
      <c r="E144" s="49" t="s">
        <v>784</v>
      </c>
      <c r="F144" s="49" t="s">
        <v>541</v>
      </c>
      <c r="G144" s="50" t="s">
        <v>205</v>
      </c>
      <c r="H144" s="49" t="s">
        <v>269</v>
      </c>
      <c r="I144" s="49" t="s">
        <v>785</v>
      </c>
      <c r="J144" s="49" t="s">
        <v>250</v>
      </c>
      <c r="K144" s="49" t="s">
        <v>209</v>
      </c>
      <c r="L144" s="49" t="s">
        <v>786</v>
      </c>
      <c r="M144" s="49" t="s">
        <v>787</v>
      </c>
      <c r="N144" s="49" t="s">
        <v>788</v>
      </c>
      <c r="O144" s="49" t="s">
        <v>789</v>
      </c>
      <c r="P144" s="49" t="s">
        <v>790</v>
      </c>
      <c r="Q144" s="49" t="s">
        <v>791</v>
      </c>
      <c r="R144" s="49" t="s">
        <v>225</v>
      </c>
      <c r="S144" s="49" t="s">
        <v>792</v>
      </c>
      <c r="T144" s="51" t="str">
        <f t="shared" si="3"/>
        <v>Sí</v>
      </c>
    </row>
    <row r="145" spans="1:20" ht="31.5" customHeight="1" x14ac:dyDescent="0.2">
      <c r="A145" s="48" t="s">
        <v>793</v>
      </c>
      <c r="B145" s="48" t="s">
        <v>794</v>
      </c>
      <c r="C145" s="49" t="s">
        <v>795</v>
      </c>
      <c r="D145" s="49" t="s">
        <v>54</v>
      </c>
      <c r="E145" s="49" t="s">
        <v>24</v>
      </c>
      <c r="F145" s="49" t="s">
        <v>541</v>
      </c>
      <c r="G145" s="50" t="s">
        <v>205</v>
      </c>
      <c r="H145" s="49" t="s">
        <v>269</v>
      </c>
      <c r="I145" s="49" t="s">
        <v>796</v>
      </c>
      <c r="J145" s="49" t="s">
        <v>250</v>
      </c>
      <c r="K145" s="49" t="s">
        <v>209</v>
      </c>
      <c r="L145" s="49" t="s">
        <v>797</v>
      </c>
      <c r="M145" s="49" t="s">
        <v>798</v>
      </c>
      <c r="N145" s="49" t="s">
        <v>799</v>
      </c>
      <c r="O145" s="49" t="s">
        <v>800</v>
      </c>
      <c r="P145" s="49" t="s">
        <v>801</v>
      </c>
      <c r="Q145" s="49" t="s">
        <v>791</v>
      </c>
      <c r="R145" s="49" t="s">
        <v>225</v>
      </c>
      <c r="S145" s="49" t="s">
        <v>802</v>
      </c>
      <c r="T145" s="51" t="str">
        <f t="shared" si="3"/>
        <v>Sí</v>
      </c>
    </row>
    <row r="146" spans="1:20" ht="31.5" customHeight="1" x14ac:dyDescent="0.2">
      <c r="A146" s="48" t="s">
        <v>803</v>
      </c>
      <c r="B146" s="48" t="s">
        <v>804</v>
      </c>
      <c r="C146" s="49" t="s">
        <v>805</v>
      </c>
      <c r="D146" s="49" t="s">
        <v>54</v>
      </c>
      <c r="E146" s="49" t="s">
        <v>247</v>
      </c>
      <c r="F146" s="49" t="s">
        <v>380</v>
      </c>
      <c r="G146" s="50" t="s">
        <v>230</v>
      </c>
      <c r="H146" s="49" t="s">
        <v>269</v>
      </c>
      <c r="I146" s="49"/>
      <c r="J146" s="49" t="s">
        <v>250</v>
      </c>
      <c r="K146" s="49" t="s">
        <v>209</v>
      </c>
      <c r="L146" s="49" t="s">
        <v>806</v>
      </c>
      <c r="M146" s="49" t="s">
        <v>807</v>
      </c>
      <c r="N146" s="49" t="s">
        <v>808</v>
      </c>
      <c r="O146" s="49" t="s">
        <v>809</v>
      </c>
      <c r="P146" s="49" t="s">
        <v>810</v>
      </c>
      <c r="Q146" s="49"/>
      <c r="R146" s="49" t="s">
        <v>225</v>
      </c>
      <c r="S146" s="49"/>
      <c r="T146" s="51" t="str">
        <f t="shared" si="3"/>
        <v>Sí</v>
      </c>
    </row>
    <row r="147" spans="1:20" ht="31.5" customHeight="1" x14ac:dyDescent="0.2">
      <c r="A147" s="48" t="s">
        <v>811</v>
      </c>
      <c r="B147" s="48" t="s">
        <v>812</v>
      </c>
      <c r="C147" s="49" t="s">
        <v>813</v>
      </c>
      <c r="D147" s="49" t="s">
        <v>54</v>
      </c>
      <c r="E147" s="49" t="s">
        <v>814</v>
      </c>
      <c r="F147" s="49" t="s">
        <v>380</v>
      </c>
      <c r="G147" s="50" t="s">
        <v>230</v>
      </c>
      <c r="H147" s="49" t="s">
        <v>269</v>
      </c>
      <c r="I147" s="49" t="s">
        <v>231</v>
      </c>
      <c r="J147" s="49" t="s">
        <v>250</v>
      </c>
      <c r="K147" s="49" t="s">
        <v>293</v>
      </c>
      <c r="L147" s="49" t="s">
        <v>815</v>
      </c>
      <c r="M147" s="49" t="s">
        <v>816</v>
      </c>
      <c r="N147" s="49" t="s">
        <v>817</v>
      </c>
      <c r="O147" s="49" t="s">
        <v>818</v>
      </c>
      <c r="P147" s="49" t="s">
        <v>819</v>
      </c>
      <c r="Q147" s="49" t="s">
        <v>820</v>
      </c>
      <c r="R147" s="49" t="s">
        <v>225</v>
      </c>
      <c r="S147" s="49" t="s">
        <v>821</v>
      </c>
      <c r="T147" s="51" t="str">
        <f t="shared" si="3"/>
        <v>Sí</v>
      </c>
    </row>
    <row r="148" spans="1:20" ht="31.5" customHeight="1" x14ac:dyDescent="0.2">
      <c r="A148" s="48" t="s">
        <v>822</v>
      </c>
      <c r="B148" s="48" t="s">
        <v>823</v>
      </c>
      <c r="C148" s="49" t="s">
        <v>824</v>
      </c>
      <c r="D148" s="49" t="s">
        <v>54</v>
      </c>
      <c r="E148" s="49" t="s">
        <v>302</v>
      </c>
      <c r="F148" s="49" t="s">
        <v>380</v>
      </c>
      <c r="G148" s="50" t="s">
        <v>230</v>
      </c>
      <c r="H148" s="49" t="s">
        <v>269</v>
      </c>
      <c r="I148" s="49" t="s">
        <v>825</v>
      </c>
      <c r="J148" s="49" t="s">
        <v>250</v>
      </c>
      <c r="K148" s="49" t="s">
        <v>406</v>
      </c>
      <c r="L148" s="49" t="s">
        <v>826</v>
      </c>
      <c r="M148" s="49" t="s">
        <v>827</v>
      </c>
      <c r="N148" s="49" t="s">
        <v>828</v>
      </c>
      <c r="O148" s="49" t="s">
        <v>829</v>
      </c>
      <c r="P148" s="49" t="s">
        <v>830</v>
      </c>
      <c r="Q148" s="49" t="s">
        <v>831</v>
      </c>
      <c r="R148" s="49" t="s">
        <v>225</v>
      </c>
      <c r="S148" s="49"/>
      <c r="T148" s="51" t="e">
        <f>IF(#REF!="","",IF(OR(#REF!="Tier 3"),"No",IF(AND(#REF!&lt;&gt;"",OR(ISNUMBER(SEARCH("OFAC",#REF!)),ISNUMBER(SEARCH("penal",#REF!)),ISNUMBER(SEARCH("rojo pendiente",#REF!)))),"Revisar","Sí")))</f>
        <v>#REF!</v>
      </c>
    </row>
    <row r="149" spans="1:20" ht="31.5" customHeight="1" x14ac:dyDescent="0.2">
      <c r="A149" s="48" t="s">
        <v>902</v>
      </c>
      <c r="B149" s="48" t="s">
        <v>903</v>
      </c>
      <c r="C149" s="49" t="s">
        <v>904</v>
      </c>
      <c r="D149" s="49" t="s">
        <v>54</v>
      </c>
      <c r="E149" s="49" t="s">
        <v>302</v>
      </c>
      <c r="F149" s="49" t="s">
        <v>380</v>
      </c>
      <c r="G149" s="50" t="s">
        <v>230</v>
      </c>
      <c r="H149" s="49" t="s">
        <v>218</v>
      </c>
      <c r="I149" s="49" t="s">
        <v>905</v>
      </c>
      <c r="J149" s="49" t="s">
        <v>250</v>
      </c>
      <c r="K149" s="49" t="s">
        <v>209</v>
      </c>
      <c r="L149" s="49" t="s">
        <v>906</v>
      </c>
      <c r="M149" s="49" t="s">
        <v>907</v>
      </c>
      <c r="N149" s="49" t="s">
        <v>908</v>
      </c>
      <c r="O149" s="49" t="s">
        <v>909</v>
      </c>
      <c r="P149" s="49" t="s">
        <v>910</v>
      </c>
      <c r="Q149" s="49" t="s">
        <v>911</v>
      </c>
      <c r="R149" s="49" t="s">
        <v>225</v>
      </c>
      <c r="S149" s="49"/>
      <c r="T149" s="51" t="str">
        <f>IF(G151="","",IF(OR(G151="Tier 3"),"No",IF(AND(S151&lt;&gt;"",OR(ISNUMBER(SEARCH("OFAC",S151)),ISNUMBER(SEARCH("penal",S151)),ISNUMBER(SEARCH("rojo pendiente",S151)))),"Revisar","Sí")))</f>
        <v>Sí</v>
      </c>
    </row>
    <row r="150" spans="1:20" ht="31.5" customHeight="1" x14ac:dyDescent="0.2">
      <c r="A150" s="48" t="s">
        <v>1084</v>
      </c>
      <c r="B150" s="48" t="s">
        <v>1085</v>
      </c>
      <c r="C150" s="49" t="s">
        <v>1086</v>
      </c>
      <c r="D150" s="49" t="s">
        <v>54</v>
      </c>
      <c r="E150" s="49" t="s">
        <v>972</v>
      </c>
      <c r="F150" s="49" t="s">
        <v>1087</v>
      </c>
      <c r="G150" s="50" t="s">
        <v>230</v>
      </c>
      <c r="H150" s="49" t="s">
        <v>218</v>
      </c>
      <c r="I150" s="49" t="s">
        <v>1088</v>
      </c>
      <c r="J150" s="49" t="s">
        <v>351</v>
      </c>
      <c r="K150" s="49" t="s">
        <v>209</v>
      </c>
      <c r="L150" s="49" t="s">
        <v>1089</v>
      </c>
      <c r="M150" s="49" t="s">
        <v>1090</v>
      </c>
      <c r="N150" s="49" t="s">
        <v>1091</v>
      </c>
      <c r="O150" s="49"/>
      <c r="P150" s="49"/>
      <c r="Q150" s="49" t="s">
        <v>1092</v>
      </c>
      <c r="R150" s="49" t="s">
        <v>225</v>
      </c>
      <c r="S150" s="49"/>
      <c r="T150" s="51" t="str">
        <f>IF(G152="","",IF(OR(G152="Tier 3"),"No",IF(AND(S152&lt;&gt;"",OR(ISNUMBER(SEARCH("OFAC",S152)),ISNUMBER(SEARCH("penal",S152)),ISNUMBER(SEARCH("rojo pendiente",S152)))),"Revisar","Sí")))</f>
        <v>Sí</v>
      </c>
    </row>
    <row r="151" spans="1:20" ht="31.5" customHeight="1" x14ac:dyDescent="0.2">
      <c r="A151" s="48" t="s">
        <v>1149</v>
      </c>
      <c r="B151" s="48" t="s">
        <v>1150</v>
      </c>
      <c r="C151" s="49" t="s">
        <v>1151</v>
      </c>
      <c r="D151" s="49" t="s">
        <v>54</v>
      </c>
      <c r="E151" s="49" t="s">
        <v>784</v>
      </c>
      <c r="F151" s="49" t="s">
        <v>541</v>
      </c>
      <c r="G151" s="50" t="s">
        <v>205</v>
      </c>
      <c r="H151" s="49" t="s">
        <v>269</v>
      </c>
      <c r="I151" s="49" t="s">
        <v>231</v>
      </c>
      <c r="J151" s="49" t="s">
        <v>250</v>
      </c>
      <c r="K151" s="49" t="s">
        <v>209</v>
      </c>
      <c r="L151" s="49" t="s">
        <v>1152</v>
      </c>
      <c r="M151" s="49" t="s">
        <v>1153</v>
      </c>
      <c r="N151" s="49" t="s">
        <v>1154</v>
      </c>
      <c r="O151" s="49" t="s">
        <v>1155</v>
      </c>
      <c r="P151" s="49" t="s">
        <v>1156</v>
      </c>
      <c r="Q151" s="49" t="s">
        <v>1157</v>
      </c>
      <c r="R151" s="49" t="s">
        <v>225</v>
      </c>
      <c r="S151" s="49" t="s">
        <v>1158</v>
      </c>
      <c r="T151" s="51" t="str">
        <f>IF(G154="","",IF(OR(G154="Tier 3"),"No",IF(AND(S154&lt;&gt;"",OR(ISNUMBER(SEARCH("OFAC",S154)),ISNUMBER(SEARCH("penal",S154)),ISNUMBER(SEARCH("rojo pendiente",S154)))),"Revisar","Sí")))</f>
        <v>No</v>
      </c>
    </row>
    <row r="152" spans="1:20" ht="31.5" customHeight="1" x14ac:dyDescent="0.2">
      <c r="A152" s="146" t="s">
        <v>1196</v>
      </c>
      <c r="B152" s="146" t="s">
        <v>1197</v>
      </c>
      <c r="C152" s="148" t="s">
        <v>1198</v>
      </c>
      <c r="D152" s="148" t="s">
        <v>54</v>
      </c>
      <c r="E152" s="148" t="s">
        <v>1199</v>
      </c>
      <c r="F152" s="148" t="s">
        <v>248</v>
      </c>
      <c r="G152" s="147" t="s">
        <v>230</v>
      </c>
      <c r="H152" s="148" t="s">
        <v>983</v>
      </c>
      <c r="I152" s="148" t="s">
        <v>1200</v>
      </c>
      <c r="J152" s="148" t="s">
        <v>250</v>
      </c>
      <c r="K152" s="148" t="s">
        <v>406</v>
      </c>
      <c r="L152" s="148" t="s">
        <v>1201</v>
      </c>
      <c r="M152" s="148" t="s">
        <v>1202</v>
      </c>
      <c r="N152" s="148" t="s">
        <v>1203</v>
      </c>
      <c r="O152" s="148" t="s">
        <v>981</v>
      </c>
      <c r="P152" s="148" t="s">
        <v>1204</v>
      </c>
      <c r="Q152" s="148" t="s">
        <v>1205</v>
      </c>
      <c r="R152" s="148" t="s">
        <v>225</v>
      </c>
      <c r="S152" s="148"/>
      <c r="T152" s="51" t="str">
        <f>IF(G155="","",IF(OR(G155="Tier 3"),"No",IF(AND(S155&lt;&gt;"",OR(ISNUMBER(SEARCH("OFAC",S155)),ISNUMBER(SEARCH("penal",S155)),ISNUMBER(SEARCH("rojo pendiente",S155)))),"Revisar","Sí")))</f>
        <v/>
      </c>
    </row>
    <row r="153" spans="1:20" ht="31.5" customHeight="1" x14ac:dyDescent="0.2">
      <c r="A153" s="146" t="s">
        <v>1319</v>
      </c>
      <c r="B153" s="146" t="s">
        <v>1320</v>
      </c>
      <c r="C153" s="148" t="s">
        <v>1321</v>
      </c>
      <c r="D153" s="148" t="s">
        <v>54</v>
      </c>
      <c r="E153" s="148" t="s">
        <v>54</v>
      </c>
      <c r="F153" s="148" t="s">
        <v>248</v>
      </c>
      <c r="G153" s="147" t="s">
        <v>313</v>
      </c>
      <c r="H153" s="148" t="s">
        <v>218</v>
      </c>
      <c r="I153" s="148" t="s">
        <v>499</v>
      </c>
      <c r="J153" s="148" t="s">
        <v>250</v>
      </c>
      <c r="K153" s="148" t="s">
        <v>293</v>
      </c>
      <c r="L153" s="148" t="s">
        <v>1322</v>
      </c>
      <c r="M153" s="148" t="s">
        <v>1323</v>
      </c>
      <c r="N153" s="148" t="s">
        <v>1324</v>
      </c>
      <c r="O153" s="148"/>
      <c r="P153" s="148"/>
      <c r="Q153" s="148" t="s">
        <v>1325</v>
      </c>
      <c r="R153" s="148" t="s">
        <v>225</v>
      </c>
      <c r="S153" s="148"/>
      <c r="T153" s="51" t="str">
        <f>IF(G158="","",IF(OR(G158="Tier 3"),"No",IF(AND(S158&lt;&gt;"",OR(ISNUMBER(SEARCH("OFAC",S158)),ISNUMBER(SEARCH("penal",S158)),ISNUMBER(SEARCH("rojo pendiente",S158)))),"Revisar","Sí")))</f>
        <v/>
      </c>
    </row>
    <row r="154" spans="1:20" ht="31.5" customHeight="1" x14ac:dyDescent="0.2">
      <c r="A154" s="146" t="s">
        <v>729</v>
      </c>
      <c r="B154" s="146" t="s">
        <v>730</v>
      </c>
      <c r="C154" s="148" t="s">
        <v>731</v>
      </c>
      <c r="D154" s="148"/>
      <c r="E154" s="148"/>
      <c r="F154" s="148" t="s">
        <v>595</v>
      </c>
      <c r="G154" s="147" t="s">
        <v>313</v>
      </c>
      <c r="H154" s="148" t="s">
        <v>269</v>
      </c>
      <c r="I154" s="148" t="s">
        <v>231</v>
      </c>
      <c r="J154" s="148" t="s">
        <v>250</v>
      </c>
      <c r="K154" s="148" t="s">
        <v>293</v>
      </c>
      <c r="L154" s="148" t="s">
        <v>732</v>
      </c>
      <c r="M154" s="148" t="s">
        <v>733</v>
      </c>
      <c r="N154" s="148" t="s">
        <v>734</v>
      </c>
      <c r="O154" s="148" t="s">
        <v>735</v>
      </c>
      <c r="P154" s="148" t="s">
        <v>736</v>
      </c>
      <c r="Q154" s="148" t="s">
        <v>737</v>
      </c>
      <c r="R154" s="148" t="s">
        <v>225</v>
      </c>
      <c r="S154" s="148" t="s">
        <v>738</v>
      </c>
      <c r="T154" s="51" t="str">
        <f>IF(G156="","",IF(OR(G156="Tier 3"),"No",IF(AND(S156&lt;&gt;"",OR(ISNUMBER(SEARCH("OFAC",S156)),ISNUMBER(SEARCH("penal",S156)),ISNUMBER(SEARCH("rojo pendiente",S156)))),"Revisar","Sí")))</f>
        <v/>
      </c>
    </row>
    <row r="155" spans="1:20" ht="31.5" customHeight="1" x14ac:dyDescent="0.2">
      <c r="A155" s="52"/>
      <c r="B155" s="52"/>
      <c r="C155" s="52"/>
      <c r="D155" s="52"/>
      <c r="E155" s="52"/>
      <c r="F155" s="52"/>
      <c r="G155" s="52"/>
      <c r="H155" s="52"/>
      <c r="I155" s="52"/>
      <c r="J155" s="52"/>
      <c r="K155" s="52"/>
      <c r="L155" s="52"/>
      <c r="M155" s="52"/>
      <c r="N155" s="52"/>
      <c r="O155" s="52"/>
      <c r="P155" s="52"/>
      <c r="Q155" s="52"/>
      <c r="R155" s="52"/>
      <c r="S155" s="52"/>
      <c r="T155" s="51" t="str">
        <f t="shared" ref="T155:T218" si="4">IF(G162="","",IF(OR(G162="Tier 3"),"No",IF(AND(S162&lt;&gt;"",OR(ISNUMBER(SEARCH("OFAC",S162)),ISNUMBER(SEARCH("penal",S162)),ISNUMBER(SEARCH("rojo pendiente",S162)))),"Revisar","Sí")))</f>
        <v/>
      </c>
    </row>
    <row r="156" spans="1:20" ht="31.5" customHeight="1" x14ac:dyDescent="0.2">
      <c r="A156" s="52"/>
      <c r="B156" s="52"/>
      <c r="C156" s="52"/>
      <c r="D156" s="52"/>
      <c r="E156" s="52"/>
      <c r="F156" s="52"/>
      <c r="G156" s="52"/>
      <c r="H156" s="52"/>
      <c r="I156" s="52"/>
      <c r="J156" s="52"/>
      <c r="K156" s="52"/>
      <c r="L156" s="52"/>
      <c r="M156" s="52"/>
      <c r="N156" s="52"/>
      <c r="O156" s="52"/>
      <c r="P156" s="52"/>
      <c r="Q156" s="52"/>
      <c r="R156" s="52"/>
      <c r="S156" s="52"/>
      <c r="T156" s="51" t="str">
        <f t="shared" si="4"/>
        <v/>
      </c>
    </row>
    <row r="157" spans="1:20" ht="31.5" customHeight="1" x14ac:dyDescent="0.2">
      <c r="A157" s="52"/>
      <c r="B157" s="52"/>
      <c r="C157" s="52"/>
      <c r="D157" s="52"/>
      <c r="E157" s="52"/>
      <c r="F157" s="52"/>
      <c r="G157" s="52"/>
      <c r="H157" s="52"/>
      <c r="I157" s="52"/>
      <c r="J157" s="52"/>
      <c r="K157" s="52"/>
      <c r="L157" s="52"/>
      <c r="M157" s="52"/>
      <c r="N157" s="52"/>
      <c r="O157" s="52"/>
      <c r="P157" s="52"/>
      <c r="Q157" s="52"/>
      <c r="R157" s="52"/>
      <c r="S157" s="52"/>
      <c r="T157" s="51" t="str">
        <f t="shared" si="4"/>
        <v/>
      </c>
    </row>
    <row r="158" spans="1:20" ht="31.5" customHeight="1" x14ac:dyDescent="0.2">
      <c r="A158" s="52"/>
      <c r="B158" s="52"/>
      <c r="C158" s="52"/>
      <c r="D158" s="52"/>
      <c r="E158" s="52"/>
      <c r="F158" s="52"/>
      <c r="G158" s="52"/>
      <c r="H158" s="52"/>
      <c r="I158" s="52"/>
      <c r="J158" s="52"/>
      <c r="K158" s="52"/>
      <c r="L158" s="52"/>
      <c r="M158" s="52"/>
      <c r="N158" s="52"/>
      <c r="O158" s="52"/>
      <c r="P158" s="52"/>
      <c r="Q158" s="52"/>
      <c r="R158" s="52"/>
      <c r="S158" s="52"/>
      <c r="T158" s="51" t="str">
        <f t="shared" si="4"/>
        <v/>
      </c>
    </row>
    <row r="159" spans="1:20" ht="31.5" customHeight="1" x14ac:dyDescent="0.2">
      <c r="A159" s="52"/>
      <c r="B159" s="52"/>
      <c r="C159" s="52"/>
      <c r="D159" s="52"/>
      <c r="E159" s="52"/>
      <c r="F159" s="52"/>
      <c r="G159" s="52"/>
      <c r="H159" s="52"/>
      <c r="I159" s="52"/>
      <c r="J159" s="52"/>
      <c r="K159" s="52"/>
      <c r="L159" s="52"/>
      <c r="M159" s="52"/>
      <c r="N159" s="52"/>
      <c r="O159" s="52"/>
      <c r="P159" s="52"/>
      <c r="Q159" s="52"/>
      <c r="R159" s="52"/>
      <c r="S159" s="52"/>
      <c r="T159" s="51" t="str">
        <f t="shared" si="4"/>
        <v/>
      </c>
    </row>
    <row r="160" spans="1:20" ht="31.5" customHeight="1" x14ac:dyDescent="0.2">
      <c r="A160" s="52"/>
      <c r="B160" s="52"/>
      <c r="C160" s="52"/>
      <c r="D160" s="52"/>
      <c r="E160" s="52"/>
      <c r="F160" s="52"/>
      <c r="G160" s="52"/>
      <c r="H160" s="52"/>
      <c r="I160" s="52"/>
      <c r="J160" s="52"/>
      <c r="K160" s="52"/>
      <c r="L160" s="52"/>
      <c r="M160" s="52"/>
      <c r="N160" s="52"/>
      <c r="O160" s="52"/>
      <c r="P160" s="52"/>
      <c r="Q160" s="52"/>
      <c r="R160" s="52"/>
      <c r="S160" s="52"/>
      <c r="T160" s="51" t="str">
        <f t="shared" si="4"/>
        <v/>
      </c>
    </row>
    <row r="161" spans="1:20" ht="31.5" customHeight="1" x14ac:dyDescent="0.2">
      <c r="A161" s="52"/>
      <c r="B161" s="52"/>
      <c r="C161" s="52"/>
      <c r="D161" s="52"/>
      <c r="E161" s="52"/>
      <c r="F161" s="52"/>
      <c r="G161" s="52"/>
      <c r="H161" s="52"/>
      <c r="I161" s="52"/>
      <c r="J161" s="52"/>
      <c r="K161" s="52"/>
      <c r="L161" s="52"/>
      <c r="M161" s="52"/>
      <c r="N161" s="52"/>
      <c r="O161" s="52"/>
      <c r="P161" s="52"/>
      <c r="Q161" s="52"/>
      <c r="R161" s="52"/>
      <c r="S161" s="52"/>
      <c r="T161" s="51" t="str">
        <f t="shared" si="4"/>
        <v/>
      </c>
    </row>
    <row r="162" spans="1:20" ht="31.5" customHeight="1" x14ac:dyDescent="0.2">
      <c r="A162" s="52"/>
      <c r="B162" s="52"/>
      <c r="C162" s="52"/>
      <c r="D162" s="52"/>
      <c r="E162" s="52"/>
      <c r="F162" s="52"/>
      <c r="G162" s="52"/>
      <c r="H162" s="52"/>
      <c r="I162" s="52"/>
      <c r="J162" s="52"/>
      <c r="K162" s="52"/>
      <c r="L162" s="52"/>
      <c r="M162" s="52"/>
      <c r="N162" s="52"/>
      <c r="O162" s="52"/>
      <c r="P162" s="52"/>
      <c r="Q162" s="52"/>
      <c r="R162" s="52"/>
      <c r="S162" s="52"/>
      <c r="T162" s="51" t="str">
        <f t="shared" si="4"/>
        <v/>
      </c>
    </row>
    <row r="163" spans="1:20" ht="31.5" customHeight="1" x14ac:dyDescent="0.2">
      <c r="A163" s="52"/>
      <c r="B163" s="52"/>
      <c r="C163" s="52"/>
      <c r="D163" s="52"/>
      <c r="E163" s="52"/>
      <c r="F163" s="52"/>
      <c r="G163" s="52"/>
      <c r="H163" s="52"/>
      <c r="I163" s="52"/>
      <c r="J163" s="52"/>
      <c r="K163" s="52"/>
      <c r="L163" s="52"/>
      <c r="M163" s="52"/>
      <c r="N163" s="52"/>
      <c r="O163" s="52"/>
      <c r="P163" s="52"/>
      <c r="Q163" s="52"/>
      <c r="R163" s="52"/>
      <c r="S163" s="52"/>
      <c r="T163" s="51" t="str">
        <f t="shared" si="4"/>
        <v/>
      </c>
    </row>
    <row r="164" spans="1:20" ht="15" customHeight="1" x14ac:dyDescent="0.2">
      <c r="A164" s="52"/>
      <c r="B164" s="52"/>
      <c r="C164" s="52"/>
      <c r="D164" s="52"/>
      <c r="E164" s="52"/>
      <c r="F164" s="52"/>
      <c r="G164" s="52"/>
      <c r="H164" s="52"/>
      <c r="I164" s="52"/>
      <c r="J164" s="52"/>
      <c r="K164" s="52"/>
      <c r="L164" s="52"/>
      <c r="M164" s="52"/>
      <c r="N164" s="52"/>
      <c r="O164" s="52"/>
      <c r="P164" s="52"/>
      <c r="Q164" s="52"/>
      <c r="R164" s="52"/>
      <c r="S164" s="52"/>
      <c r="T164" s="51" t="str">
        <f t="shared" si="4"/>
        <v/>
      </c>
    </row>
    <row r="165" spans="1:20" ht="15" customHeight="1" x14ac:dyDescent="0.2">
      <c r="A165" s="52"/>
      <c r="B165" s="52"/>
      <c r="C165" s="52"/>
      <c r="D165" s="52"/>
      <c r="E165" s="52"/>
      <c r="F165" s="52"/>
      <c r="G165" s="52"/>
      <c r="H165" s="52"/>
      <c r="I165" s="52"/>
      <c r="J165" s="52"/>
      <c r="K165" s="52"/>
      <c r="L165" s="52"/>
      <c r="M165" s="52"/>
      <c r="N165" s="52"/>
      <c r="O165" s="52"/>
      <c r="P165" s="52"/>
      <c r="Q165" s="52"/>
      <c r="R165" s="52"/>
      <c r="S165" s="52"/>
      <c r="T165" s="51" t="str">
        <f t="shared" si="4"/>
        <v/>
      </c>
    </row>
    <row r="166" spans="1:20" ht="15" customHeight="1" x14ac:dyDescent="0.2">
      <c r="A166" s="52"/>
      <c r="B166" s="52"/>
      <c r="C166" s="52"/>
      <c r="D166" s="52"/>
      <c r="E166" s="52"/>
      <c r="F166" s="52"/>
      <c r="G166" s="52"/>
      <c r="H166" s="52"/>
      <c r="I166" s="52"/>
      <c r="J166" s="52"/>
      <c r="K166" s="52"/>
      <c r="L166" s="52"/>
      <c r="M166" s="52"/>
      <c r="N166" s="52"/>
      <c r="O166" s="52"/>
      <c r="P166" s="52"/>
      <c r="Q166" s="52"/>
      <c r="R166" s="52"/>
      <c r="S166" s="52"/>
      <c r="T166" s="51" t="str">
        <f t="shared" si="4"/>
        <v/>
      </c>
    </row>
    <row r="167" spans="1:20" ht="15" customHeight="1" x14ac:dyDescent="0.2">
      <c r="A167" s="52"/>
      <c r="B167" s="52"/>
      <c r="C167" s="52"/>
      <c r="D167" s="52"/>
      <c r="E167" s="52"/>
      <c r="F167" s="52"/>
      <c r="G167" s="52"/>
      <c r="H167" s="52"/>
      <c r="I167" s="52"/>
      <c r="J167" s="52"/>
      <c r="K167" s="52"/>
      <c r="L167" s="52"/>
      <c r="M167" s="52"/>
      <c r="N167" s="52"/>
      <c r="O167" s="52"/>
      <c r="P167" s="52"/>
      <c r="Q167" s="52"/>
      <c r="R167" s="52"/>
      <c r="S167" s="52"/>
      <c r="T167" s="51" t="str">
        <f t="shared" si="4"/>
        <v/>
      </c>
    </row>
    <row r="168" spans="1:20" ht="15" customHeight="1" x14ac:dyDescent="0.2">
      <c r="A168" s="52"/>
      <c r="B168" s="52"/>
      <c r="C168" s="52"/>
      <c r="D168" s="52"/>
      <c r="E168" s="52"/>
      <c r="F168" s="52"/>
      <c r="G168" s="52"/>
      <c r="H168" s="52"/>
      <c r="I168" s="52"/>
      <c r="J168" s="52"/>
      <c r="K168" s="52"/>
      <c r="L168" s="52"/>
      <c r="M168" s="52"/>
      <c r="N168" s="52"/>
      <c r="O168" s="52"/>
      <c r="P168" s="52"/>
      <c r="Q168" s="52"/>
      <c r="R168" s="52"/>
      <c r="S168" s="52"/>
      <c r="T168" s="51" t="str">
        <f t="shared" si="4"/>
        <v/>
      </c>
    </row>
    <row r="169" spans="1:20" ht="15" customHeight="1" x14ac:dyDescent="0.2">
      <c r="A169" s="52"/>
      <c r="B169" s="52"/>
      <c r="C169" s="52"/>
      <c r="D169" s="52"/>
      <c r="E169" s="52"/>
      <c r="F169" s="52"/>
      <c r="G169" s="52"/>
      <c r="H169" s="52"/>
      <c r="I169" s="52"/>
      <c r="J169" s="52"/>
      <c r="K169" s="52"/>
      <c r="L169" s="52"/>
      <c r="M169" s="52"/>
      <c r="N169" s="52"/>
      <c r="O169" s="52"/>
      <c r="P169" s="52"/>
      <c r="Q169" s="52"/>
      <c r="R169" s="52"/>
      <c r="S169" s="52"/>
      <c r="T169" s="51" t="str">
        <f t="shared" si="4"/>
        <v/>
      </c>
    </row>
    <row r="170" spans="1:20" ht="15" customHeight="1" x14ac:dyDescent="0.2">
      <c r="A170" s="52"/>
      <c r="B170" s="52"/>
      <c r="C170" s="52"/>
      <c r="D170" s="52"/>
      <c r="E170" s="52"/>
      <c r="F170" s="52"/>
      <c r="G170" s="52"/>
      <c r="H170" s="52"/>
      <c r="I170" s="52"/>
      <c r="J170" s="52"/>
      <c r="K170" s="52"/>
      <c r="L170" s="52"/>
      <c r="M170" s="52"/>
      <c r="N170" s="52"/>
      <c r="O170" s="52"/>
      <c r="P170" s="52"/>
      <c r="Q170" s="52"/>
      <c r="R170" s="52"/>
      <c r="S170" s="52"/>
      <c r="T170" s="51" t="str">
        <f t="shared" si="4"/>
        <v/>
      </c>
    </row>
    <row r="171" spans="1:20" ht="15" customHeight="1" x14ac:dyDescent="0.2">
      <c r="A171" s="52"/>
      <c r="B171" s="52"/>
      <c r="C171" s="52"/>
      <c r="D171" s="52"/>
      <c r="E171" s="52"/>
      <c r="F171" s="52"/>
      <c r="G171" s="52"/>
      <c r="H171" s="52"/>
      <c r="I171" s="52"/>
      <c r="J171" s="52"/>
      <c r="K171" s="52"/>
      <c r="L171" s="52"/>
      <c r="M171" s="52"/>
      <c r="N171" s="52"/>
      <c r="O171" s="52"/>
      <c r="P171" s="52"/>
      <c r="Q171" s="52"/>
      <c r="R171" s="52"/>
      <c r="S171" s="52"/>
      <c r="T171" s="51" t="str">
        <f t="shared" si="4"/>
        <v/>
      </c>
    </row>
    <row r="172" spans="1:20" ht="15" customHeight="1" x14ac:dyDescent="0.2">
      <c r="A172" s="52"/>
      <c r="B172" s="52"/>
      <c r="C172" s="52"/>
      <c r="D172" s="52"/>
      <c r="E172" s="52"/>
      <c r="F172" s="52"/>
      <c r="G172" s="52"/>
      <c r="H172" s="52"/>
      <c r="I172" s="52"/>
      <c r="J172" s="52"/>
      <c r="K172" s="52"/>
      <c r="L172" s="52"/>
      <c r="M172" s="52"/>
      <c r="N172" s="52"/>
      <c r="O172" s="52"/>
      <c r="P172" s="52"/>
      <c r="Q172" s="52"/>
      <c r="R172" s="52"/>
      <c r="S172" s="52"/>
      <c r="T172" s="51" t="str">
        <f t="shared" si="4"/>
        <v/>
      </c>
    </row>
    <row r="173" spans="1:20" ht="15" customHeight="1" x14ac:dyDescent="0.2">
      <c r="A173" s="52"/>
      <c r="B173" s="52"/>
      <c r="C173" s="52"/>
      <c r="D173" s="52"/>
      <c r="E173" s="52"/>
      <c r="F173" s="52"/>
      <c r="G173" s="52"/>
      <c r="H173" s="52"/>
      <c r="I173" s="52"/>
      <c r="J173" s="52"/>
      <c r="K173" s="52"/>
      <c r="L173" s="52"/>
      <c r="M173" s="52"/>
      <c r="N173" s="52"/>
      <c r="O173" s="52"/>
      <c r="P173" s="52"/>
      <c r="Q173" s="52"/>
      <c r="R173" s="52"/>
      <c r="S173" s="52"/>
      <c r="T173" s="51" t="str">
        <f t="shared" si="4"/>
        <v/>
      </c>
    </row>
    <row r="174" spans="1:20" ht="15" customHeight="1" x14ac:dyDescent="0.2">
      <c r="A174" s="52"/>
      <c r="B174" s="52"/>
      <c r="C174" s="52"/>
      <c r="D174" s="52"/>
      <c r="E174" s="52"/>
      <c r="F174" s="52"/>
      <c r="G174" s="52"/>
      <c r="H174" s="52"/>
      <c r="I174" s="52"/>
      <c r="J174" s="52"/>
      <c r="K174" s="52"/>
      <c r="L174" s="52"/>
      <c r="M174" s="52"/>
      <c r="N174" s="52"/>
      <c r="O174" s="52"/>
      <c r="P174" s="52"/>
      <c r="Q174" s="52"/>
      <c r="R174" s="52"/>
      <c r="S174" s="52"/>
      <c r="T174" s="51" t="str">
        <f t="shared" si="4"/>
        <v/>
      </c>
    </row>
    <row r="175" spans="1:20" ht="15" customHeight="1" x14ac:dyDescent="0.2">
      <c r="A175" s="52"/>
      <c r="B175" s="52"/>
      <c r="C175" s="52"/>
      <c r="D175" s="52"/>
      <c r="E175" s="52"/>
      <c r="F175" s="52"/>
      <c r="G175" s="52"/>
      <c r="H175" s="52"/>
      <c r="I175" s="52"/>
      <c r="J175" s="52"/>
      <c r="K175" s="52"/>
      <c r="L175" s="52"/>
      <c r="M175" s="52"/>
      <c r="N175" s="52"/>
      <c r="O175" s="52"/>
      <c r="P175" s="52"/>
      <c r="Q175" s="52"/>
      <c r="R175" s="52"/>
      <c r="S175" s="52"/>
      <c r="T175" s="51" t="str">
        <f t="shared" si="4"/>
        <v/>
      </c>
    </row>
    <row r="176" spans="1:20" ht="15" customHeight="1" x14ac:dyDescent="0.2">
      <c r="A176" s="52"/>
      <c r="B176" s="52"/>
      <c r="C176" s="52"/>
      <c r="D176" s="52"/>
      <c r="E176" s="52"/>
      <c r="F176" s="52"/>
      <c r="G176" s="52"/>
      <c r="H176" s="52"/>
      <c r="I176" s="52"/>
      <c r="J176" s="52"/>
      <c r="K176" s="52"/>
      <c r="L176" s="52"/>
      <c r="M176" s="52"/>
      <c r="N176" s="52"/>
      <c r="O176" s="52"/>
      <c r="P176" s="52"/>
      <c r="Q176" s="52"/>
      <c r="R176" s="52"/>
      <c r="S176" s="52"/>
      <c r="T176" s="51" t="str">
        <f t="shared" si="4"/>
        <v/>
      </c>
    </row>
    <row r="177" spans="1:20" ht="15" customHeight="1" x14ac:dyDescent="0.2">
      <c r="A177" s="52"/>
      <c r="B177" s="52"/>
      <c r="C177" s="52"/>
      <c r="D177" s="52"/>
      <c r="E177" s="52"/>
      <c r="F177" s="52"/>
      <c r="G177" s="52"/>
      <c r="H177" s="52"/>
      <c r="I177" s="52"/>
      <c r="J177" s="52"/>
      <c r="K177" s="52"/>
      <c r="L177" s="52"/>
      <c r="M177" s="52"/>
      <c r="N177" s="52"/>
      <c r="O177" s="52"/>
      <c r="P177" s="52"/>
      <c r="Q177" s="52"/>
      <c r="R177" s="52"/>
      <c r="S177" s="52"/>
      <c r="T177" s="51" t="str">
        <f t="shared" si="4"/>
        <v/>
      </c>
    </row>
    <row r="178" spans="1:20" ht="15" customHeight="1" x14ac:dyDescent="0.2">
      <c r="A178" s="52"/>
      <c r="B178" s="52"/>
      <c r="C178" s="52"/>
      <c r="D178" s="52"/>
      <c r="E178" s="52"/>
      <c r="F178" s="52"/>
      <c r="G178" s="52"/>
      <c r="H178" s="52"/>
      <c r="I178" s="52"/>
      <c r="J178" s="52"/>
      <c r="K178" s="52"/>
      <c r="L178" s="52"/>
      <c r="M178" s="52"/>
      <c r="N178" s="52"/>
      <c r="O178" s="52"/>
      <c r="P178" s="52"/>
      <c r="Q178" s="52"/>
      <c r="R178" s="52"/>
      <c r="S178" s="52"/>
      <c r="T178" s="51" t="str">
        <f t="shared" si="4"/>
        <v/>
      </c>
    </row>
    <row r="179" spans="1:20" ht="15" customHeight="1" x14ac:dyDescent="0.2">
      <c r="A179" s="52"/>
      <c r="B179" s="52"/>
      <c r="C179" s="52"/>
      <c r="D179" s="52"/>
      <c r="E179" s="52"/>
      <c r="F179" s="52"/>
      <c r="G179" s="52"/>
      <c r="H179" s="52"/>
      <c r="I179" s="52"/>
      <c r="J179" s="52"/>
      <c r="K179" s="52"/>
      <c r="L179" s="52"/>
      <c r="M179" s="52"/>
      <c r="N179" s="52"/>
      <c r="O179" s="52"/>
      <c r="P179" s="52"/>
      <c r="Q179" s="52"/>
      <c r="R179" s="52"/>
      <c r="S179" s="52"/>
      <c r="T179" s="51" t="str">
        <f t="shared" si="4"/>
        <v/>
      </c>
    </row>
    <row r="180" spans="1:20" ht="15" customHeight="1" x14ac:dyDescent="0.2">
      <c r="A180" s="52"/>
      <c r="B180" s="52"/>
      <c r="C180" s="52"/>
      <c r="D180" s="52"/>
      <c r="E180" s="52"/>
      <c r="F180" s="52"/>
      <c r="G180" s="52"/>
      <c r="H180" s="52"/>
      <c r="I180" s="52"/>
      <c r="J180" s="52"/>
      <c r="K180" s="52"/>
      <c r="L180" s="52"/>
      <c r="M180" s="52"/>
      <c r="N180" s="52"/>
      <c r="O180" s="52"/>
      <c r="P180" s="52"/>
      <c r="Q180" s="52"/>
      <c r="R180" s="52"/>
      <c r="S180" s="52"/>
      <c r="T180" s="51" t="str">
        <f t="shared" si="4"/>
        <v/>
      </c>
    </row>
    <row r="181" spans="1:20" ht="15" customHeight="1" x14ac:dyDescent="0.2">
      <c r="A181" s="52"/>
      <c r="B181" s="52"/>
      <c r="C181" s="52"/>
      <c r="D181" s="52"/>
      <c r="E181" s="52"/>
      <c r="F181" s="52"/>
      <c r="G181" s="52"/>
      <c r="H181" s="52"/>
      <c r="I181" s="52"/>
      <c r="J181" s="52"/>
      <c r="K181" s="52"/>
      <c r="L181" s="52"/>
      <c r="M181" s="52"/>
      <c r="N181" s="52"/>
      <c r="O181" s="52"/>
      <c r="P181" s="52"/>
      <c r="Q181" s="52"/>
      <c r="R181" s="52"/>
      <c r="S181" s="52"/>
      <c r="T181" s="51" t="str">
        <f t="shared" si="4"/>
        <v/>
      </c>
    </row>
    <row r="182" spans="1:20" ht="15" customHeight="1" x14ac:dyDescent="0.2">
      <c r="A182" s="52"/>
      <c r="B182" s="52"/>
      <c r="C182" s="52"/>
      <c r="D182" s="52"/>
      <c r="E182" s="52"/>
      <c r="F182" s="52"/>
      <c r="G182" s="52"/>
      <c r="H182" s="52"/>
      <c r="I182" s="52"/>
      <c r="J182" s="52"/>
      <c r="K182" s="52"/>
      <c r="L182" s="52"/>
      <c r="M182" s="52"/>
      <c r="N182" s="52"/>
      <c r="O182" s="52"/>
      <c r="P182" s="52"/>
      <c r="Q182" s="52"/>
      <c r="R182" s="52"/>
      <c r="S182" s="52"/>
      <c r="T182" s="51" t="str">
        <f t="shared" si="4"/>
        <v/>
      </c>
    </row>
    <row r="183" spans="1:20" ht="15" customHeight="1" x14ac:dyDescent="0.2">
      <c r="A183" s="52"/>
      <c r="B183" s="52"/>
      <c r="C183" s="52"/>
      <c r="D183" s="52"/>
      <c r="E183" s="52"/>
      <c r="F183" s="52"/>
      <c r="G183" s="52"/>
      <c r="H183" s="52"/>
      <c r="I183" s="52"/>
      <c r="J183" s="52"/>
      <c r="K183" s="52"/>
      <c r="L183" s="52"/>
      <c r="M183" s="52"/>
      <c r="N183" s="52"/>
      <c r="O183" s="52"/>
      <c r="P183" s="52"/>
      <c r="Q183" s="52"/>
      <c r="R183" s="52"/>
      <c r="S183" s="52"/>
      <c r="T183" s="51" t="str">
        <f t="shared" si="4"/>
        <v/>
      </c>
    </row>
    <row r="184" spans="1:20" ht="15" customHeight="1" x14ac:dyDescent="0.2">
      <c r="A184" s="52"/>
      <c r="B184" s="52"/>
      <c r="C184" s="52"/>
      <c r="D184" s="52"/>
      <c r="E184" s="52"/>
      <c r="F184" s="52"/>
      <c r="G184" s="52"/>
      <c r="H184" s="52"/>
      <c r="I184" s="52"/>
      <c r="J184" s="52"/>
      <c r="K184" s="52"/>
      <c r="L184" s="52"/>
      <c r="M184" s="52"/>
      <c r="N184" s="52"/>
      <c r="O184" s="52"/>
      <c r="P184" s="52"/>
      <c r="Q184" s="52"/>
      <c r="R184" s="52"/>
      <c r="S184" s="52"/>
      <c r="T184" s="51" t="str">
        <f t="shared" si="4"/>
        <v/>
      </c>
    </row>
    <row r="185" spans="1:20" ht="15" customHeight="1" x14ac:dyDescent="0.2">
      <c r="A185" s="52"/>
      <c r="B185" s="52"/>
      <c r="C185" s="52"/>
      <c r="D185" s="52"/>
      <c r="E185" s="52"/>
      <c r="F185" s="52"/>
      <c r="G185" s="52"/>
      <c r="H185" s="52"/>
      <c r="I185" s="52"/>
      <c r="J185" s="52"/>
      <c r="K185" s="52"/>
      <c r="L185" s="52"/>
      <c r="M185" s="52"/>
      <c r="N185" s="52"/>
      <c r="O185" s="52"/>
      <c r="P185" s="52"/>
      <c r="Q185" s="52"/>
      <c r="R185" s="52"/>
      <c r="S185" s="52"/>
      <c r="T185" s="51" t="str">
        <f t="shared" si="4"/>
        <v/>
      </c>
    </row>
    <row r="186" spans="1:20" ht="15" customHeight="1" x14ac:dyDescent="0.2">
      <c r="A186" s="52"/>
      <c r="B186" s="52"/>
      <c r="C186" s="52"/>
      <c r="D186" s="52"/>
      <c r="E186" s="52"/>
      <c r="F186" s="52"/>
      <c r="G186" s="52"/>
      <c r="H186" s="52"/>
      <c r="I186" s="52"/>
      <c r="J186" s="52"/>
      <c r="K186" s="52"/>
      <c r="L186" s="52"/>
      <c r="M186" s="52"/>
      <c r="N186" s="52"/>
      <c r="O186" s="52"/>
      <c r="P186" s="52"/>
      <c r="Q186" s="52"/>
      <c r="R186" s="52"/>
      <c r="S186" s="52"/>
      <c r="T186" s="51" t="str">
        <f t="shared" si="4"/>
        <v/>
      </c>
    </row>
    <row r="187" spans="1:20" ht="15" customHeight="1" x14ac:dyDescent="0.2">
      <c r="A187" s="52"/>
      <c r="B187" s="52"/>
      <c r="C187" s="52"/>
      <c r="D187" s="52"/>
      <c r="E187" s="52"/>
      <c r="F187" s="52"/>
      <c r="G187" s="52"/>
      <c r="H187" s="52"/>
      <c r="I187" s="52"/>
      <c r="J187" s="52"/>
      <c r="K187" s="52"/>
      <c r="L187" s="52"/>
      <c r="M187" s="52"/>
      <c r="N187" s="52"/>
      <c r="O187" s="52"/>
      <c r="P187" s="52"/>
      <c r="Q187" s="52"/>
      <c r="R187" s="52"/>
      <c r="S187" s="52"/>
      <c r="T187" s="51" t="str">
        <f t="shared" si="4"/>
        <v/>
      </c>
    </row>
    <row r="188" spans="1:20" ht="15" customHeight="1" x14ac:dyDescent="0.2">
      <c r="A188" s="52"/>
      <c r="B188" s="52"/>
      <c r="C188" s="52"/>
      <c r="D188" s="52"/>
      <c r="E188" s="52"/>
      <c r="F188" s="52"/>
      <c r="G188" s="52"/>
      <c r="H188" s="52"/>
      <c r="I188" s="52"/>
      <c r="J188" s="52"/>
      <c r="K188" s="52"/>
      <c r="L188" s="52"/>
      <c r="M188" s="52"/>
      <c r="N188" s="52"/>
      <c r="O188" s="52"/>
      <c r="P188" s="52"/>
      <c r="Q188" s="52"/>
      <c r="R188" s="52"/>
      <c r="S188" s="52"/>
      <c r="T188" s="51" t="str">
        <f t="shared" si="4"/>
        <v/>
      </c>
    </row>
    <row r="189" spans="1:20" ht="15" customHeight="1" x14ac:dyDescent="0.2">
      <c r="A189" s="52"/>
      <c r="B189" s="52"/>
      <c r="C189" s="52"/>
      <c r="D189" s="52"/>
      <c r="E189" s="52"/>
      <c r="F189" s="52"/>
      <c r="G189" s="52"/>
      <c r="H189" s="52"/>
      <c r="I189" s="52"/>
      <c r="J189" s="52"/>
      <c r="K189" s="52"/>
      <c r="L189" s="52"/>
      <c r="M189" s="52"/>
      <c r="N189" s="52"/>
      <c r="O189" s="52"/>
      <c r="P189" s="52"/>
      <c r="Q189" s="52"/>
      <c r="R189" s="52"/>
      <c r="S189" s="52"/>
      <c r="T189" s="51" t="str">
        <f t="shared" si="4"/>
        <v/>
      </c>
    </row>
    <row r="190" spans="1:20" ht="15" customHeight="1" x14ac:dyDescent="0.2">
      <c r="A190" s="52"/>
      <c r="B190" s="52"/>
      <c r="C190" s="52"/>
      <c r="D190" s="52"/>
      <c r="E190" s="52"/>
      <c r="F190" s="52"/>
      <c r="G190" s="52"/>
      <c r="H190" s="52"/>
      <c r="I190" s="52"/>
      <c r="J190" s="52"/>
      <c r="K190" s="52"/>
      <c r="L190" s="52"/>
      <c r="M190" s="52"/>
      <c r="N190" s="52"/>
      <c r="O190" s="52"/>
      <c r="P190" s="52"/>
      <c r="Q190" s="52"/>
      <c r="R190" s="52"/>
      <c r="S190" s="52"/>
      <c r="T190" s="51" t="str">
        <f t="shared" si="4"/>
        <v/>
      </c>
    </row>
    <row r="191" spans="1:20" ht="15" customHeight="1" x14ac:dyDescent="0.2">
      <c r="A191" s="52"/>
      <c r="B191" s="52"/>
      <c r="C191" s="52"/>
      <c r="D191" s="52"/>
      <c r="E191" s="52"/>
      <c r="F191" s="52"/>
      <c r="G191" s="52"/>
      <c r="H191" s="52"/>
      <c r="I191" s="52"/>
      <c r="J191" s="52"/>
      <c r="K191" s="52"/>
      <c r="L191" s="52"/>
      <c r="M191" s="52"/>
      <c r="N191" s="52"/>
      <c r="O191" s="52"/>
      <c r="P191" s="52"/>
      <c r="Q191" s="52"/>
      <c r="R191" s="52"/>
      <c r="S191" s="52"/>
      <c r="T191" s="51" t="str">
        <f t="shared" si="4"/>
        <v/>
      </c>
    </row>
    <row r="192" spans="1:20" ht="15" customHeight="1" x14ac:dyDescent="0.2">
      <c r="A192" s="52"/>
      <c r="B192" s="52"/>
      <c r="C192" s="52"/>
      <c r="D192" s="52"/>
      <c r="E192" s="52"/>
      <c r="F192" s="52"/>
      <c r="G192" s="52"/>
      <c r="H192" s="52"/>
      <c r="I192" s="52"/>
      <c r="J192" s="52"/>
      <c r="K192" s="52"/>
      <c r="L192" s="52"/>
      <c r="M192" s="52"/>
      <c r="N192" s="52"/>
      <c r="O192" s="52"/>
      <c r="P192" s="52"/>
      <c r="Q192" s="52"/>
      <c r="R192" s="52"/>
      <c r="S192" s="52"/>
      <c r="T192" s="51" t="str">
        <f t="shared" si="4"/>
        <v/>
      </c>
    </row>
    <row r="193" spans="1:20" ht="15" customHeight="1" x14ac:dyDescent="0.2">
      <c r="A193" s="52"/>
      <c r="B193" s="52"/>
      <c r="C193" s="52"/>
      <c r="D193" s="52"/>
      <c r="E193" s="52"/>
      <c r="F193" s="52"/>
      <c r="G193" s="52"/>
      <c r="H193" s="52"/>
      <c r="I193" s="52"/>
      <c r="J193" s="52"/>
      <c r="K193" s="52"/>
      <c r="L193" s="52"/>
      <c r="M193" s="52"/>
      <c r="N193" s="52"/>
      <c r="O193" s="52"/>
      <c r="P193" s="52"/>
      <c r="Q193" s="52"/>
      <c r="R193" s="52"/>
      <c r="S193" s="52"/>
      <c r="T193" s="51" t="str">
        <f t="shared" si="4"/>
        <v/>
      </c>
    </row>
    <row r="194" spans="1:20" ht="15" customHeight="1" x14ac:dyDescent="0.2">
      <c r="A194" s="52"/>
      <c r="B194" s="52"/>
      <c r="C194" s="52"/>
      <c r="D194" s="52"/>
      <c r="E194" s="52"/>
      <c r="F194" s="52"/>
      <c r="G194" s="52"/>
      <c r="H194" s="52"/>
      <c r="I194" s="52"/>
      <c r="J194" s="52"/>
      <c r="K194" s="52"/>
      <c r="L194" s="52"/>
      <c r="M194" s="52"/>
      <c r="N194" s="52"/>
      <c r="O194" s="52"/>
      <c r="P194" s="52"/>
      <c r="Q194" s="52"/>
      <c r="R194" s="52"/>
      <c r="S194" s="52"/>
      <c r="T194" s="51" t="str">
        <f t="shared" si="4"/>
        <v/>
      </c>
    </row>
    <row r="195" spans="1:20" ht="15" customHeight="1" x14ac:dyDescent="0.2">
      <c r="A195" s="52"/>
      <c r="B195" s="52"/>
      <c r="C195" s="52"/>
      <c r="D195" s="52"/>
      <c r="E195" s="52"/>
      <c r="F195" s="52"/>
      <c r="G195" s="52"/>
      <c r="H195" s="52"/>
      <c r="I195" s="52"/>
      <c r="J195" s="52"/>
      <c r="K195" s="52"/>
      <c r="L195" s="52"/>
      <c r="M195" s="52"/>
      <c r="N195" s="52"/>
      <c r="O195" s="52"/>
      <c r="P195" s="52"/>
      <c r="Q195" s="52"/>
      <c r="R195" s="52"/>
      <c r="S195" s="52"/>
      <c r="T195" s="51" t="str">
        <f t="shared" si="4"/>
        <v/>
      </c>
    </row>
    <row r="196" spans="1:20" ht="15" customHeight="1" x14ac:dyDescent="0.2">
      <c r="A196" s="52"/>
      <c r="B196" s="52"/>
      <c r="C196" s="52"/>
      <c r="D196" s="52"/>
      <c r="E196" s="52"/>
      <c r="F196" s="52"/>
      <c r="G196" s="52"/>
      <c r="H196" s="52"/>
      <c r="I196" s="52"/>
      <c r="J196" s="52"/>
      <c r="K196" s="52"/>
      <c r="L196" s="52"/>
      <c r="M196" s="52"/>
      <c r="N196" s="52"/>
      <c r="O196" s="52"/>
      <c r="P196" s="52"/>
      <c r="Q196" s="52"/>
      <c r="R196" s="52"/>
      <c r="S196" s="52"/>
      <c r="T196" s="51" t="str">
        <f t="shared" si="4"/>
        <v/>
      </c>
    </row>
    <row r="197" spans="1:20" ht="15" customHeight="1" x14ac:dyDescent="0.2">
      <c r="A197" s="52"/>
      <c r="B197" s="52"/>
      <c r="C197" s="52"/>
      <c r="D197" s="52"/>
      <c r="E197" s="52"/>
      <c r="F197" s="52"/>
      <c r="G197" s="52"/>
      <c r="H197" s="52"/>
      <c r="I197" s="52"/>
      <c r="J197" s="52"/>
      <c r="K197" s="52"/>
      <c r="L197" s="52"/>
      <c r="M197" s="52"/>
      <c r="N197" s="52"/>
      <c r="O197" s="52"/>
      <c r="P197" s="52"/>
      <c r="Q197" s="52"/>
      <c r="R197" s="52"/>
      <c r="S197" s="52"/>
      <c r="T197" s="51" t="str">
        <f t="shared" si="4"/>
        <v/>
      </c>
    </row>
    <row r="198" spans="1:20" ht="15" customHeight="1" x14ac:dyDescent="0.2">
      <c r="A198" s="52"/>
      <c r="B198" s="52"/>
      <c r="C198" s="52"/>
      <c r="D198" s="52"/>
      <c r="E198" s="52"/>
      <c r="F198" s="52"/>
      <c r="G198" s="52"/>
      <c r="H198" s="52"/>
      <c r="I198" s="52"/>
      <c r="J198" s="52"/>
      <c r="K198" s="52"/>
      <c r="L198" s="52"/>
      <c r="M198" s="52"/>
      <c r="N198" s="52"/>
      <c r="O198" s="52"/>
      <c r="P198" s="52"/>
      <c r="Q198" s="52"/>
      <c r="R198" s="52"/>
      <c r="S198" s="52"/>
      <c r="T198" s="51" t="str">
        <f t="shared" si="4"/>
        <v/>
      </c>
    </row>
    <row r="199" spans="1:20" ht="15" customHeight="1" x14ac:dyDescent="0.2">
      <c r="A199" s="52"/>
      <c r="B199" s="52"/>
      <c r="C199" s="52"/>
      <c r="D199" s="52"/>
      <c r="E199" s="52"/>
      <c r="F199" s="52"/>
      <c r="G199" s="52"/>
      <c r="H199" s="52"/>
      <c r="I199" s="52"/>
      <c r="J199" s="52"/>
      <c r="K199" s="52"/>
      <c r="L199" s="52"/>
      <c r="M199" s="52"/>
      <c r="N199" s="52"/>
      <c r="O199" s="52"/>
      <c r="P199" s="52"/>
      <c r="Q199" s="52"/>
      <c r="R199" s="52"/>
      <c r="S199" s="52"/>
      <c r="T199" s="51" t="str">
        <f t="shared" si="4"/>
        <v/>
      </c>
    </row>
    <row r="200" spans="1:20" ht="15" customHeight="1" x14ac:dyDescent="0.2">
      <c r="A200" s="52"/>
      <c r="B200" s="52"/>
      <c r="C200" s="52"/>
      <c r="D200" s="52"/>
      <c r="E200" s="52"/>
      <c r="F200" s="52"/>
      <c r="G200" s="52"/>
      <c r="H200" s="52"/>
      <c r="I200" s="52"/>
      <c r="J200" s="52"/>
      <c r="K200" s="52"/>
      <c r="L200" s="52"/>
      <c r="M200" s="52"/>
      <c r="N200" s="52"/>
      <c r="O200" s="52"/>
      <c r="P200" s="52"/>
      <c r="Q200" s="52"/>
      <c r="R200" s="52"/>
      <c r="S200" s="52"/>
      <c r="T200" s="51" t="str">
        <f t="shared" si="4"/>
        <v/>
      </c>
    </row>
    <row r="201" spans="1:20" ht="15" customHeight="1" x14ac:dyDescent="0.2">
      <c r="A201" s="52"/>
      <c r="B201" s="52"/>
      <c r="C201" s="52"/>
      <c r="D201" s="52"/>
      <c r="E201" s="52"/>
      <c r="F201" s="52"/>
      <c r="G201" s="52"/>
      <c r="H201" s="52"/>
      <c r="I201" s="52"/>
      <c r="J201" s="52"/>
      <c r="K201" s="52"/>
      <c r="L201" s="52"/>
      <c r="M201" s="52"/>
      <c r="N201" s="52"/>
      <c r="O201" s="52"/>
      <c r="P201" s="52"/>
      <c r="Q201" s="52"/>
      <c r="R201" s="52"/>
      <c r="S201" s="52"/>
      <c r="T201" s="51" t="str">
        <f t="shared" si="4"/>
        <v/>
      </c>
    </row>
    <row r="202" spans="1:20" ht="15" customHeight="1" x14ac:dyDescent="0.2">
      <c r="A202" s="52"/>
      <c r="B202" s="52"/>
      <c r="C202" s="52"/>
      <c r="D202" s="52"/>
      <c r="E202" s="52"/>
      <c r="F202" s="52"/>
      <c r="G202" s="52"/>
      <c r="H202" s="52"/>
      <c r="I202" s="52"/>
      <c r="J202" s="52"/>
      <c r="K202" s="52"/>
      <c r="L202" s="52"/>
      <c r="M202" s="52"/>
      <c r="N202" s="52"/>
      <c r="O202" s="52"/>
      <c r="P202" s="52"/>
      <c r="Q202" s="52"/>
      <c r="R202" s="52"/>
      <c r="S202" s="52"/>
      <c r="T202" s="51" t="str">
        <f t="shared" si="4"/>
        <v/>
      </c>
    </row>
    <row r="203" spans="1:20" ht="15" customHeight="1" x14ac:dyDescent="0.2">
      <c r="A203" s="52"/>
      <c r="B203" s="52"/>
      <c r="C203" s="52"/>
      <c r="D203" s="52"/>
      <c r="E203" s="52"/>
      <c r="F203" s="52"/>
      <c r="G203" s="52"/>
      <c r="H203" s="52"/>
      <c r="I203" s="52"/>
      <c r="J203" s="52"/>
      <c r="K203" s="52"/>
      <c r="L203" s="52"/>
      <c r="M203" s="52"/>
      <c r="N203" s="52"/>
      <c r="O203" s="52"/>
      <c r="P203" s="52"/>
      <c r="Q203" s="52"/>
      <c r="R203" s="52"/>
      <c r="S203" s="52"/>
      <c r="T203" s="51" t="str">
        <f t="shared" si="4"/>
        <v/>
      </c>
    </row>
    <row r="204" spans="1:20" ht="15" customHeight="1" x14ac:dyDescent="0.2">
      <c r="A204" s="52"/>
      <c r="B204" s="52"/>
      <c r="C204" s="52"/>
      <c r="D204" s="52"/>
      <c r="E204" s="52"/>
      <c r="F204" s="52"/>
      <c r="G204" s="52"/>
      <c r="H204" s="52"/>
      <c r="I204" s="52"/>
      <c r="J204" s="52"/>
      <c r="K204" s="52"/>
      <c r="L204" s="52"/>
      <c r="M204" s="52"/>
      <c r="N204" s="52"/>
      <c r="O204" s="52"/>
      <c r="P204" s="52"/>
      <c r="Q204" s="52"/>
      <c r="R204" s="52"/>
      <c r="S204" s="52"/>
      <c r="T204" s="51" t="str">
        <f t="shared" si="4"/>
        <v/>
      </c>
    </row>
    <row r="205" spans="1:20" ht="15" customHeight="1" x14ac:dyDescent="0.2">
      <c r="A205" s="52"/>
      <c r="B205" s="52"/>
      <c r="C205" s="52"/>
      <c r="D205" s="52"/>
      <c r="E205" s="52"/>
      <c r="F205" s="52"/>
      <c r="G205" s="52"/>
      <c r="H205" s="52"/>
      <c r="I205" s="52"/>
      <c r="J205" s="52"/>
      <c r="K205" s="52"/>
      <c r="L205" s="52"/>
      <c r="M205" s="52"/>
      <c r="N205" s="52"/>
      <c r="O205" s="52"/>
      <c r="P205" s="52"/>
      <c r="Q205" s="52"/>
      <c r="R205" s="52"/>
      <c r="S205" s="52"/>
      <c r="T205" s="51" t="str">
        <f t="shared" si="4"/>
        <v/>
      </c>
    </row>
    <row r="206" spans="1:20" ht="15" customHeight="1" x14ac:dyDescent="0.2">
      <c r="A206" s="52"/>
      <c r="B206" s="52"/>
      <c r="C206" s="52"/>
      <c r="D206" s="52"/>
      <c r="E206" s="52"/>
      <c r="F206" s="52"/>
      <c r="G206" s="52"/>
      <c r="H206" s="52"/>
      <c r="I206" s="52"/>
      <c r="J206" s="52"/>
      <c r="K206" s="52"/>
      <c r="L206" s="52"/>
      <c r="M206" s="52"/>
      <c r="N206" s="52"/>
      <c r="O206" s="52"/>
      <c r="P206" s="52"/>
      <c r="Q206" s="52"/>
      <c r="R206" s="52"/>
      <c r="S206" s="52"/>
      <c r="T206" s="51" t="str">
        <f t="shared" si="4"/>
        <v/>
      </c>
    </row>
    <row r="207" spans="1:20" ht="15" customHeight="1" x14ac:dyDescent="0.2">
      <c r="A207" s="52"/>
      <c r="B207" s="52"/>
      <c r="C207" s="52"/>
      <c r="D207" s="52"/>
      <c r="E207" s="52"/>
      <c r="F207" s="52"/>
      <c r="G207" s="52"/>
      <c r="H207" s="52"/>
      <c r="I207" s="52"/>
      <c r="J207" s="52"/>
      <c r="K207" s="52"/>
      <c r="L207" s="52"/>
      <c r="M207" s="52"/>
      <c r="N207" s="52"/>
      <c r="O207" s="52"/>
      <c r="P207" s="52"/>
      <c r="Q207" s="52"/>
      <c r="R207" s="52"/>
      <c r="S207" s="52"/>
      <c r="T207" s="51" t="str">
        <f t="shared" si="4"/>
        <v/>
      </c>
    </row>
    <row r="208" spans="1:20" ht="15" customHeight="1" x14ac:dyDescent="0.2">
      <c r="A208" s="52"/>
      <c r="B208" s="52"/>
      <c r="C208" s="52"/>
      <c r="D208" s="52"/>
      <c r="E208" s="52"/>
      <c r="F208" s="52"/>
      <c r="G208" s="52"/>
      <c r="H208" s="52"/>
      <c r="I208" s="52"/>
      <c r="J208" s="52"/>
      <c r="K208" s="52"/>
      <c r="L208" s="52"/>
      <c r="M208" s="52"/>
      <c r="N208" s="52"/>
      <c r="O208" s="52"/>
      <c r="P208" s="52"/>
      <c r="Q208" s="52"/>
      <c r="R208" s="52"/>
      <c r="S208" s="52"/>
      <c r="T208" s="51" t="str">
        <f t="shared" si="4"/>
        <v/>
      </c>
    </row>
    <row r="209" spans="1:20" ht="15" customHeight="1" x14ac:dyDescent="0.2">
      <c r="A209" s="52"/>
      <c r="B209" s="52"/>
      <c r="C209" s="52"/>
      <c r="D209" s="52"/>
      <c r="E209" s="52"/>
      <c r="F209" s="52"/>
      <c r="G209" s="52"/>
      <c r="H209" s="52"/>
      <c r="I209" s="52"/>
      <c r="J209" s="52"/>
      <c r="K209" s="52"/>
      <c r="L209" s="52"/>
      <c r="M209" s="52"/>
      <c r="N209" s="52"/>
      <c r="O209" s="52"/>
      <c r="P209" s="52"/>
      <c r="Q209" s="52"/>
      <c r="R209" s="52"/>
      <c r="S209" s="52"/>
      <c r="T209" s="51" t="str">
        <f t="shared" si="4"/>
        <v/>
      </c>
    </row>
    <row r="210" spans="1:20" ht="15" customHeight="1" x14ac:dyDescent="0.2">
      <c r="A210" s="52"/>
      <c r="B210" s="52"/>
      <c r="C210" s="52"/>
      <c r="D210" s="52"/>
      <c r="E210" s="52"/>
      <c r="F210" s="52"/>
      <c r="G210" s="52"/>
      <c r="H210" s="52"/>
      <c r="I210" s="52"/>
      <c r="J210" s="52"/>
      <c r="K210" s="52"/>
      <c r="L210" s="52"/>
      <c r="M210" s="52"/>
      <c r="N210" s="52"/>
      <c r="O210" s="52"/>
      <c r="P210" s="52"/>
      <c r="Q210" s="52"/>
      <c r="R210" s="52"/>
      <c r="S210" s="52"/>
      <c r="T210" s="51" t="str">
        <f t="shared" si="4"/>
        <v/>
      </c>
    </row>
    <row r="211" spans="1:20" ht="15" customHeight="1" x14ac:dyDescent="0.2">
      <c r="A211" s="52"/>
      <c r="B211" s="52"/>
      <c r="C211" s="52"/>
      <c r="D211" s="52"/>
      <c r="E211" s="52"/>
      <c r="F211" s="52"/>
      <c r="G211" s="52"/>
      <c r="H211" s="52"/>
      <c r="I211" s="52"/>
      <c r="J211" s="52"/>
      <c r="K211" s="52"/>
      <c r="L211" s="52"/>
      <c r="M211" s="52"/>
      <c r="N211" s="52"/>
      <c r="O211" s="52"/>
      <c r="P211" s="52"/>
      <c r="Q211" s="52"/>
      <c r="R211" s="52"/>
      <c r="S211" s="52"/>
      <c r="T211" s="51" t="str">
        <f t="shared" si="4"/>
        <v/>
      </c>
    </row>
    <row r="212" spans="1:20" ht="15" customHeight="1" x14ac:dyDescent="0.2">
      <c r="A212" s="52"/>
      <c r="B212" s="52"/>
      <c r="C212" s="52"/>
      <c r="D212" s="52"/>
      <c r="E212" s="52"/>
      <c r="F212" s="52"/>
      <c r="G212" s="52"/>
      <c r="H212" s="52"/>
      <c r="I212" s="52"/>
      <c r="J212" s="52"/>
      <c r="K212" s="52"/>
      <c r="L212" s="52"/>
      <c r="M212" s="52"/>
      <c r="N212" s="52"/>
      <c r="O212" s="52"/>
      <c r="P212" s="52"/>
      <c r="Q212" s="52"/>
      <c r="R212" s="52"/>
      <c r="S212" s="52"/>
      <c r="T212" s="51" t="str">
        <f t="shared" si="4"/>
        <v/>
      </c>
    </row>
    <row r="213" spans="1:20" ht="15" customHeight="1" x14ac:dyDescent="0.2">
      <c r="A213" s="52"/>
      <c r="B213" s="52"/>
      <c r="C213" s="52"/>
      <c r="D213" s="52"/>
      <c r="E213" s="52"/>
      <c r="F213" s="52"/>
      <c r="G213" s="52"/>
      <c r="H213" s="52"/>
      <c r="I213" s="52"/>
      <c r="J213" s="52"/>
      <c r="K213" s="52"/>
      <c r="L213" s="52"/>
      <c r="M213" s="52"/>
      <c r="N213" s="52"/>
      <c r="O213" s="52"/>
      <c r="P213" s="52"/>
      <c r="Q213" s="52"/>
      <c r="R213" s="52"/>
      <c r="S213" s="52"/>
      <c r="T213" s="51" t="str">
        <f t="shared" si="4"/>
        <v/>
      </c>
    </row>
    <row r="214" spans="1:20" ht="15" customHeight="1" x14ac:dyDescent="0.2">
      <c r="A214" s="52"/>
      <c r="B214" s="52"/>
      <c r="C214" s="52"/>
      <c r="D214" s="52"/>
      <c r="E214" s="52"/>
      <c r="F214" s="52"/>
      <c r="G214" s="52"/>
      <c r="H214" s="52"/>
      <c r="I214" s="52"/>
      <c r="J214" s="52"/>
      <c r="K214" s="52"/>
      <c r="L214" s="52"/>
      <c r="M214" s="52"/>
      <c r="N214" s="52"/>
      <c r="O214" s="52"/>
      <c r="P214" s="52"/>
      <c r="Q214" s="52"/>
      <c r="R214" s="52"/>
      <c r="S214" s="52"/>
      <c r="T214" s="51" t="str">
        <f t="shared" si="4"/>
        <v/>
      </c>
    </row>
    <row r="215" spans="1:20" ht="15" customHeight="1" x14ac:dyDescent="0.2">
      <c r="A215" s="52"/>
      <c r="B215" s="52"/>
      <c r="C215" s="52"/>
      <c r="D215" s="52"/>
      <c r="E215" s="52"/>
      <c r="F215" s="52"/>
      <c r="G215" s="52"/>
      <c r="H215" s="52"/>
      <c r="I215" s="52"/>
      <c r="J215" s="52"/>
      <c r="K215" s="52"/>
      <c r="L215" s="52"/>
      <c r="M215" s="52"/>
      <c r="N215" s="52"/>
      <c r="O215" s="52"/>
      <c r="P215" s="52"/>
      <c r="Q215" s="52"/>
      <c r="R215" s="52"/>
      <c r="S215" s="52"/>
      <c r="T215" s="51" t="str">
        <f t="shared" si="4"/>
        <v/>
      </c>
    </row>
    <row r="216" spans="1:20" ht="15" customHeight="1" x14ac:dyDescent="0.2">
      <c r="A216" s="52"/>
      <c r="B216" s="52"/>
      <c r="C216" s="52"/>
      <c r="D216" s="52"/>
      <c r="E216" s="52"/>
      <c r="F216" s="52"/>
      <c r="G216" s="52"/>
      <c r="H216" s="52"/>
      <c r="I216" s="52"/>
      <c r="J216" s="52"/>
      <c r="K216" s="52"/>
      <c r="L216" s="52"/>
      <c r="M216" s="52"/>
      <c r="N216" s="52"/>
      <c r="O216" s="52"/>
      <c r="P216" s="52"/>
      <c r="Q216" s="52"/>
      <c r="R216" s="52"/>
      <c r="S216" s="52"/>
      <c r="T216" s="51" t="str">
        <f t="shared" si="4"/>
        <v/>
      </c>
    </row>
    <row r="217" spans="1:20" ht="15" customHeight="1" x14ac:dyDescent="0.2">
      <c r="A217" s="52"/>
      <c r="B217" s="52"/>
      <c r="C217" s="52"/>
      <c r="D217" s="52"/>
      <c r="E217" s="52"/>
      <c r="F217" s="52"/>
      <c r="G217" s="52"/>
      <c r="H217" s="52"/>
      <c r="I217" s="52"/>
      <c r="J217" s="52"/>
      <c r="K217" s="52"/>
      <c r="L217" s="52"/>
      <c r="M217" s="52"/>
      <c r="N217" s="52"/>
      <c r="O217" s="52"/>
      <c r="P217" s="52"/>
      <c r="Q217" s="52"/>
      <c r="R217" s="52"/>
      <c r="S217" s="52"/>
      <c r="T217" s="51" t="str">
        <f t="shared" si="4"/>
        <v/>
      </c>
    </row>
    <row r="218" spans="1:20" ht="15" customHeight="1" x14ac:dyDescent="0.2">
      <c r="A218" s="52"/>
      <c r="B218" s="52"/>
      <c r="C218" s="52"/>
      <c r="D218" s="52"/>
      <c r="E218" s="52"/>
      <c r="F218" s="52"/>
      <c r="G218" s="52"/>
      <c r="H218" s="52"/>
      <c r="I218" s="52"/>
      <c r="J218" s="52"/>
      <c r="K218" s="52"/>
      <c r="L218" s="52"/>
      <c r="M218" s="52"/>
      <c r="N218" s="52"/>
      <c r="O218" s="52"/>
      <c r="P218" s="52"/>
      <c r="Q218" s="52"/>
      <c r="R218" s="52"/>
      <c r="S218" s="52"/>
      <c r="T218" s="51" t="str">
        <f t="shared" si="4"/>
        <v/>
      </c>
    </row>
    <row r="219" spans="1:20" ht="15" customHeight="1" x14ac:dyDescent="0.2">
      <c r="A219" s="52"/>
      <c r="B219" s="52"/>
      <c r="C219" s="52"/>
      <c r="D219" s="52"/>
      <c r="E219" s="52"/>
      <c r="F219" s="52"/>
      <c r="G219" s="52"/>
      <c r="H219" s="52"/>
      <c r="I219" s="52"/>
      <c r="J219" s="52"/>
      <c r="K219" s="52"/>
      <c r="L219" s="52"/>
      <c r="M219" s="52"/>
      <c r="N219" s="52"/>
      <c r="O219" s="52"/>
      <c r="P219" s="52"/>
      <c r="Q219" s="52"/>
      <c r="R219" s="52"/>
      <c r="S219" s="52"/>
      <c r="T219" s="51" t="str">
        <f t="shared" ref="T219:T282" si="5">IF(G226="","",IF(OR(G226="Tier 3"),"No",IF(AND(S226&lt;&gt;"",OR(ISNUMBER(SEARCH("OFAC",S226)),ISNUMBER(SEARCH("penal",S226)),ISNUMBER(SEARCH("rojo pendiente",S226)))),"Revisar","Sí")))</f>
        <v/>
      </c>
    </row>
    <row r="220" spans="1:20" ht="15" customHeight="1" x14ac:dyDescent="0.2">
      <c r="A220" s="52"/>
      <c r="B220" s="52"/>
      <c r="C220" s="52"/>
      <c r="D220" s="52"/>
      <c r="E220" s="52"/>
      <c r="F220" s="52"/>
      <c r="G220" s="52"/>
      <c r="H220" s="52"/>
      <c r="I220" s="52"/>
      <c r="J220" s="52"/>
      <c r="K220" s="52"/>
      <c r="L220" s="52"/>
      <c r="M220" s="52"/>
      <c r="N220" s="52"/>
      <c r="O220" s="52"/>
      <c r="P220" s="52"/>
      <c r="Q220" s="52"/>
      <c r="R220" s="52"/>
      <c r="S220" s="52"/>
      <c r="T220" s="51" t="str">
        <f t="shared" si="5"/>
        <v/>
      </c>
    </row>
    <row r="221" spans="1:20" ht="15" customHeight="1" x14ac:dyDescent="0.2">
      <c r="A221" s="52"/>
      <c r="B221" s="52"/>
      <c r="C221" s="52"/>
      <c r="D221" s="52"/>
      <c r="E221" s="52"/>
      <c r="F221" s="52"/>
      <c r="G221" s="52"/>
      <c r="H221" s="52"/>
      <c r="I221" s="52"/>
      <c r="J221" s="52"/>
      <c r="K221" s="52"/>
      <c r="L221" s="52"/>
      <c r="M221" s="52"/>
      <c r="N221" s="52"/>
      <c r="O221" s="52"/>
      <c r="P221" s="52"/>
      <c r="Q221" s="52"/>
      <c r="R221" s="52"/>
      <c r="S221" s="52"/>
      <c r="T221" s="51" t="str">
        <f t="shared" si="5"/>
        <v/>
      </c>
    </row>
    <row r="222" spans="1:20" ht="15" customHeight="1" x14ac:dyDescent="0.2">
      <c r="A222" s="52"/>
      <c r="B222" s="52"/>
      <c r="C222" s="52"/>
      <c r="D222" s="52"/>
      <c r="E222" s="52"/>
      <c r="F222" s="52"/>
      <c r="G222" s="52"/>
      <c r="H222" s="52"/>
      <c r="I222" s="52"/>
      <c r="J222" s="52"/>
      <c r="K222" s="52"/>
      <c r="L222" s="52"/>
      <c r="M222" s="52"/>
      <c r="N222" s="52"/>
      <c r="O222" s="52"/>
      <c r="P222" s="52"/>
      <c r="Q222" s="52"/>
      <c r="R222" s="52"/>
      <c r="S222" s="52"/>
      <c r="T222" s="51" t="str">
        <f t="shared" si="5"/>
        <v/>
      </c>
    </row>
    <row r="223" spans="1:20" ht="15" customHeight="1" x14ac:dyDescent="0.2">
      <c r="A223" s="52"/>
      <c r="B223" s="52"/>
      <c r="C223" s="52"/>
      <c r="D223" s="52"/>
      <c r="E223" s="52"/>
      <c r="F223" s="52"/>
      <c r="G223" s="52"/>
      <c r="H223" s="52"/>
      <c r="I223" s="52"/>
      <c r="J223" s="52"/>
      <c r="K223" s="52"/>
      <c r="L223" s="52"/>
      <c r="M223" s="52"/>
      <c r="N223" s="52"/>
      <c r="O223" s="52"/>
      <c r="P223" s="52"/>
      <c r="Q223" s="52"/>
      <c r="R223" s="52"/>
      <c r="S223" s="52"/>
      <c r="T223" s="51" t="str">
        <f t="shared" si="5"/>
        <v/>
      </c>
    </row>
    <row r="224" spans="1:20" ht="15" customHeight="1" x14ac:dyDescent="0.2">
      <c r="A224" s="52"/>
      <c r="B224" s="52"/>
      <c r="C224" s="52"/>
      <c r="D224" s="52"/>
      <c r="E224" s="52"/>
      <c r="F224" s="52"/>
      <c r="G224" s="52"/>
      <c r="H224" s="52"/>
      <c r="I224" s="52"/>
      <c r="J224" s="52"/>
      <c r="K224" s="52"/>
      <c r="L224" s="52"/>
      <c r="M224" s="52"/>
      <c r="N224" s="52"/>
      <c r="O224" s="52"/>
      <c r="P224" s="52"/>
      <c r="Q224" s="52"/>
      <c r="R224" s="52"/>
      <c r="S224" s="52"/>
      <c r="T224" s="51" t="str">
        <f t="shared" si="5"/>
        <v/>
      </c>
    </row>
    <row r="225" spans="1:20" ht="15" customHeight="1" x14ac:dyDescent="0.2">
      <c r="A225" s="52"/>
      <c r="B225" s="52"/>
      <c r="C225" s="52"/>
      <c r="D225" s="52"/>
      <c r="E225" s="52"/>
      <c r="F225" s="52"/>
      <c r="G225" s="52"/>
      <c r="H225" s="52"/>
      <c r="I225" s="52"/>
      <c r="J225" s="52"/>
      <c r="K225" s="52"/>
      <c r="L225" s="52"/>
      <c r="M225" s="52"/>
      <c r="N225" s="52"/>
      <c r="O225" s="52"/>
      <c r="P225" s="52"/>
      <c r="Q225" s="52"/>
      <c r="R225" s="52"/>
      <c r="S225" s="52"/>
      <c r="T225" s="51" t="str">
        <f t="shared" si="5"/>
        <v/>
      </c>
    </row>
    <row r="226" spans="1:20" ht="15" customHeight="1" x14ac:dyDescent="0.2">
      <c r="A226" s="52"/>
      <c r="B226" s="52"/>
      <c r="C226" s="52"/>
      <c r="D226" s="52"/>
      <c r="E226" s="52"/>
      <c r="F226" s="52"/>
      <c r="G226" s="52"/>
      <c r="H226" s="52"/>
      <c r="I226" s="52"/>
      <c r="J226" s="52"/>
      <c r="K226" s="52"/>
      <c r="L226" s="52"/>
      <c r="M226" s="52"/>
      <c r="N226" s="52"/>
      <c r="O226" s="52"/>
      <c r="P226" s="52"/>
      <c r="Q226" s="52"/>
      <c r="R226" s="52"/>
      <c r="S226" s="52"/>
      <c r="T226" s="51" t="str">
        <f t="shared" si="5"/>
        <v/>
      </c>
    </row>
    <row r="227" spans="1:20" ht="15" customHeight="1" x14ac:dyDescent="0.2">
      <c r="A227" s="52"/>
      <c r="B227" s="52"/>
      <c r="C227" s="52"/>
      <c r="D227" s="52"/>
      <c r="E227" s="52"/>
      <c r="F227" s="52"/>
      <c r="G227" s="52"/>
      <c r="H227" s="52"/>
      <c r="I227" s="52"/>
      <c r="J227" s="52"/>
      <c r="K227" s="52"/>
      <c r="L227" s="52"/>
      <c r="M227" s="52"/>
      <c r="N227" s="52"/>
      <c r="O227" s="52"/>
      <c r="P227" s="52"/>
      <c r="Q227" s="52"/>
      <c r="R227" s="52"/>
      <c r="S227" s="52"/>
      <c r="T227" s="51" t="str">
        <f t="shared" si="5"/>
        <v/>
      </c>
    </row>
    <row r="228" spans="1:20" ht="15" customHeight="1" x14ac:dyDescent="0.2">
      <c r="A228" s="52"/>
      <c r="B228" s="52"/>
      <c r="C228" s="52"/>
      <c r="D228" s="52"/>
      <c r="E228" s="52"/>
      <c r="F228" s="52"/>
      <c r="G228" s="52"/>
      <c r="H228" s="52"/>
      <c r="I228" s="52"/>
      <c r="J228" s="52"/>
      <c r="K228" s="52"/>
      <c r="L228" s="52"/>
      <c r="M228" s="52"/>
      <c r="N228" s="52"/>
      <c r="O228" s="52"/>
      <c r="P228" s="52"/>
      <c r="Q228" s="52"/>
      <c r="R228" s="52"/>
      <c r="S228" s="52"/>
      <c r="T228" s="51" t="str">
        <f t="shared" si="5"/>
        <v/>
      </c>
    </row>
    <row r="229" spans="1:20" ht="15" customHeight="1" x14ac:dyDescent="0.2">
      <c r="A229" s="52"/>
      <c r="B229" s="52"/>
      <c r="C229" s="52"/>
      <c r="D229" s="52"/>
      <c r="E229" s="52"/>
      <c r="F229" s="52"/>
      <c r="G229" s="52"/>
      <c r="H229" s="52"/>
      <c r="I229" s="52"/>
      <c r="J229" s="52"/>
      <c r="K229" s="52"/>
      <c r="L229" s="52"/>
      <c r="M229" s="52"/>
      <c r="N229" s="52"/>
      <c r="O229" s="52"/>
      <c r="P229" s="52"/>
      <c r="Q229" s="52"/>
      <c r="R229" s="52"/>
      <c r="S229" s="52"/>
      <c r="T229" s="51" t="str">
        <f t="shared" si="5"/>
        <v/>
      </c>
    </row>
    <row r="230" spans="1:20" ht="15" customHeight="1" x14ac:dyDescent="0.2">
      <c r="A230" s="52"/>
      <c r="B230" s="52"/>
      <c r="C230" s="52"/>
      <c r="D230" s="52"/>
      <c r="E230" s="52"/>
      <c r="F230" s="52"/>
      <c r="G230" s="52"/>
      <c r="H230" s="52"/>
      <c r="I230" s="52"/>
      <c r="J230" s="52"/>
      <c r="K230" s="52"/>
      <c r="L230" s="52"/>
      <c r="M230" s="52"/>
      <c r="N230" s="52"/>
      <c r="O230" s="52"/>
      <c r="P230" s="52"/>
      <c r="Q230" s="52"/>
      <c r="R230" s="52"/>
      <c r="S230" s="52"/>
      <c r="T230" s="51" t="str">
        <f t="shared" si="5"/>
        <v/>
      </c>
    </row>
    <row r="231" spans="1:20" ht="15" customHeight="1" x14ac:dyDescent="0.2">
      <c r="A231" s="52"/>
      <c r="B231" s="52"/>
      <c r="C231" s="52"/>
      <c r="D231" s="52"/>
      <c r="E231" s="52"/>
      <c r="F231" s="52"/>
      <c r="G231" s="52"/>
      <c r="H231" s="52"/>
      <c r="I231" s="52"/>
      <c r="J231" s="52"/>
      <c r="K231" s="52"/>
      <c r="L231" s="52"/>
      <c r="M231" s="52"/>
      <c r="N231" s="52"/>
      <c r="O231" s="52"/>
      <c r="P231" s="52"/>
      <c r="Q231" s="52"/>
      <c r="R231" s="52"/>
      <c r="S231" s="52"/>
      <c r="T231" s="51" t="str">
        <f t="shared" si="5"/>
        <v/>
      </c>
    </row>
    <row r="232" spans="1:20" ht="15" customHeight="1" x14ac:dyDescent="0.2">
      <c r="A232" s="52"/>
      <c r="B232" s="52"/>
      <c r="C232" s="52"/>
      <c r="D232" s="52"/>
      <c r="E232" s="52"/>
      <c r="F232" s="52"/>
      <c r="G232" s="52"/>
      <c r="H232" s="52"/>
      <c r="I232" s="52"/>
      <c r="J232" s="52"/>
      <c r="K232" s="52"/>
      <c r="L232" s="52"/>
      <c r="M232" s="52"/>
      <c r="N232" s="52"/>
      <c r="O232" s="52"/>
      <c r="P232" s="52"/>
      <c r="Q232" s="52"/>
      <c r="R232" s="52"/>
      <c r="S232" s="52"/>
      <c r="T232" s="51" t="str">
        <f t="shared" si="5"/>
        <v/>
      </c>
    </row>
    <row r="233" spans="1:20" ht="15" customHeight="1" x14ac:dyDescent="0.2">
      <c r="A233" s="52"/>
      <c r="B233" s="52"/>
      <c r="C233" s="52"/>
      <c r="D233" s="52"/>
      <c r="E233" s="52"/>
      <c r="F233" s="52"/>
      <c r="G233" s="52"/>
      <c r="H233" s="52"/>
      <c r="I233" s="52"/>
      <c r="J233" s="52"/>
      <c r="K233" s="52"/>
      <c r="L233" s="52"/>
      <c r="M233" s="52"/>
      <c r="N233" s="52"/>
      <c r="O233" s="52"/>
      <c r="P233" s="52"/>
      <c r="Q233" s="52"/>
      <c r="R233" s="52"/>
      <c r="S233" s="52"/>
      <c r="T233" s="51" t="str">
        <f t="shared" si="5"/>
        <v/>
      </c>
    </row>
    <row r="234" spans="1:20" ht="15" customHeight="1" x14ac:dyDescent="0.2">
      <c r="A234" s="52"/>
      <c r="B234" s="52"/>
      <c r="C234" s="52"/>
      <c r="D234" s="52"/>
      <c r="E234" s="52"/>
      <c r="F234" s="52"/>
      <c r="G234" s="52"/>
      <c r="H234" s="52"/>
      <c r="I234" s="52"/>
      <c r="J234" s="52"/>
      <c r="K234" s="52"/>
      <c r="L234" s="52"/>
      <c r="M234" s="52"/>
      <c r="N234" s="52"/>
      <c r="O234" s="52"/>
      <c r="P234" s="52"/>
      <c r="Q234" s="52"/>
      <c r="R234" s="52"/>
      <c r="S234" s="52"/>
      <c r="T234" s="51" t="str">
        <f t="shared" si="5"/>
        <v/>
      </c>
    </row>
    <row r="235" spans="1:20" ht="15" customHeight="1" x14ac:dyDescent="0.2">
      <c r="A235" s="52"/>
      <c r="B235" s="52"/>
      <c r="C235" s="52"/>
      <c r="D235" s="52"/>
      <c r="E235" s="52"/>
      <c r="F235" s="52"/>
      <c r="G235" s="52"/>
      <c r="H235" s="52"/>
      <c r="I235" s="52"/>
      <c r="J235" s="52"/>
      <c r="K235" s="52"/>
      <c r="L235" s="52"/>
      <c r="M235" s="52"/>
      <c r="N235" s="52"/>
      <c r="O235" s="52"/>
      <c r="P235" s="52"/>
      <c r="Q235" s="52"/>
      <c r="R235" s="52"/>
      <c r="S235" s="52"/>
      <c r="T235" s="51" t="str">
        <f t="shared" si="5"/>
        <v/>
      </c>
    </row>
    <row r="236" spans="1:20" ht="15" customHeight="1" x14ac:dyDescent="0.2">
      <c r="A236" s="52"/>
      <c r="B236" s="52"/>
      <c r="C236" s="52"/>
      <c r="D236" s="52"/>
      <c r="E236" s="52"/>
      <c r="F236" s="52"/>
      <c r="G236" s="52"/>
      <c r="H236" s="52"/>
      <c r="I236" s="52"/>
      <c r="J236" s="52"/>
      <c r="K236" s="52"/>
      <c r="L236" s="52"/>
      <c r="M236" s="52"/>
      <c r="N236" s="52"/>
      <c r="O236" s="52"/>
      <c r="P236" s="52"/>
      <c r="Q236" s="52"/>
      <c r="R236" s="52"/>
      <c r="S236" s="52"/>
      <c r="T236" s="51" t="str">
        <f t="shared" si="5"/>
        <v/>
      </c>
    </row>
    <row r="237" spans="1:20" ht="15" customHeight="1" x14ac:dyDescent="0.2">
      <c r="A237" s="52"/>
      <c r="B237" s="52"/>
      <c r="C237" s="52"/>
      <c r="D237" s="52"/>
      <c r="E237" s="52"/>
      <c r="F237" s="52"/>
      <c r="G237" s="52"/>
      <c r="H237" s="52"/>
      <c r="I237" s="52"/>
      <c r="J237" s="52"/>
      <c r="K237" s="52"/>
      <c r="L237" s="52"/>
      <c r="M237" s="52"/>
      <c r="N237" s="52"/>
      <c r="O237" s="52"/>
      <c r="P237" s="52"/>
      <c r="Q237" s="52"/>
      <c r="R237" s="52"/>
      <c r="S237" s="52"/>
      <c r="T237" s="51" t="str">
        <f t="shared" si="5"/>
        <v/>
      </c>
    </row>
    <row r="238" spans="1:20" ht="15" customHeight="1" x14ac:dyDescent="0.2">
      <c r="A238" s="52"/>
      <c r="B238" s="52"/>
      <c r="C238" s="52"/>
      <c r="D238" s="52"/>
      <c r="E238" s="52"/>
      <c r="F238" s="52"/>
      <c r="G238" s="52"/>
      <c r="H238" s="52"/>
      <c r="I238" s="52"/>
      <c r="J238" s="52"/>
      <c r="K238" s="52"/>
      <c r="L238" s="52"/>
      <c r="M238" s="52"/>
      <c r="N238" s="52"/>
      <c r="O238" s="52"/>
      <c r="P238" s="52"/>
      <c r="Q238" s="52"/>
      <c r="R238" s="52"/>
      <c r="S238" s="52"/>
      <c r="T238" s="51" t="str">
        <f t="shared" si="5"/>
        <v/>
      </c>
    </row>
    <row r="239" spans="1:20" ht="15" customHeight="1" x14ac:dyDescent="0.2">
      <c r="A239" s="52"/>
      <c r="B239" s="52"/>
      <c r="C239" s="52"/>
      <c r="D239" s="52"/>
      <c r="E239" s="52"/>
      <c r="F239" s="52"/>
      <c r="G239" s="52"/>
      <c r="H239" s="52"/>
      <c r="I239" s="52"/>
      <c r="J239" s="52"/>
      <c r="K239" s="52"/>
      <c r="L239" s="52"/>
      <c r="M239" s="52"/>
      <c r="N239" s="52"/>
      <c r="O239" s="52"/>
      <c r="P239" s="52"/>
      <c r="Q239" s="52"/>
      <c r="R239" s="52"/>
      <c r="S239" s="52"/>
      <c r="T239" s="51" t="str">
        <f t="shared" si="5"/>
        <v/>
      </c>
    </row>
    <row r="240" spans="1:20" ht="15" customHeight="1" x14ac:dyDescent="0.2">
      <c r="A240" s="52"/>
      <c r="B240" s="52"/>
      <c r="C240" s="52"/>
      <c r="D240" s="52"/>
      <c r="E240" s="52"/>
      <c r="F240" s="52"/>
      <c r="G240" s="52"/>
      <c r="H240" s="52"/>
      <c r="I240" s="52"/>
      <c r="J240" s="52"/>
      <c r="K240" s="52"/>
      <c r="L240" s="52"/>
      <c r="M240" s="52"/>
      <c r="N240" s="52"/>
      <c r="O240" s="52"/>
      <c r="P240" s="52"/>
      <c r="Q240" s="52"/>
      <c r="R240" s="52"/>
      <c r="S240" s="52"/>
      <c r="T240" s="51" t="str">
        <f t="shared" si="5"/>
        <v/>
      </c>
    </row>
    <row r="241" spans="1:20" ht="15" customHeight="1" x14ac:dyDescent="0.2">
      <c r="A241" s="52"/>
      <c r="B241" s="52"/>
      <c r="C241" s="52"/>
      <c r="D241" s="52"/>
      <c r="E241" s="52"/>
      <c r="F241" s="52"/>
      <c r="G241" s="52"/>
      <c r="H241" s="52"/>
      <c r="I241" s="52"/>
      <c r="J241" s="52"/>
      <c r="K241" s="52"/>
      <c r="L241" s="52"/>
      <c r="M241" s="52"/>
      <c r="N241" s="52"/>
      <c r="O241" s="52"/>
      <c r="P241" s="52"/>
      <c r="Q241" s="52"/>
      <c r="R241" s="52"/>
      <c r="S241" s="52"/>
      <c r="T241" s="51" t="str">
        <f t="shared" si="5"/>
        <v/>
      </c>
    </row>
    <row r="242" spans="1:20" ht="15" customHeight="1" x14ac:dyDescent="0.2">
      <c r="A242" s="52"/>
      <c r="B242" s="52"/>
      <c r="C242" s="52"/>
      <c r="D242" s="52"/>
      <c r="E242" s="52"/>
      <c r="F242" s="52"/>
      <c r="G242" s="52"/>
      <c r="H242" s="52"/>
      <c r="I242" s="52"/>
      <c r="J242" s="52"/>
      <c r="K242" s="52"/>
      <c r="L242" s="52"/>
      <c r="M242" s="52"/>
      <c r="N242" s="52"/>
      <c r="O242" s="52"/>
      <c r="P242" s="52"/>
      <c r="Q242" s="52"/>
      <c r="R242" s="52"/>
      <c r="S242" s="52"/>
      <c r="T242" s="51" t="str">
        <f t="shared" si="5"/>
        <v/>
      </c>
    </row>
    <row r="243" spans="1:20" ht="15" customHeight="1" x14ac:dyDescent="0.2">
      <c r="A243" s="52"/>
      <c r="B243" s="52"/>
      <c r="C243" s="52"/>
      <c r="D243" s="52"/>
      <c r="E243" s="52"/>
      <c r="F243" s="52"/>
      <c r="G243" s="52"/>
      <c r="H243" s="52"/>
      <c r="I243" s="52"/>
      <c r="J243" s="52"/>
      <c r="K243" s="52"/>
      <c r="L243" s="52"/>
      <c r="M243" s="52"/>
      <c r="N243" s="52"/>
      <c r="O243" s="52"/>
      <c r="P243" s="52"/>
      <c r="Q243" s="52"/>
      <c r="R243" s="52"/>
      <c r="S243" s="52"/>
      <c r="T243" s="51" t="str">
        <f t="shared" si="5"/>
        <v/>
      </c>
    </row>
    <row r="244" spans="1:20" ht="15" customHeight="1" x14ac:dyDescent="0.2">
      <c r="A244" s="52"/>
      <c r="B244" s="52"/>
      <c r="C244" s="52"/>
      <c r="D244" s="52"/>
      <c r="E244" s="52"/>
      <c r="F244" s="52"/>
      <c r="G244" s="52"/>
      <c r="H244" s="52"/>
      <c r="I244" s="52"/>
      <c r="J244" s="52"/>
      <c r="K244" s="52"/>
      <c r="L244" s="52"/>
      <c r="M244" s="52"/>
      <c r="N244" s="52"/>
      <c r="O244" s="52"/>
      <c r="P244" s="52"/>
      <c r="Q244" s="52"/>
      <c r="R244" s="52"/>
      <c r="S244" s="52"/>
      <c r="T244" s="51" t="str">
        <f t="shared" si="5"/>
        <v/>
      </c>
    </row>
    <row r="245" spans="1:20" ht="15" customHeight="1" x14ac:dyDescent="0.2">
      <c r="A245" s="52"/>
      <c r="B245" s="52"/>
      <c r="C245" s="52"/>
      <c r="D245" s="52"/>
      <c r="E245" s="52"/>
      <c r="F245" s="52"/>
      <c r="G245" s="52"/>
      <c r="H245" s="52"/>
      <c r="I245" s="52"/>
      <c r="J245" s="52"/>
      <c r="K245" s="52"/>
      <c r="L245" s="52"/>
      <c r="M245" s="52"/>
      <c r="N245" s="52"/>
      <c r="O245" s="52"/>
      <c r="P245" s="52"/>
      <c r="Q245" s="52"/>
      <c r="R245" s="52"/>
      <c r="S245" s="52"/>
      <c r="T245" s="51" t="str">
        <f t="shared" si="5"/>
        <v/>
      </c>
    </row>
    <row r="246" spans="1:20" ht="15" customHeight="1" x14ac:dyDescent="0.2">
      <c r="A246" s="52"/>
      <c r="B246" s="52"/>
      <c r="C246" s="52"/>
      <c r="D246" s="52"/>
      <c r="E246" s="52"/>
      <c r="F246" s="52"/>
      <c r="G246" s="52"/>
      <c r="H246" s="52"/>
      <c r="I246" s="52"/>
      <c r="J246" s="52"/>
      <c r="K246" s="52"/>
      <c r="L246" s="52"/>
      <c r="M246" s="52"/>
      <c r="N246" s="52"/>
      <c r="O246" s="52"/>
      <c r="P246" s="52"/>
      <c r="Q246" s="52"/>
      <c r="R246" s="52"/>
      <c r="S246" s="52"/>
      <c r="T246" s="51" t="str">
        <f t="shared" si="5"/>
        <v/>
      </c>
    </row>
    <row r="247" spans="1:20" ht="15" customHeight="1" x14ac:dyDescent="0.2">
      <c r="T247" s="51" t="str">
        <f t="shared" si="5"/>
        <v/>
      </c>
    </row>
    <row r="248" spans="1:20" ht="15" customHeight="1" x14ac:dyDescent="0.2">
      <c r="T248" s="51" t="str">
        <f t="shared" si="5"/>
        <v/>
      </c>
    </row>
    <row r="249" spans="1:20" ht="15" customHeight="1" x14ac:dyDescent="0.2">
      <c r="T249" s="51" t="str">
        <f t="shared" si="5"/>
        <v/>
      </c>
    </row>
    <row r="250" spans="1:20" ht="15" customHeight="1" x14ac:dyDescent="0.2">
      <c r="T250" s="51" t="str">
        <f t="shared" si="5"/>
        <v/>
      </c>
    </row>
    <row r="251" spans="1:20" ht="15" customHeight="1" x14ac:dyDescent="0.2">
      <c r="T251" s="51" t="str">
        <f t="shared" si="5"/>
        <v/>
      </c>
    </row>
    <row r="252" spans="1:20" ht="15" customHeight="1" x14ac:dyDescent="0.2">
      <c r="T252" s="51" t="str">
        <f t="shared" si="5"/>
        <v/>
      </c>
    </row>
    <row r="253" spans="1:20" ht="15" customHeight="1" x14ac:dyDescent="0.2">
      <c r="T253" s="51" t="str">
        <f t="shared" si="5"/>
        <v/>
      </c>
    </row>
    <row r="254" spans="1:20" ht="15" customHeight="1" x14ac:dyDescent="0.2">
      <c r="T254" s="51" t="str">
        <f t="shared" si="5"/>
        <v/>
      </c>
    </row>
    <row r="255" spans="1:20" ht="15" customHeight="1" x14ac:dyDescent="0.2">
      <c r="T255" s="51" t="str">
        <f t="shared" si="5"/>
        <v/>
      </c>
    </row>
    <row r="256" spans="1:20" ht="15" customHeight="1" x14ac:dyDescent="0.2">
      <c r="T256" s="51" t="str">
        <f t="shared" si="5"/>
        <v/>
      </c>
    </row>
    <row r="257" spans="20:20" ht="15" customHeight="1" x14ac:dyDescent="0.2">
      <c r="T257" s="51" t="str">
        <f t="shared" si="5"/>
        <v/>
      </c>
    </row>
    <row r="258" spans="20:20" ht="15" customHeight="1" x14ac:dyDescent="0.2">
      <c r="T258" s="51" t="str">
        <f t="shared" si="5"/>
        <v/>
      </c>
    </row>
    <row r="259" spans="20:20" ht="15" customHeight="1" x14ac:dyDescent="0.2">
      <c r="T259" s="51" t="str">
        <f t="shared" si="5"/>
        <v/>
      </c>
    </row>
    <row r="260" spans="20:20" ht="15" customHeight="1" x14ac:dyDescent="0.2">
      <c r="T260" s="51" t="str">
        <f t="shared" si="5"/>
        <v/>
      </c>
    </row>
    <row r="261" spans="20:20" ht="15" customHeight="1" x14ac:dyDescent="0.2">
      <c r="T261" s="51" t="str">
        <f t="shared" si="5"/>
        <v/>
      </c>
    </row>
    <row r="262" spans="20:20" ht="15" customHeight="1" x14ac:dyDescent="0.2">
      <c r="T262" s="51" t="str">
        <f t="shared" si="5"/>
        <v/>
      </c>
    </row>
    <row r="263" spans="20:20" ht="15" customHeight="1" x14ac:dyDescent="0.2">
      <c r="T263" s="51" t="str">
        <f t="shared" si="5"/>
        <v/>
      </c>
    </row>
    <row r="264" spans="20:20" ht="15" customHeight="1" x14ac:dyDescent="0.2">
      <c r="T264" s="51" t="str">
        <f t="shared" si="5"/>
        <v/>
      </c>
    </row>
    <row r="265" spans="20:20" ht="15" customHeight="1" x14ac:dyDescent="0.2">
      <c r="T265" s="51" t="str">
        <f t="shared" si="5"/>
        <v/>
      </c>
    </row>
    <row r="266" spans="20:20" ht="15" customHeight="1" x14ac:dyDescent="0.2">
      <c r="T266" s="51" t="str">
        <f t="shared" si="5"/>
        <v/>
      </c>
    </row>
    <row r="267" spans="20:20" ht="15" customHeight="1" x14ac:dyDescent="0.2">
      <c r="T267" s="51" t="str">
        <f t="shared" si="5"/>
        <v/>
      </c>
    </row>
    <row r="268" spans="20:20" ht="15" customHeight="1" x14ac:dyDescent="0.2">
      <c r="T268" s="51" t="str">
        <f t="shared" si="5"/>
        <v/>
      </c>
    </row>
    <row r="269" spans="20:20" ht="15" customHeight="1" x14ac:dyDescent="0.2">
      <c r="T269" s="51" t="str">
        <f t="shared" si="5"/>
        <v/>
      </c>
    </row>
    <row r="270" spans="20:20" ht="15" customHeight="1" x14ac:dyDescent="0.2">
      <c r="T270" s="51" t="str">
        <f t="shared" si="5"/>
        <v/>
      </c>
    </row>
    <row r="271" spans="20:20" ht="15" customHeight="1" x14ac:dyDescent="0.2">
      <c r="T271" s="51" t="str">
        <f t="shared" si="5"/>
        <v/>
      </c>
    </row>
    <row r="272" spans="20:20" ht="15" customHeight="1" x14ac:dyDescent="0.2">
      <c r="T272" s="51" t="str">
        <f t="shared" si="5"/>
        <v/>
      </c>
    </row>
    <row r="273" spans="20:20" ht="15" customHeight="1" x14ac:dyDescent="0.2">
      <c r="T273" s="51" t="str">
        <f t="shared" si="5"/>
        <v/>
      </c>
    </row>
    <row r="274" spans="20:20" ht="15" customHeight="1" x14ac:dyDescent="0.2">
      <c r="T274" s="51" t="str">
        <f t="shared" si="5"/>
        <v/>
      </c>
    </row>
    <row r="275" spans="20:20" ht="15" customHeight="1" x14ac:dyDescent="0.2">
      <c r="T275" s="51" t="str">
        <f t="shared" si="5"/>
        <v/>
      </c>
    </row>
    <row r="276" spans="20:20" ht="15" customHeight="1" x14ac:dyDescent="0.2">
      <c r="T276" s="51" t="str">
        <f t="shared" si="5"/>
        <v/>
      </c>
    </row>
    <row r="277" spans="20:20" ht="15" customHeight="1" x14ac:dyDescent="0.2">
      <c r="T277" s="51" t="str">
        <f t="shared" si="5"/>
        <v/>
      </c>
    </row>
    <row r="278" spans="20:20" ht="15" customHeight="1" x14ac:dyDescent="0.2">
      <c r="T278" s="51" t="str">
        <f t="shared" si="5"/>
        <v/>
      </c>
    </row>
    <row r="279" spans="20:20" ht="15" customHeight="1" x14ac:dyDescent="0.2">
      <c r="T279" s="51" t="str">
        <f t="shared" si="5"/>
        <v/>
      </c>
    </row>
    <row r="280" spans="20:20" ht="15" customHeight="1" x14ac:dyDescent="0.2">
      <c r="T280" s="51" t="str">
        <f t="shared" si="5"/>
        <v/>
      </c>
    </row>
    <row r="281" spans="20:20" ht="15" customHeight="1" x14ac:dyDescent="0.2">
      <c r="T281" s="51" t="str">
        <f t="shared" si="5"/>
        <v/>
      </c>
    </row>
    <row r="282" spans="20:20" ht="15" customHeight="1" x14ac:dyDescent="0.2">
      <c r="T282" s="51" t="str">
        <f t="shared" si="5"/>
        <v/>
      </c>
    </row>
    <row r="283" spans="20:20" ht="15" customHeight="1" x14ac:dyDescent="0.2">
      <c r="T283" s="51" t="str">
        <f t="shared" ref="T283:T346" si="6">IF(G290="","",IF(OR(G290="Tier 3"),"No",IF(AND(S290&lt;&gt;"",OR(ISNUMBER(SEARCH("OFAC",S290)),ISNUMBER(SEARCH("penal",S290)),ISNUMBER(SEARCH("rojo pendiente",S290)))),"Revisar","Sí")))</f>
        <v/>
      </c>
    </row>
    <row r="284" spans="20:20" ht="15" customHeight="1" x14ac:dyDescent="0.2">
      <c r="T284" s="51" t="str">
        <f t="shared" si="6"/>
        <v/>
      </c>
    </row>
    <row r="285" spans="20:20" ht="15" customHeight="1" x14ac:dyDescent="0.2">
      <c r="T285" s="51" t="str">
        <f t="shared" si="6"/>
        <v/>
      </c>
    </row>
    <row r="286" spans="20:20" ht="15" customHeight="1" x14ac:dyDescent="0.2">
      <c r="T286" s="51" t="str">
        <f t="shared" si="6"/>
        <v/>
      </c>
    </row>
    <row r="287" spans="20:20" ht="15" customHeight="1" x14ac:dyDescent="0.2">
      <c r="T287" s="51" t="str">
        <f t="shared" si="6"/>
        <v/>
      </c>
    </row>
    <row r="288" spans="20:20" ht="15" customHeight="1" x14ac:dyDescent="0.2">
      <c r="T288" s="51" t="str">
        <f t="shared" si="6"/>
        <v/>
      </c>
    </row>
    <row r="289" spans="20:20" ht="15" customHeight="1" x14ac:dyDescent="0.2">
      <c r="T289" s="51" t="str">
        <f t="shared" si="6"/>
        <v/>
      </c>
    </row>
    <row r="290" spans="20:20" ht="15" customHeight="1" x14ac:dyDescent="0.2">
      <c r="T290" s="51" t="str">
        <f t="shared" si="6"/>
        <v/>
      </c>
    </row>
    <row r="291" spans="20:20" ht="15" customHeight="1" x14ac:dyDescent="0.2">
      <c r="T291" s="51" t="str">
        <f t="shared" si="6"/>
        <v/>
      </c>
    </row>
    <row r="292" spans="20:20" ht="15" customHeight="1" x14ac:dyDescent="0.2">
      <c r="T292" s="51" t="str">
        <f t="shared" si="6"/>
        <v/>
      </c>
    </row>
    <row r="293" spans="20:20" ht="15" customHeight="1" x14ac:dyDescent="0.2">
      <c r="T293" s="51" t="str">
        <f t="shared" si="6"/>
        <v/>
      </c>
    </row>
    <row r="294" spans="20:20" ht="15" customHeight="1" x14ac:dyDescent="0.2">
      <c r="T294" s="51" t="str">
        <f t="shared" si="6"/>
        <v/>
      </c>
    </row>
    <row r="295" spans="20:20" ht="15" customHeight="1" x14ac:dyDescent="0.2">
      <c r="T295" s="51" t="str">
        <f t="shared" si="6"/>
        <v/>
      </c>
    </row>
    <row r="296" spans="20:20" ht="15" customHeight="1" x14ac:dyDescent="0.2">
      <c r="T296" s="51" t="str">
        <f t="shared" si="6"/>
        <v/>
      </c>
    </row>
    <row r="297" spans="20:20" ht="15" customHeight="1" x14ac:dyDescent="0.2">
      <c r="T297" s="51" t="str">
        <f t="shared" si="6"/>
        <v/>
      </c>
    </row>
    <row r="298" spans="20:20" ht="15" customHeight="1" x14ac:dyDescent="0.2">
      <c r="T298" s="51" t="str">
        <f t="shared" si="6"/>
        <v/>
      </c>
    </row>
    <row r="299" spans="20:20" ht="15" customHeight="1" x14ac:dyDescent="0.2">
      <c r="T299" s="51" t="str">
        <f t="shared" si="6"/>
        <v/>
      </c>
    </row>
    <row r="300" spans="20:20" ht="15" customHeight="1" x14ac:dyDescent="0.2">
      <c r="T300" s="51" t="str">
        <f t="shared" si="6"/>
        <v/>
      </c>
    </row>
    <row r="301" spans="20:20" ht="15" customHeight="1" x14ac:dyDescent="0.2">
      <c r="T301" s="51" t="str">
        <f t="shared" si="6"/>
        <v/>
      </c>
    </row>
    <row r="302" spans="20:20" ht="15" customHeight="1" x14ac:dyDescent="0.2">
      <c r="T302" s="51" t="str">
        <f t="shared" si="6"/>
        <v/>
      </c>
    </row>
    <row r="303" spans="20:20" ht="15" customHeight="1" x14ac:dyDescent="0.2">
      <c r="T303" s="51" t="str">
        <f t="shared" si="6"/>
        <v/>
      </c>
    </row>
    <row r="304" spans="20:20" ht="15" customHeight="1" x14ac:dyDescent="0.2">
      <c r="T304" s="51" t="str">
        <f t="shared" si="6"/>
        <v/>
      </c>
    </row>
    <row r="305" spans="20:20" ht="15" customHeight="1" x14ac:dyDescent="0.2">
      <c r="T305" s="51" t="str">
        <f t="shared" si="6"/>
        <v/>
      </c>
    </row>
    <row r="306" spans="20:20" ht="15" customHeight="1" x14ac:dyDescent="0.2">
      <c r="T306" s="51" t="str">
        <f t="shared" si="6"/>
        <v/>
      </c>
    </row>
    <row r="307" spans="20:20" ht="15" customHeight="1" x14ac:dyDescent="0.2">
      <c r="T307" s="51" t="str">
        <f t="shared" si="6"/>
        <v/>
      </c>
    </row>
    <row r="308" spans="20:20" ht="15" customHeight="1" x14ac:dyDescent="0.2">
      <c r="T308" s="51" t="str">
        <f t="shared" si="6"/>
        <v/>
      </c>
    </row>
    <row r="309" spans="20:20" ht="15" customHeight="1" x14ac:dyDescent="0.2">
      <c r="T309" s="51" t="str">
        <f t="shared" si="6"/>
        <v/>
      </c>
    </row>
    <row r="310" spans="20:20" ht="15" customHeight="1" x14ac:dyDescent="0.2">
      <c r="T310" s="51" t="str">
        <f t="shared" si="6"/>
        <v/>
      </c>
    </row>
    <row r="311" spans="20:20" ht="15" customHeight="1" x14ac:dyDescent="0.2">
      <c r="T311" s="51" t="str">
        <f t="shared" si="6"/>
        <v/>
      </c>
    </row>
    <row r="312" spans="20:20" ht="15" customHeight="1" x14ac:dyDescent="0.2">
      <c r="T312" s="51" t="str">
        <f t="shared" si="6"/>
        <v/>
      </c>
    </row>
    <row r="313" spans="20:20" ht="15" customHeight="1" x14ac:dyDescent="0.2">
      <c r="T313" s="51" t="str">
        <f t="shared" si="6"/>
        <v/>
      </c>
    </row>
    <row r="314" spans="20:20" ht="15" customHeight="1" x14ac:dyDescent="0.2">
      <c r="T314" s="51" t="str">
        <f t="shared" si="6"/>
        <v/>
      </c>
    </row>
    <row r="315" spans="20:20" ht="15" customHeight="1" x14ac:dyDescent="0.2">
      <c r="T315" s="51" t="str">
        <f t="shared" si="6"/>
        <v/>
      </c>
    </row>
    <row r="316" spans="20:20" ht="15" customHeight="1" x14ac:dyDescent="0.2">
      <c r="T316" s="51" t="str">
        <f t="shared" si="6"/>
        <v/>
      </c>
    </row>
    <row r="317" spans="20:20" ht="15" customHeight="1" x14ac:dyDescent="0.2">
      <c r="T317" s="51" t="str">
        <f t="shared" si="6"/>
        <v/>
      </c>
    </row>
    <row r="318" spans="20:20" ht="15" customHeight="1" x14ac:dyDescent="0.2">
      <c r="T318" s="51" t="str">
        <f t="shared" si="6"/>
        <v/>
      </c>
    </row>
    <row r="319" spans="20:20" ht="15" customHeight="1" x14ac:dyDescent="0.2">
      <c r="T319" s="51" t="str">
        <f t="shared" si="6"/>
        <v/>
      </c>
    </row>
    <row r="320" spans="20:20" ht="15" customHeight="1" x14ac:dyDescent="0.2">
      <c r="T320" s="51" t="str">
        <f t="shared" si="6"/>
        <v/>
      </c>
    </row>
    <row r="321" spans="20:20" ht="15" customHeight="1" x14ac:dyDescent="0.2">
      <c r="T321" s="51" t="str">
        <f t="shared" si="6"/>
        <v/>
      </c>
    </row>
    <row r="322" spans="20:20" ht="15" customHeight="1" x14ac:dyDescent="0.2">
      <c r="T322" s="51" t="str">
        <f t="shared" si="6"/>
        <v/>
      </c>
    </row>
    <row r="323" spans="20:20" ht="15" customHeight="1" x14ac:dyDescent="0.2">
      <c r="T323" s="51" t="str">
        <f t="shared" si="6"/>
        <v/>
      </c>
    </row>
    <row r="324" spans="20:20" ht="15" customHeight="1" x14ac:dyDescent="0.2">
      <c r="T324" s="51" t="str">
        <f t="shared" si="6"/>
        <v/>
      </c>
    </row>
    <row r="325" spans="20:20" ht="15" customHeight="1" x14ac:dyDescent="0.2">
      <c r="T325" s="51" t="str">
        <f t="shared" si="6"/>
        <v/>
      </c>
    </row>
    <row r="326" spans="20:20" ht="15" customHeight="1" x14ac:dyDescent="0.2">
      <c r="T326" s="51" t="str">
        <f t="shared" si="6"/>
        <v/>
      </c>
    </row>
    <row r="327" spans="20:20" ht="15" customHeight="1" x14ac:dyDescent="0.2">
      <c r="T327" s="51" t="str">
        <f t="shared" si="6"/>
        <v/>
      </c>
    </row>
    <row r="328" spans="20:20" ht="15" customHeight="1" x14ac:dyDescent="0.2">
      <c r="T328" s="51" t="str">
        <f t="shared" si="6"/>
        <v/>
      </c>
    </row>
    <row r="329" spans="20:20" ht="15" customHeight="1" x14ac:dyDescent="0.2">
      <c r="T329" s="51" t="str">
        <f t="shared" si="6"/>
        <v/>
      </c>
    </row>
    <row r="330" spans="20:20" ht="15" customHeight="1" x14ac:dyDescent="0.2">
      <c r="T330" s="51" t="str">
        <f t="shared" si="6"/>
        <v/>
      </c>
    </row>
    <row r="331" spans="20:20" ht="15" customHeight="1" x14ac:dyDescent="0.2">
      <c r="T331" s="51" t="str">
        <f t="shared" si="6"/>
        <v/>
      </c>
    </row>
    <row r="332" spans="20:20" ht="15" customHeight="1" x14ac:dyDescent="0.2">
      <c r="T332" s="51" t="str">
        <f t="shared" si="6"/>
        <v/>
      </c>
    </row>
    <row r="333" spans="20:20" ht="15" customHeight="1" x14ac:dyDescent="0.2">
      <c r="T333" s="51" t="str">
        <f t="shared" si="6"/>
        <v/>
      </c>
    </row>
    <row r="334" spans="20:20" ht="15" customHeight="1" x14ac:dyDescent="0.2">
      <c r="T334" s="51" t="str">
        <f t="shared" si="6"/>
        <v/>
      </c>
    </row>
    <row r="335" spans="20:20" ht="15" customHeight="1" x14ac:dyDescent="0.2">
      <c r="T335" s="51" t="str">
        <f t="shared" si="6"/>
        <v/>
      </c>
    </row>
    <row r="336" spans="20:20" ht="15" customHeight="1" x14ac:dyDescent="0.2">
      <c r="T336" s="51" t="str">
        <f t="shared" si="6"/>
        <v/>
      </c>
    </row>
    <row r="337" spans="20:20" ht="15" customHeight="1" x14ac:dyDescent="0.2">
      <c r="T337" s="51" t="str">
        <f t="shared" si="6"/>
        <v/>
      </c>
    </row>
    <row r="338" spans="20:20" ht="15" customHeight="1" x14ac:dyDescent="0.2">
      <c r="T338" s="51" t="str">
        <f t="shared" si="6"/>
        <v/>
      </c>
    </row>
    <row r="339" spans="20:20" ht="15" customHeight="1" x14ac:dyDescent="0.2">
      <c r="T339" s="51" t="str">
        <f t="shared" si="6"/>
        <v/>
      </c>
    </row>
    <row r="340" spans="20:20" ht="15" customHeight="1" x14ac:dyDescent="0.2">
      <c r="T340" s="51" t="str">
        <f t="shared" si="6"/>
        <v/>
      </c>
    </row>
    <row r="341" spans="20:20" ht="15" customHeight="1" x14ac:dyDescent="0.2">
      <c r="T341" s="51" t="str">
        <f t="shared" si="6"/>
        <v/>
      </c>
    </row>
    <row r="342" spans="20:20" ht="15" customHeight="1" x14ac:dyDescent="0.2">
      <c r="T342" s="51" t="str">
        <f t="shared" si="6"/>
        <v/>
      </c>
    </row>
    <row r="343" spans="20:20" ht="15" customHeight="1" x14ac:dyDescent="0.2">
      <c r="T343" s="51" t="str">
        <f t="shared" si="6"/>
        <v/>
      </c>
    </row>
    <row r="344" spans="20:20" ht="15" customHeight="1" x14ac:dyDescent="0.2">
      <c r="T344" s="51" t="str">
        <f t="shared" si="6"/>
        <v/>
      </c>
    </row>
    <row r="345" spans="20:20" ht="15" customHeight="1" x14ac:dyDescent="0.2">
      <c r="T345" s="51" t="str">
        <f t="shared" si="6"/>
        <v/>
      </c>
    </row>
    <row r="346" spans="20:20" ht="15" customHeight="1" x14ac:dyDescent="0.2">
      <c r="T346" s="51" t="str">
        <f t="shared" si="6"/>
        <v/>
      </c>
    </row>
    <row r="347" spans="20:20" ht="15" customHeight="1" x14ac:dyDescent="0.2">
      <c r="T347" s="51" t="str">
        <f t="shared" ref="T347:T410" si="7">IF(G354="","",IF(OR(G354="Tier 3"),"No",IF(AND(S354&lt;&gt;"",OR(ISNUMBER(SEARCH("OFAC",S354)),ISNUMBER(SEARCH("penal",S354)),ISNUMBER(SEARCH("rojo pendiente",S354)))),"Revisar","Sí")))</f>
        <v/>
      </c>
    </row>
    <row r="348" spans="20:20" ht="15" customHeight="1" x14ac:dyDescent="0.2">
      <c r="T348" s="51" t="str">
        <f t="shared" si="7"/>
        <v/>
      </c>
    </row>
    <row r="349" spans="20:20" ht="15" customHeight="1" x14ac:dyDescent="0.2">
      <c r="T349" s="51" t="str">
        <f t="shared" si="7"/>
        <v/>
      </c>
    </row>
    <row r="350" spans="20:20" ht="15" customHeight="1" x14ac:dyDescent="0.2">
      <c r="T350" s="51" t="str">
        <f t="shared" si="7"/>
        <v/>
      </c>
    </row>
    <row r="351" spans="20:20" ht="15" customHeight="1" x14ac:dyDescent="0.2">
      <c r="T351" s="51" t="str">
        <f t="shared" si="7"/>
        <v/>
      </c>
    </row>
    <row r="352" spans="20:20" ht="15" customHeight="1" x14ac:dyDescent="0.2">
      <c r="T352" s="51" t="str">
        <f t="shared" si="7"/>
        <v/>
      </c>
    </row>
    <row r="353" spans="20:20" ht="15" customHeight="1" x14ac:dyDescent="0.2">
      <c r="T353" s="51" t="str">
        <f t="shared" si="7"/>
        <v/>
      </c>
    </row>
    <row r="354" spans="20:20" ht="15" customHeight="1" x14ac:dyDescent="0.2">
      <c r="T354" s="51" t="str">
        <f t="shared" si="7"/>
        <v/>
      </c>
    </row>
    <row r="355" spans="20:20" ht="15" customHeight="1" x14ac:dyDescent="0.2">
      <c r="T355" s="51" t="str">
        <f t="shared" si="7"/>
        <v/>
      </c>
    </row>
    <row r="356" spans="20:20" ht="15" customHeight="1" x14ac:dyDescent="0.2">
      <c r="T356" s="51" t="str">
        <f t="shared" si="7"/>
        <v/>
      </c>
    </row>
    <row r="357" spans="20:20" ht="15" customHeight="1" x14ac:dyDescent="0.2">
      <c r="T357" s="51" t="str">
        <f t="shared" si="7"/>
        <v/>
      </c>
    </row>
    <row r="358" spans="20:20" ht="15" customHeight="1" x14ac:dyDescent="0.2">
      <c r="T358" s="51" t="str">
        <f t="shared" si="7"/>
        <v/>
      </c>
    </row>
    <row r="359" spans="20:20" ht="15" customHeight="1" x14ac:dyDescent="0.2">
      <c r="T359" s="51" t="str">
        <f t="shared" si="7"/>
        <v/>
      </c>
    </row>
    <row r="360" spans="20:20" ht="15" customHeight="1" x14ac:dyDescent="0.2">
      <c r="T360" s="51" t="str">
        <f t="shared" si="7"/>
        <v/>
      </c>
    </row>
    <row r="361" spans="20:20" ht="15" customHeight="1" x14ac:dyDescent="0.2">
      <c r="T361" s="51" t="str">
        <f t="shared" si="7"/>
        <v/>
      </c>
    </row>
    <row r="362" spans="20:20" ht="15" customHeight="1" x14ac:dyDescent="0.2">
      <c r="T362" s="51" t="str">
        <f t="shared" si="7"/>
        <v/>
      </c>
    </row>
    <row r="363" spans="20:20" ht="15" customHeight="1" x14ac:dyDescent="0.2">
      <c r="T363" s="51" t="str">
        <f t="shared" si="7"/>
        <v/>
      </c>
    </row>
    <row r="364" spans="20:20" ht="15" customHeight="1" x14ac:dyDescent="0.2">
      <c r="T364" s="51" t="str">
        <f t="shared" si="7"/>
        <v/>
      </c>
    </row>
    <row r="365" spans="20:20" ht="15" customHeight="1" x14ac:dyDescent="0.2">
      <c r="T365" s="51" t="str">
        <f t="shared" si="7"/>
        <v/>
      </c>
    </row>
    <row r="366" spans="20:20" ht="15" customHeight="1" x14ac:dyDescent="0.2">
      <c r="T366" s="51" t="str">
        <f t="shared" si="7"/>
        <v/>
      </c>
    </row>
    <row r="367" spans="20:20" ht="15" customHeight="1" x14ac:dyDescent="0.2">
      <c r="T367" s="51" t="str">
        <f t="shared" si="7"/>
        <v/>
      </c>
    </row>
    <row r="368" spans="20:20" ht="15" customHeight="1" x14ac:dyDescent="0.2">
      <c r="T368" s="51" t="str">
        <f t="shared" si="7"/>
        <v/>
      </c>
    </row>
    <row r="369" spans="20:20" ht="15" customHeight="1" x14ac:dyDescent="0.2">
      <c r="T369" s="51" t="str">
        <f t="shared" si="7"/>
        <v/>
      </c>
    </row>
    <row r="370" spans="20:20" ht="15" customHeight="1" x14ac:dyDescent="0.2">
      <c r="T370" s="51" t="str">
        <f t="shared" si="7"/>
        <v/>
      </c>
    </row>
    <row r="371" spans="20:20" ht="15" customHeight="1" x14ac:dyDescent="0.2">
      <c r="T371" s="51" t="str">
        <f t="shared" si="7"/>
        <v/>
      </c>
    </row>
    <row r="372" spans="20:20" ht="15" customHeight="1" x14ac:dyDescent="0.2">
      <c r="T372" s="51" t="str">
        <f t="shared" si="7"/>
        <v/>
      </c>
    </row>
    <row r="373" spans="20:20" ht="15" customHeight="1" x14ac:dyDescent="0.2">
      <c r="T373" s="51" t="str">
        <f t="shared" si="7"/>
        <v/>
      </c>
    </row>
    <row r="374" spans="20:20" ht="15" customHeight="1" x14ac:dyDescent="0.2">
      <c r="T374" s="51" t="str">
        <f t="shared" si="7"/>
        <v/>
      </c>
    </row>
    <row r="375" spans="20:20" ht="15" customHeight="1" x14ac:dyDescent="0.2">
      <c r="T375" s="51" t="str">
        <f t="shared" si="7"/>
        <v/>
      </c>
    </row>
    <row r="376" spans="20:20" ht="15" customHeight="1" x14ac:dyDescent="0.2">
      <c r="T376" s="51" t="str">
        <f t="shared" si="7"/>
        <v/>
      </c>
    </row>
    <row r="377" spans="20:20" ht="15" customHeight="1" x14ac:dyDescent="0.2">
      <c r="T377" s="51" t="str">
        <f t="shared" si="7"/>
        <v/>
      </c>
    </row>
    <row r="378" spans="20:20" ht="15" customHeight="1" x14ac:dyDescent="0.2">
      <c r="T378" s="51" t="str">
        <f t="shared" si="7"/>
        <v/>
      </c>
    </row>
    <row r="379" spans="20:20" ht="15" customHeight="1" x14ac:dyDescent="0.2">
      <c r="T379" s="51" t="str">
        <f t="shared" si="7"/>
        <v/>
      </c>
    </row>
    <row r="380" spans="20:20" ht="15" customHeight="1" x14ac:dyDescent="0.2">
      <c r="T380" s="51" t="str">
        <f t="shared" si="7"/>
        <v/>
      </c>
    </row>
    <row r="381" spans="20:20" ht="15" customHeight="1" x14ac:dyDescent="0.2">
      <c r="T381" s="51" t="str">
        <f t="shared" si="7"/>
        <v/>
      </c>
    </row>
    <row r="382" spans="20:20" ht="15" customHeight="1" x14ac:dyDescent="0.2">
      <c r="T382" s="51" t="str">
        <f t="shared" si="7"/>
        <v/>
      </c>
    </row>
    <row r="383" spans="20:20" ht="15" customHeight="1" x14ac:dyDescent="0.2">
      <c r="T383" s="51" t="str">
        <f t="shared" si="7"/>
        <v/>
      </c>
    </row>
    <row r="384" spans="20:20" ht="15" customHeight="1" x14ac:dyDescent="0.2">
      <c r="T384" s="51" t="str">
        <f t="shared" si="7"/>
        <v/>
      </c>
    </row>
    <row r="385" spans="20:20" ht="15" customHeight="1" x14ac:dyDescent="0.2">
      <c r="T385" s="51" t="str">
        <f t="shared" si="7"/>
        <v/>
      </c>
    </row>
    <row r="386" spans="20:20" ht="15" customHeight="1" x14ac:dyDescent="0.2">
      <c r="T386" s="51" t="str">
        <f t="shared" si="7"/>
        <v/>
      </c>
    </row>
    <row r="387" spans="20:20" ht="15" customHeight="1" x14ac:dyDescent="0.2">
      <c r="T387" s="51" t="str">
        <f t="shared" si="7"/>
        <v/>
      </c>
    </row>
    <row r="388" spans="20:20" ht="15" customHeight="1" x14ac:dyDescent="0.2">
      <c r="T388" s="51" t="str">
        <f t="shared" si="7"/>
        <v/>
      </c>
    </row>
    <row r="389" spans="20:20" ht="15" customHeight="1" x14ac:dyDescent="0.2">
      <c r="T389" s="51" t="str">
        <f t="shared" si="7"/>
        <v/>
      </c>
    </row>
    <row r="390" spans="20:20" ht="15" customHeight="1" x14ac:dyDescent="0.2">
      <c r="T390" s="51" t="str">
        <f t="shared" si="7"/>
        <v/>
      </c>
    </row>
    <row r="391" spans="20:20" ht="15" customHeight="1" x14ac:dyDescent="0.2">
      <c r="T391" s="51" t="str">
        <f t="shared" si="7"/>
        <v/>
      </c>
    </row>
    <row r="392" spans="20:20" ht="15" customHeight="1" x14ac:dyDescent="0.2">
      <c r="T392" s="51" t="str">
        <f t="shared" si="7"/>
        <v/>
      </c>
    </row>
    <row r="393" spans="20:20" ht="15" customHeight="1" x14ac:dyDescent="0.2">
      <c r="T393" s="51" t="str">
        <f t="shared" si="7"/>
        <v/>
      </c>
    </row>
    <row r="394" spans="20:20" ht="15" customHeight="1" x14ac:dyDescent="0.2">
      <c r="T394" s="51" t="str">
        <f t="shared" si="7"/>
        <v/>
      </c>
    </row>
    <row r="395" spans="20:20" ht="15" customHeight="1" x14ac:dyDescent="0.2">
      <c r="T395" s="51" t="str">
        <f t="shared" si="7"/>
        <v/>
      </c>
    </row>
    <row r="396" spans="20:20" ht="15" customHeight="1" x14ac:dyDescent="0.2">
      <c r="T396" s="51" t="str">
        <f t="shared" si="7"/>
        <v/>
      </c>
    </row>
    <row r="397" spans="20:20" ht="15" customHeight="1" x14ac:dyDescent="0.2">
      <c r="T397" s="51" t="str">
        <f t="shared" si="7"/>
        <v/>
      </c>
    </row>
    <row r="398" spans="20:20" ht="15" customHeight="1" x14ac:dyDescent="0.2">
      <c r="T398" s="51" t="str">
        <f t="shared" si="7"/>
        <v/>
      </c>
    </row>
    <row r="399" spans="20:20" ht="15" customHeight="1" x14ac:dyDescent="0.2">
      <c r="T399" s="51" t="str">
        <f t="shared" si="7"/>
        <v/>
      </c>
    </row>
    <row r="400" spans="20:20" ht="15" customHeight="1" x14ac:dyDescent="0.2">
      <c r="T400" s="51" t="str">
        <f t="shared" si="7"/>
        <v/>
      </c>
    </row>
    <row r="401" spans="20:20" ht="15" customHeight="1" x14ac:dyDescent="0.2">
      <c r="T401" s="51" t="str">
        <f t="shared" si="7"/>
        <v/>
      </c>
    </row>
    <row r="402" spans="20:20" ht="15" customHeight="1" x14ac:dyDescent="0.2">
      <c r="T402" s="51" t="str">
        <f t="shared" si="7"/>
        <v/>
      </c>
    </row>
    <row r="403" spans="20:20" ht="15" customHeight="1" x14ac:dyDescent="0.2">
      <c r="T403" s="51" t="str">
        <f t="shared" si="7"/>
        <v/>
      </c>
    </row>
    <row r="404" spans="20:20" ht="15" customHeight="1" x14ac:dyDescent="0.2">
      <c r="T404" s="51" t="str">
        <f t="shared" si="7"/>
        <v/>
      </c>
    </row>
    <row r="405" spans="20:20" ht="15" customHeight="1" x14ac:dyDescent="0.2">
      <c r="T405" s="51" t="str">
        <f t="shared" si="7"/>
        <v/>
      </c>
    </row>
    <row r="406" spans="20:20" ht="15" customHeight="1" x14ac:dyDescent="0.2">
      <c r="T406" s="51" t="str">
        <f t="shared" si="7"/>
        <v/>
      </c>
    </row>
    <row r="407" spans="20:20" ht="15" customHeight="1" x14ac:dyDescent="0.2">
      <c r="T407" s="51" t="str">
        <f t="shared" si="7"/>
        <v/>
      </c>
    </row>
    <row r="408" spans="20:20" ht="15" customHeight="1" x14ac:dyDescent="0.2">
      <c r="T408" s="51" t="str">
        <f t="shared" si="7"/>
        <v/>
      </c>
    </row>
    <row r="409" spans="20:20" ht="15" customHeight="1" x14ac:dyDescent="0.2">
      <c r="T409" s="51" t="str">
        <f t="shared" si="7"/>
        <v/>
      </c>
    </row>
    <row r="410" spans="20:20" ht="15" customHeight="1" x14ac:dyDescent="0.2">
      <c r="T410" s="51" t="str">
        <f t="shared" si="7"/>
        <v/>
      </c>
    </row>
    <row r="411" spans="20:20" ht="15" customHeight="1" x14ac:dyDescent="0.2">
      <c r="T411" s="51" t="str">
        <f t="shared" ref="T411:T474" si="8">IF(G418="","",IF(OR(G418="Tier 3"),"No",IF(AND(S418&lt;&gt;"",OR(ISNUMBER(SEARCH("OFAC",S418)),ISNUMBER(SEARCH("penal",S418)),ISNUMBER(SEARCH("rojo pendiente",S418)))),"Revisar","Sí")))</f>
        <v/>
      </c>
    </row>
    <row r="412" spans="20:20" ht="15" customHeight="1" x14ac:dyDescent="0.2">
      <c r="T412" s="51" t="str">
        <f t="shared" si="8"/>
        <v/>
      </c>
    </row>
    <row r="413" spans="20:20" ht="15" customHeight="1" x14ac:dyDescent="0.2">
      <c r="T413" s="51" t="str">
        <f t="shared" si="8"/>
        <v/>
      </c>
    </row>
    <row r="414" spans="20:20" ht="15" customHeight="1" x14ac:dyDescent="0.2">
      <c r="T414" s="51" t="str">
        <f t="shared" si="8"/>
        <v/>
      </c>
    </row>
    <row r="415" spans="20:20" ht="15" customHeight="1" x14ac:dyDescent="0.2">
      <c r="T415" s="51" t="str">
        <f t="shared" si="8"/>
        <v/>
      </c>
    </row>
    <row r="416" spans="20:20" ht="15" customHeight="1" x14ac:dyDescent="0.2">
      <c r="T416" s="51" t="str">
        <f t="shared" si="8"/>
        <v/>
      </c>
    </row>
    <row r="417" spans="20:20" ht="15" customHeight="1" x14ac:dyDescent="0.2">
      <c r="T417" s="51" t="str">
        <f t="shared" si="8"/>
        <v/>
      </c>
    </row>
    <row r="418" spans="20:20" ht="15" customHeight="1" x14ac:dyDescent="0.2">
      <c r="T418" s="51" t="str">
        <f t="shared" si="8"/>
        <v/>
      </c>
    </row>
    <row r="419" spans="20:20" ht="15" customHeight="1" x14ac:dyDescent="0.2">
      <c r="T419" s="51" t="str">
        <f t="shared" si="8"/>
        <v/>
      </c>
    </row>
    <row r="420" spans="20:20" ht="15" customHeight="1" x14ac:dyDescent="0.2">
      <c r="T420" s="51" t="str">
        <f t="shared" si="8"/>
        <v/>
      </c>
    </row>
    <row r="421" spans="20:20" ht="15" customHeight="1" x14ac:dyDescent="0.2">
      <c r="T421" s="51" t="str">
        <f t="shared" si="8"/>
        <v/>
      </c>
    </row>
    <row r="422" spans="20:20" ht="15" customHeight="1" x14ac:dyDescent="0.2">
      <c r="T422" s="51" t="str">
        <f t="shared" si="8"/>
        <v/>
      </c>
    </row>
    <row r="423" spans="20:20" ht="15" customHeight="1" x14ac:dyDescent="0.2">
      <c r="T423" s="51" t="str">
        <f t="shared" si="8"/>
        <v/>
      </c>
    </row>
    <row r="424" spans="20:20" ht="15" customHeight="1" x14ac:dyDescent="0.2">
      <c r="T424" s="51" t="str">
        <f t="shared" si="8"/>
        <v/>
      </c>
    </row>
    <row r="425" spans="20:20" ht="15" customHeight="1" x14ac:dyDescent="0.2">
      <c r="T425" s="51" t="str">
        <f t="shared" si="8"/>
        <v/>
      </c>
    </row>
    <row r="426" spans="20:20" ht="15" customHeight="1" x14ac:dyDescent="0.2">
      <c r="T426" s="51" t="str">
        <f t="shared" si="8"/>
        <v/>
      </c>
    </row>
    <row r="427" spans="20:20" ht="15" customHeight="1" x14ac:dyDescent="0.2">
      <c r="T427" s="51" t="str">
        <f t="shared" si="8"/>
        <v/>
      </c>
    </row>
    <row r="428" spans="20:20" ht="15" customHeight="1" x14ac:dyDescent="0.2">
      <c r="T428" s="51" t="str">
        <f t="shared" si="8"/>
        <v/>
      </c>
    </row>
    <row r="429" spans="20:20" ht="15" customHeight="1" x14ac:dyDescent="0.2">
      <c r="T429" s="51" t="str">
        <f t="shared" si="8"/>
        <v/>
      </c>
    </row>
    <row r="430" spans="20:20" ht="15" customHeight="1" x14ac:dyDescent="0.2">
      <c r="T430" s="51" t="str">
        <f t="shared" si="8"/>
        <v/>
      </c>
    </row>
    <row r="431" spans="20:20" ht="15" customHeight="1" x14ac:dyDescent="0.2">
      <c r="T431" s="51" t="str">
        <f t="shared" si="8"/>
        <v/>
      </c>
    </row>
    <row r="432" spans="20:20" ht="15" customHeight="1" x14ac:dyDescent="0.2">
      <c r="T432" s="51" t="str">
        <f t="shared" si="8"/>
        <v/>
      </c>
    </row>
    <row r="433" spans="20:20" ht="15" customHeight="1" x14ac:dyDescent="0.2">
      <c r="T433" s="51" t="str">
        <f t="shared" si="8"/>
        <v/>
      </c>
    </row>
    <row r="434" spans="20:20" ht="15" customHeight="1" x14ac:dyDescent="0.2">
      <c r="T434" s="51" t="str">
        <f t="shared" si="8"/>
        <v/>
      </c>
    </row>
    <row r="435" spans="20:20" ht="15" customHeight="1" x14ac:dyDescent="0.2">
      <c r="T435" s="51" t="str">
        <f t="shared" si="8"/>
        <v/>
      </c>
    </row>
    <row r="436" spans="20:20" ht="15" customHeight="1" x14ac:dyDescent="0.2">
      <c r="T436" s="51" t="str">
        <f t="shared" si="8"/>
        <v/>
      </c>
    </row>
    <row r="437" spans="20:20" ht="15" customHeight="1" x14ac:dyDescent="0.2">
      <c r="T437" s="51" t="str">
        <f t="shared" si="8"/>
        <v/>
      </c>
    </row>
    <row r="438" spans="20:20" ht="15" customHeight="1" x14ac:dyDescent="0.2">
      <c r="T438" s="51" t="str">
        <f t="shared" si="8"/>
        <v/>
      </c>
    </row>
    <row r="439" spans="20:20" ht="15" customHeight="1" x14ac:dyDescent="0.2">
      <c r="T439" s="51" t="str">
        <f t="shared" si="8"/>
        <v/>
      </c>
    </row>
    <row r="440" spans="20:20" ht="15" customHeight="1" x14ac:dyDescent="0.2">
      <c r="T440" s="51" t="str">
        <f t="shared" si="8"/>
        <v/>
      </c>
    </row>
    <row r="441" spans="20:20" ht="15" customHeight="1" x14ac:dyDescent="0.2">
      <c r="T441" s="51" t="str">
        <f t="shared" si="8"/>
        <v/>
      </c>
    </row>
    <row r="442" spans="20:20" ht="15" customHeight="1" x14ac:dyDescent="0.2">
      <c r="T442" s="51" t="str">
        <f t="shared" si="8"/>
        <v/>
      </c>
    </row>
    <row r="443" spans="20:20" ht="15" customHeight="1" x14ac:dyDescent="0.2">
      <c r="T443" s="51" t="str">
        <f t="shared" si="8"/>
        <v/>
      </c>
    </row>
    <row r="444" spans="20:20" ht="15" customHeight="1" x14ac:dyDescent="0.2">
      <c r="T444" s="51" t="str">
        <f t="shared" si="8"/>
        <v/>
      </c>
    </row>
    <row r="445" spans="20:20" ht="15" customHeight="1" x14ac:dyDescent="0.2">
      <c r="T445" s="51" t="str">
        <f t="shared" si="8"/>
        <v/>
      </c>
    </row>
    <row r="446" spans="20:20" ht="15" customHeight="1" x14ac:dyDescent="0.2">
      <c r="T446" s="51" t="str">
        <f t="shared" si="8"/>
        <v/>
      </c>
    </row>
    <row r="447" spans="20:20" ht="15" customHeight="1" x14ac:dyDescent="0.2">
      <c r="T447" s="51" t="str">
        <f t="shared" si="8"/>
        <v/>
      </c>
    </row>
    <row r="448" spans="20:20" ht="15" customHeight="1" x14ac:dyDescent="0.2">
      <c r="T448" s="51" t="str">
        <f t="shared" si="8"/>
        <v/>
      </c>
    </row>
    <row r="449" spans="20:20" ht="15" customHeight="1" x14ac:dyDescent="0.2">
      <c r="T449" s="51" t="str">
        <f t="shared" si="8"/>
        <v/>
      </c>
    </row>
    <row r="450" spans="20:20" ht="15" customHeight="1" x14ac:dyDescent="0.2">
      <c r="T450" s="51" t="str">
        <f t="shared" si="8"/>
        <v/>
      </c>
    </row>
    <row r="451" spans="20:20" ht="15" customHeight="1" x14ac:dyDescent="0.2">
      <c r="T451" s="51" t="str">
        <f t="shared" si="8"/>
        <v/>
      </c>
    </row>
    <row r="452" spans="20:20" ht="15" customHeight="1" x14ac:dyDescent="0.2">
      <c r="T452" s="51" t="str">
        <f t="shared" si="8"/>
        <v/>
      </c>
    </row>
    <row r="453" spans="20:20" ht="15" customHeight="1" x14ac:dyDescent="0.2">
      <c r="T453" s="51" t="str">
        <f t="shared" si="8"/>
        <v/>
      </c>
    </row>
    <row r="454" spans="20:20" ht="15" customHeight="1" x14ac:dyDescent="0.2">
      <c r="T454" s="51" t="str">
        <f t="shared" si="8"/>
        <v/>
      </c>
    </row>
    <row r="455" spans="20:20" ht="15" customHeight="1" x14ac:dyDescent="0.2">
      <c r="T455" s="51" t="str">
        <f t="shared" si="8"/>
        <v/>
      </c>
    </row>
    <row r="456" spans="20:20" ht="15" customHeight="1" x14ac:dyDescent="0.2">
      <c r="T456" s="51" t="str">
        <f t="shared" si="8"/>
        <v/>
      </c>
    </row>
    <row r="457" spans="20:20" ht="15" customHeight="1" x14ac:dyDescent="0.2">
      <c r="T457" s="51" t="str">
        <f t="shared" si="8"/>
        <v/>
      </c>
    </row>
    <row r="458" spans="20:20" ht="15" customHeight="1" x14ac:dyDescent="0.2">
      <c r="T458" s="51" t="str">
        <f t="shared" si="8"/>
        <v/>
      </c>
    </row>
    <row r="459" spans="20:20" ht="15" customHeight="1" x14ac:dyDescent="0.2">
      <c r="T459" s="51" t="str">
        <f t="shared" si="8"/>
        <v/>
      </c>
    </row>
    <row r="460" spans="20:20" ht="15" customHeight="1" x14ac:dyDescent="0.2">
      <c r="T460" s="51" t="str">
        <f t="shared" si="8"/>
        <v/>
      </c>
    </row>
    <row r="461" spans="20:20" ht="15" customHeight="1" x14ac:dyDescent="0.2">
      <c r="T461" s="51" t="str">
        <f t="shared" si="8"/>
        <v/>
      </c>
    </row>
    <row r="462" spans="20:20" ht="15" customHeight="1" x14ac:dyDescent="0.2">
      <c r="T462" s="51" t="str">
        <f t="shared" si="8"/>
        <v/>
      </c>
    </row>
    <row r="463" spans="20:20" ht="15" customHeight="1" x14ac:dyDescent="0.2">
      <c r="T463" s="51" t="str">
        <f t="shared" si="8"/>
        <v/>
      </c>
    </row>
    <row r="464" spans="20:20" ht="15" customHeight="1" x14ac:dyDescent="0.2">
      <c r="T464" s="51" t="str">
        <f t="shared" si="8"/>
        <v/>
      </c>
    </row>
    <row r="465" spans="20:20" ht="15" customHeight="1" x14ac:dyDescent="0.2">
      <c r="T465" s="51" t="str">
        <f t="shared" si="8"/>
        <v/>
      </c>
    </row>
    <row r="466" spans="20:20" ht="15" customHeight="1" x14ac:dyDescent="0.2">
      <c r="T466" s="51" t="str">
        <f t="shared" si="8"/>
        <v/>
      </c>
    </row>
    <row r="467" spans="20:20" ht="15" customHeight="1" x14ac:dyDescent="0.2">
      <c r="T467" s="51" t="str">
        <f t="shared" si="8"/>
        <v/>
      </c>
    </row>
    <row r="468" spans="20:20" ht="15" customHeight="1" x14ac:dyDescent="0.2">
      <c r="T468" s="51" t="str">
        <f t="shared" si="8"/>
        <v/>
      </c>
    </row>
    <row r="469" spans="20:20" ht="15" customHeight="1" x14ac:dyDescent="0.2">
      <c r="T469" s="51" t="str">
        <f t="shared" si="8"/>
        <v/>
      </c>
    </row>
    <row r="470" spans="20:20" ht="15" customHeight="1" x14ac:dyDescent="0.2">
      <c r="T470" s="51" t="str">
        <f t="shared" si="8"/>
        <v/>
      </c>
    </row>
    <row r="471" spans="20:20" ht="15" customHeight="1" x14ac:dyDescent="0.2">
      <c r="T471" s="51" t="str">
        <f t="shared" si="8"/>
        <v/>
      </c>
    </row>
    <row r="472" spans="20:20" ht="15" customHeight="1" x14ac:dyDescent="0.2">
      <c r="T472" s="51" t="str">
        <f t="shared" si="8"/>
        <v/>
      </c>
    </row>
    <row r="473" spans="20:20" ht="15" customHeight="1" x14ac:dyDescent="0.2">
      <c r="T473" s="51" t="str">
        <f t="shared" si="8"/>
        <v/>
      </c>
    </row>
    <row r="474" spans="20:20" ht="15" customHeight="1" x14ac:dyDescent="0.2">
      <c r="T474" s="51" t="str">
        <f t="shared" si="8"/>
        <v/>
      </c>
    </row>
    <row r="475" spans="20:20" ht="15" customHeight="1" x14ac:dyDescent="0.2">
      <c r="T475" s="51" t="str">
        <f t="shared" ref="T475:T538" si="9">IF(G482="","",IF(OR(G482="Tier 3"),"No",IF(AND(S482&lt;&gt;"",OR(ISNUMBER(SEARCH("OFAC",S482)),ISNUMBER(SEARCH("penal",S482)),ISNUMBER(SEARCH("rojo pendiente",S482)))),"Revisar","Sí")))</f>
        <v/>
      </c>
    </row>
    <row r="476" spans="20:20" ht="15" customHeight="1" x14ac:dyDescent="0.2">
      <c r="T476" s="51" t="str">
        <f t="shared" si="9"/>
        <v/>
      </c>
    </row>
    <row r="477" spans="20:20" ht="15" customHeight="1" x14ac:dyDescent="0.2">
      <c r="T477" s="51" t="str">
        <f t="shared" si="9"/>
        <v/>
      </c>
    </row>
    <row r="478" spans="20:20" ht="15" customHeight="1" x14ac:dyDescent="0.2">
      <c r="T478" s="51" t="str">
        <f t="shared" si="9"/>
        <v/>
      </c>
    </row>
    <row r="479" spans="20:20" ht="15" customHeight="1" x14ac:dyDescent="0.2">
      <c r="T479" s="51" t="str">
        <f t="shared" si="9"/>
        <v/>
      </c>
    </row>
    <row r="480" spans="20:20" ht="15" customHeight="1" x14ac:dyDescent="0.2">
      <c r="T480" s="51" t="str">
        <f t="shared" si="9"/>
        <v/>
      </c>
    </row>
    <row r="481" spans="20:20" ht="15" customHeight="1" x14ac:dyDescent="0.2">
      <c r="T481" s="51" t="str">
        <f t="shared" si="9"/>
        <v/>
      </c>
    </row>
    <row r="482" spans="20:20" ht="15" customHeight="1" x14ac:dyDescent="0.2">
      <c r="T482" s="51" t="str">
        <f t="shared" si="9"/>
        <v/>
      </c>
    </row>
    <row r="483" spans="20:20" ht="15" customHeight="1" x14ac:dyDescent="0.2">
      <c r="T483" s="51" t="str">
        <f t="shared" si="9"/>
        <v/>
      </c>
    </row>
    <row r="484" spans="20:20" ht="15" customHeight="1" x14ac:dyDescent="0.2">
      <c r="T484" s="51" t="str">
        <f t="shared" si="9"/>
        <v/>
      </c>
    </row>
    <row r="485" spans="20:20" ht="15" customHeight="1" x14ac:dyDescent="0.2">
      <c r="T485" s="51" t="str">
        <f t="shared" si="9"/>
        <v/>
      </c>
    </row>
    <row r="486" spans="20:20" ht="15" customHeight="1" x14ac:dyDescent="0.2">
      <c r="T486" s="51" t="str">
        <f t="shared" si="9"/>
        <v/>
      </c>
    </row>
    <row r="487" spans="20:20" ht="15" customHeight="1" x14ac:dyDescent="0.2">
      <c r="T487" s="51" t="str">
        <f t="shared" si="9"/>
        <v/>
      </c>
    </row>
    <row r="488" spans="20:20" ht="15" customHeight="1" x14ac:dyDescent="0.2">
      <c r="T488" s="51" t="str">
        <f t="shared" si="9"/>
        <v/>
      </c>
    </row>
    <row r="489" spans="20:20" ht="15" customHeight="1" x14ac:dyDescent="0.2">
      <c r="T489" s="51" t="str">
        <f t="shared" si="9"/>
        <v/>
      </c>
    </row>
    <row r="490" spans="20:20" ht="15" customHeight="1" x14ac:dyDescent="0.2">
      <c r="T490" s="51" t="str">
        <f t="shared" si="9"/>
        <v/>
      </c>
    </row>
    <row r="491" spans="20:20" ht="15" customHeight="1" x14ac:dyDescent="0.2"/>
  </sheetData>
  <autoFilter ref="A5:T490" xr:uid="{00000000-0001-0000-0200-000000000000}">
    <sortState xmlns:xlrd2="http://schemas.microsoft.com/office/spreadsheetml/2017/richdata2" ref="A6:T490">
      <sortCondition ref="D5:D490"/>
    </sortState>
  </autoFilter>
  <mergeCells count="3">
    <mergeCell ref="B1:T1"/>
    <mergeCell ref="B2:T2"/>
    <mergeCell ref="A3:T3"/>
  </mergeCells>
  <dataValidations count="7">
    <dataValidation type="list" allowBlank="1" sqref="D6:D497" xr:uid="{00000000-0002-0000-0200-000000000000}">
      <formula1>L_VERTICAL</formula1>
      <formula2>0</formula2>
    </dataValidation>
    <dataValidation type="list" allowBlank="1" sqref="F6:F497" xr:uid="{00000000-0002-0000-0200-000001000000}">
      <formula1>L_TIPO_ACTOR</formula1>
      <formula2>0</formula2>
    </dataValidation>
    <dataValidation type="list" allowBlank="1" sqref="G6:G497" xr:uid="{00000000-0002-0000-0200-000002000000}">
      <formula1>L_TIER</formula1>
      <formula2>0</formula2>
    </dataValidation>
    <dataValidation type="list" allowBlank="1" sqref="H6:H497" xr:uid="{00000000-0002-0000-0200-000003000000}">
      <formula1>L_PAIS</formula1>
      <formula2>0</formula2>
    </dataValidation>
    <dataValidation type="list" allowBlank="1" sqref="J6:J497" xr:uid="{00000000-0002-0000-0200-000004000000}">
      <formula1>L_FUNCION</formula1>
      <formula2>0</formula2>
    </dataValidation>
    <dataValidation type="list" allowBlank="1" sqref="K6:K497" xr:uid="{00000000-0002-0000-0200-000005000000}">
      <formula1>L_SEGMENTO</formula1>
      <formula2>0</formula2>
    </dataValidation>
    <dataValidation type="list" allowBlank="1" sqref="R6:R497" xr:uid="{00000000-0002-0000-0200-000006000000}">
      <formula1>L_CERTEZA</formula1>
      <formula2>0</formula2>
    </dataValidation>
  </dataValidations>
  <hyperlinks>
    <hyperlink ref="S116" r:id="rId1" xr:uid="{38BA45E1-D66E-FB4C-A91F-3F37DF2ABF6D}"/>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97"/>
  <sheetViews>
    <sheetView zoomScale="65" zoomScaleNormal="100" workbookViewId="0">
      <pane xSplit="3" ySplit="5" topLeftCell="J6" activePane="bottomRight" state="frozen"/>
      <selection pane="topRight" activeCell="D1" sqref="D1"/>
      <selection pane="bottomLeft" activeCell="A7" sqref="A7"/>
      <selection pane="bottomRight" activeCell="A261" sqref="A261"/>
    </sheetView>
  </sheetViews>
  <sheetFormatPr baseColWidth="10" defaultColWidth="8.83203125" defaultRowHeight="15" x14ac:dyDescent="0.2"/>
  <cols>
    <col min="1" max="1" width="11" customWidth="1"/>
    <col min="2" max="2" width="13" customWidth="1"/>
    <col min="3" max="3" width="28" customWidth="1"/>
    <col min="4" max="4" width="10" customWidth="1"/>
    <col min="5" max="5" width="13" customWidth="1"/>
    <col min="6" max="6" width="28" customWidth="1"/>
    <col min="7" max="7" width="10" customWidth="1"/>
    <col min="8" max="8" width="22" customWidth="1"/>
    <col min="9" max="9" width="8" customWidth="1"/>
    <col min="10" max="10" width="14" customWidth="1"/>
    <col min="11" max="12" width="50" customWidth="1"/>
    <col min="13" max="13" width="32" customWidth="1"/>
    <col min="14" max="15" width="13" customWidth="1"/>
  </cols>
  <sheetData>
    <row r="1" spans="1:15" ht="31.5" customHeight="1" x14ac:dyDescent="0.2">
      <c r="A1" s="43" t="s">
        <v>178</v>
      </c>
      <c r="B1" s="150" t="s">
        <v>101</v>
      </c>
      <c r="C1" s="150"/>
      <c r="D1" s="150"/>
      <c r="E1" s="150"/>
      <c r="F1" s="150"/>
      <c r="G1" s="150"/>
      <c r="H1" s="150"/>
      <c r="I1" s="150"/>
      <c r="J1" s="150"/>
      <c r="K1" s="150"/>
      <c r="L1" s="150"/>
      <c r="M1" s="150"/>
      <c r="N1" s="150"/>
      <c r="O1" s="150"/>
    </row>
    <row r="2" spans="1:15" ht="21.75" customHeight="1" x14ac:dyDescent="0.2">
      <c r="A2" s="45" t="s">
        <v>179</v>
      </c>
      <c r="B2" s="151" t="s">
        <v>1556</v>
      </c>
      <c r="C2" s="151"/>
      <c r="D2" s="151"/>
      <c r="E2" s="151"/>
      <c r="F2" s="151"/>
      <c r="G2" s="151"/>
      <c r="H2" s="151"/>
      <c r="I2" s="151"/>
      <c r="J2" s="151"/>
      <c r="K2" s="151"/>
      <c r="L2" s="151"/>
      <c r="M2" s="151"/>
      <c r="N2" s="151"/>
      <c r="O2" s="151"/>
    </row>
    <row r="3" spans="1:15" ht="18" customHeight="1" x14ac:dyDescent="0.2">
      <c r="A3" s="152" t="s">
        <v>181</v>
      </c>
      <c r="B3" s="152"/>
      <c r="C3" s="152"/>
      <c r="D3" s="152"/>
      <c r="E3" s="152"/>
      <c r="F3" s="152"/>
      <c r="G3" s="152"/>
      <c r="H3" s="152"/>
      <c r="I3" s="152"/>
      <c r="J3" s="152"/>
      <c r="K3" s="152"/>
      <c r="L3" s="152"/>
      <c r="M3" s="152"/>
      <c r="N3" s="152"/>
      <c r="O3" s="152"/>
    </row>
    <row r="4" spans="1:15" ht="6" customHeight="1" x14ac:dyDescent="0.2"/>
    <row r="5" spans="1:15" ht="39.75" customHeight="1" x14ac:dyDescent="0.2">
      <c r="A5" s="47" t="s">
        <v>1557</v>
      </c>
      <c r="B5" s="47" t="s">
        <v>1558</v>
      </c>
      <c r="C5" s="47" t="s">
        <v>1559</v>
      </c>
      <c r="D5" s="47" t="s">
        <v>1560</v>
      </c>
      <c r="E5" s="47" t="s">
        <v>1561</v>
      </c>
      <c r="F5" s="47" t="s">
        <v>1562</v>
      </c>
      <c r="G5" s="47" t="s">
        <v>1563</v>
      </c>
      <c r="H5" s="47" t="s">
        <v>1564</v>
      </c>
      <c r="I5" s="47" t="s">
        <v>1565</v>
      </c>
      <c r="J5" s="47" t="s">
        <v>1566</v>
      </c>
      <c r="K5" s="47" t="s">
        <v>1567</v>
      </c>
      <c r="L5" s="47" t="s">
        <v>193</v>
      </c>
      <c r="M5" s="47" t="s">
        <v>1568</v>
      </c>
      <c r="N5" s="47" t="s">
        <v>1569</v>
      </c>
      <c r="O5" s="47" t="s">
        <v>1570</v>
      </c>
    </row>
    <row r="6" spans="1:15" ht="60" customHeight="1" x14ac:dyDescent="0.2">
      <c r="A6" s="146" t="s">
        <v>1691</v>
      </c>
      <c r="B6" s="147" t="s">
        <v>489</v>
      </c>
      <c r="C6" s="147" t="str">
        <f>IF(B6="","",IFERROR(INDEX('UNIVERSO MAESTRO'!$C$6:$C$497,MATCH(B6,'UNIVERSO MAESTRO'!$A$6:$A$497,0)),"⚠ ID no encontrado"))</f>
        <v>Cruz Azul FC</v>
      </c>
      <c r="D6" s="54" t="str">
        <f>IF(B6="","",IFERROR(INDEX('UNIVERSO MAESTRO'!$D$6:$D$497,MATCH(B6,'UNIVERSO MAESTRO'!$A$6:$A$497,0)),""))</f>
        <v>V1</v>
      </c>
      <c r="E6" s="147" t="s">
        <v>1149</v>
      </c>
      <c r="F6" s="53" t="str">
        <f>IF(E6="","",IFERROR(INDEX('UNIVERSO MAESTRO'!$C$6:$C$497,MATCH(E6,'UNIVERSO MAESTRO'!$A$6:$A$497,0)),"⚠ ID no encontrado"))</f>
        <v>Ollamani, S.A.B. / Grupo Águilas (Club América + Estadio Banorte)</v>
      </c>
      <c r="G6" s="54" t="str">
        <f>IF(E6="","",IFERROR(INDEX('UNIVERSO MAESTRO'!$D$6:$D$497,MATCH(E6,'UNIVERSO MAESTRO'!$A$6:$A$497,0)),""))</f>
        <v>V9</v>
      </c>
      <c r="H6" s="147" t="s">
        <v>1615</v>
      </c>
      <c r="I6" s="147" t="s">
        <v>1573</v>
      </c>
      <c r="J6" s="147" t="s">
        <v>1574</v>
      </c>
      <c r="K6" s="148" t="s">
        <v>1692</v>
      </c>
      <c r="L6" s="148" t="s">
        <v>1693</v>
      </c>
      <c r="M6" s="148" t="s">
        <v>1694</v>
      </c>
      <c r="N6" s="54" t="str">
        <f t="shared" ref="N6:N69" si="0">IF(OR(B6="",E6=""),"",IF(D6=G6,"No","Sí"))</f>
        <v>Sí</v>
      </c>
      <c r="O6" s="54" t="str">
        <f t="shared" ref="O6:O69" si="1">IF(I6="","",IF(I6="R3","No","Sí"))</f>
        <v>Sí</v>
      </c>
    </row>
    <row r="7" spans="1:15" ht="60" customHeight="1" x14ac:dyDescent="0.2">
      <c r="A7" s="146" t="s">
        <v>1712</v>
      </c>
      <c r="B7" s="147" t="s">
        <v>413</v>
      </c>
      <c r="C7" s="147" t="str">
        <f>IF(B7="","",IFERROR(INDEX('UNIVERSO MAESTRO'!$C$6:$C$497,MATCH(B7,'UNIVERSO MAESTRO'!$A$6:$A$497,0)),"⚠ ID no encontrado"))</f>
        <v>Club Necaxa</v>
      </c>
      <c r="D7" s="54" t="str">
        <f>IF(B7="","",IFERROR(INDEX('UNIVERSO MAESTRO'!$D$6:$D$497,MATCH(B7,'UNIVERSO MAESTRO'!$A$6:$A$497,0)),""))</f>
        <v>V1</v>
      </c>
      <c r="E7" s="147" t="s">
        <v>592</v>
      </c>
      <c r="F7" s="53" t="str">
        <f>IF(E7="","",IFERROR(INDEX('UNIVERSO MAESTRO'!$C$6:$C$497,MATCH(E7,'UNIVERSO MAESTRO'!$A$6:$A$497,0)),"⚠ ID no encontrado"))</f>
        <v>Familia Slim / Grupo Carso</v>
      </c>
      <c r="G7" s="54" t="str">
        <f>IF(E7="","",IFERROR(INDEX('UNIVERSO MAESTRO'!$D$6:$D$497,MATCH(E7,'UNIVERSO MAESTRO'!$A$6:$A$497,0)),""))</f>
        <v>V9</v>
      </c>
      <c r="H7" s="147" t="s">
        <v>1605</v>
      </c>
      <c r="I7" s="147" t="s">
        <v>1611</v>
      </c>
      <c r="J7" s="147" t="s">
        <v>1574</v>
      </c>
      <c r="K7" s="148" t="s">
        <v>1713</v>
      </c>
      <c r="L7" s="148"/>
      <c r="M7" s="148" t="s">
        <v>1714</v>
      </c>
      <c r="N7" s="54" t="str">
        <f t="shared" si="0"/>
        <v>Sí</v>
      </c>
      <c r="O7" s="54" t="str">
        <f t="shared" si="1"/>
        <v>No</v>
      </c>
    </row>
    <row r="8" spans="1:15" ht="60" customHeight="1" x14ac:dyDescent="0.2">
      <c r="A8" s="146" t="s">
        <v>1730</v>
      </c>
      <c r="B8" s="147" t="s">
        <v>462</v>
      </c>
      <c r="C8" s="147" t="str">
        <f>IF(B8="","",IFERROR(INDEX('UNIVERSO MAESTRO'!$C$6:$C$497,MATCH(B8,'UNIVERSO MAESTRO'!$A$6:$A$497,0)),"⚠ ID no encontrado"))</f>
        <v>Consejo Municipal del Deporte de Guadalajara (COMUDE GDL)</v>
      </c>
      <c r="D8" s="54" t="str">
        <f>IF(B8="","",IFERROR(INDEX('UNIVERSO MAESTRO'!$D$6:$D$497,MATCH(B8,'UNIVERSO MAESTRO'!$A$6:$A$497,0)),""))</f>
        <v>V1</v>
      </c>
      <c r="E8" s="147" t="s">
        <v>1049</v>
      </c>
      <c r="F8" s="53" t="str">
        <f>IF(E8="","",IFERROR(INDEX('UNIVERSO MAESTRO'!$C$6:$C$497,MATCH(E8,'UNIVERSO MAESTRO'!$A$6:$A$497,0)),"⚠ ID no encontrado"))</f>
        <v>Medio Maratón Internacional Guadalajara Electrolit</v>
      </c>
      <c r="G8" s="54" t="str">
        <f>IF(E8="","",IFERROR(INDEX('UNIVERSO MAESTRO'!$D$6:$D$497,MATCH(E8,'UNIVERSO MAESTRO'!$A$6:$A$497,0)),""))</f>
        <v>V1</v>
      </c>
      <c r="H8" s="147" t="s">
        <v>1731</v>
      </c>
      <c r="I8" s="147" t="s">
        <v>1579</v>
      </c>
      <c r="J8" s="147" t="s">
        <v>1574</v>
      </c>
      <c r="K8" s="148" t="s">
        <v>1732</v>
      </c>
      <c r="L8" s="148" t="s">
        <v>1733</v>
      </c>
      <c r="M8" s="148" t="s">
        <v>1734</v>
      </c>
      <c r="N8" s="54" t="str">
        <f t="shared" si="0"/>
        <v>No</v>
      </c>
      <c r="O8" s="54" t="str">
        <f t="shared" si="1"/>
        <v>Sí</v>
      </c>
    </row>
    <row r="9" spans="1:15" ht="60" customHeight="1" x14ac:dyDescent="0.2">
      <c r="A9" s="146" t="s">
        <v>1735</v>
      </c>
      <c r="B9" s="147" t="s">
        <v>471</v>
      </c>
      <c r="C9" s="147" t="str">
        <f>IF(B9="","",IFERROR(INDEX('UNIVERSO MAESTRO'!$C$6:$C$497,MATCH(B9,'UNIVERSO MAESTRO'!$A$6:$A$497,0)),"⚠ ID no encontrado"))</f>
        <v>Copa Mundial FIFA 2026 en México</v>
      </c>
      <c r="D9" s="54" t="str">
        <f>IF(B9="","",IFERROR(INDEX('UNIVERSO MAESTRO'!$D$6:$D$497,MATCH(B9,'UNIVERSO MAESTRO'!$A$6:$A$497,0)),""))</f>
        <v>V1</v>
      </c>
      <c r="E9" s="147" t="s">
        <v>537</v>
      </c>
      <c r="F9" s="53" t="str">
        <f>IF(E9="","",IFERROR(INDEX('UNIVERSO MAESTRO'!$C$6:$C$497,MATCH(E9,'UNIVERSO MAESTRO'!$A$6:$A$497,0)),"⚠ ID no encontrado"))</f>
        <v>Endeavor / WME Group</v>
      </c>
      <c r="G9" s="54" t="str">
        <f>IF(E9="","",IFERROR(INDEX('UNIVERSO MAESTRO'!$D$6:$D$497,MATCH(E9,'UNIVERSO MAESTRO'!$A$6:$A$497,0)),""))</f>
        <v>V9</v>
      </c>
      <c r="H9" s="147" t="s">
        <v>1736</v>
      </c>
      <c r="I9" s="147" t="s">
        <v>1579</v>
      </c>
      <c r="J9" s="147" t="s">
        <v>1574</v>
      </c>
      <c r="K9" s="148" t="s">
        <v>1737</v>
      </c>
      <c r="L9" s="148" t="s">
        <v>1738</v>
      </c>
      <c r="M9" s="148" t="s">
        <v>1739</v>
      </c>
      <c r="N9" s="54" t="str">
        <f t="shared" si="0"/>
        <v>Sí</v>
      </c>
      <c r="O9" s="54" t="str">
        <f t="shared" si="1"/>
        <v>Sí</v>
      </c>
    </row>
    <row r="10" spans="1:15" ht="60" customHeight="1" x14ac:dyDescent="0.2">
      <c r="A10" s="146" t="s">
        <v>1740</v>
      </c>
      <c r="B10" s="147" t="s">
        <v>471</v>
      </c>
      <c r="C10" s="147" t="str">
        <f>IF(B10="","",IFERROR(INDEX('UNIVERSO MAESTRO'!$C$6:$C$497,MATCH(B10,'UNIVERSO MAESTRO'!$A$6:$A$497,0)),"⚠ ID no encontrado"))</f>
        <v>Copa Mundial FIFA 2026 en México</v>
      </c>
      <c r="D10" s="54" t="str">
        <f>IF(B10="","",IFERROR(INDEX('UNIVERSO MAESTRO'!$D$6:$D$497,MATCH(B10,'UNIVERSO MAESTRO'!$A$6:$A$497,0)),""))</f>
        <v>V1</v>
      </c>
      <c r="E10" s="147" t="s">
        <v>614</v>
      </c>
      <c r="F10" s="53" t="str">
        <f>IF(E10="","",IFERROR(INDEX('UNIVERSO MAESTRO'!$C$6:$C$497,MATCH(E10,'UNIVERSO MAESTRO'!$A$6:$A$497,0)),"⚠ ID no encontrado"))</f>
        <v>Federación Mexicana de Fútbol</v>
      </c>
      <c r="G10" s="54" t="str">
        <f>IF(E10="","",IFERROR(INDEX('UNIVERSO MAESTRO'!$D$6:$D$497,MATCH(E10,'UNIVERSO MAESTRO'!$A$6:$A$497,0)),""))</f>
        <v>V1</v>
      </c>
      <c r="H10" s="147" t="s">
        <v>1731</v>
      </c>
      <c r="I10" s="147" t="s">
        <v>1579</v>
      </c>
      <c r="J10" s="147" t="s">
        <v>1574</v>
      </c>
      <c r="K10" s="148" t="s">
        <v>1741</v>
      </c>
      <c r="L10" s="148"/>
      <c r="M10" s="148" t="s">
        <v>1742</v>
      </c>
      <c r="N10" s="54" t="str">
        <f t="shared" si="0"/>
        <v>No</v>
      </c>
      <c r="O10" s="54" t="str">
        <f t="shared" si="1"/>
        <v>Sí</v>
      </c>
    </row>
    <row r="11" spans="1:15" ht="60" customHeight="1" x14ac:dyDescent="0.2">
      <c r="A11" s="146" t="s">
        <v>1743</v>
      </c>
      <c r="B11" s="147" t="s">
        <v>471</v>
      </c>
      <c r="C11" s="147" t="str">
        <f>IF(B11="","",IFERROR(INDEX('UNIVERSO MAESTRO'!$C$6:$C$497,MATCH(B11,'UNIVERSO MAESTRO'!$A$6:$A$497,0)),"⚠ ID no encontrado"))</f>
        <v>Copa Mundial FIFA 2026 en México</v>
      </c>
      <c r="D11" s="54" t="str">
        <f>IF(B11="","",IFERROR(INDEX('UNIVERSO MAESTRO'!$D$6:$D$497,MATCH(B11,'UNIVERSO MAESTRO'!$A$6:$A$497,0)),""))</f>
        <v>V1</v>
      </c>
      <c r="E11" s="147" t="s">
        <v>622</v>
      </c>
      <c r="F11" s="53" t="str">
        <f>IF(E11="","",IFERROR(INDEX('UNIVERSO MAESTRO'!$C$6:$C$497,MATCH(E11,'UNIVERSO MAESTRO'!$A$6:$A$497,0)),"⚠ ID no encontrado"))</f>
        <v>FEMSA / Club de Fútbol Monterrey Rayados</v>
      </c>
      <c r="G11" s="54" t="str">
        <f>IF(E11="","",IFERROR(INDEX('UNIVERSO MAESTRO'!$D$6:$D$497,MATCH(E11,'UNIVERSO MAESTRO'!$A$6:$A$497,0)),""))</f>
        <v>V9</v>
      </c>
      <c r="H11" s="147" t="s">
        <v>1615</v>
      </c>
      <c r="I11" s="147" t="s">
        <v>1579</v>
      </c>
      <c r="J11" s="147" t="s">
        <v>1574</v>
      </c>
      <c r="K11" s="148" t="s">
        <v>1744</v>
      </c>
      <c r="L11" s="148" t="s">
        <v>1745</v>
      </c>
      <c r="M11" s="148" t="s">
        <v>1746</v>
      </c>
      <c r="N11" s="54" t="str">
        <f t="shared" si="0"/>
        <v>Sí</v>
      </c>
      <c r="O11" s="54" t="str">
        <f t="shared" si="1"/>
        <v>Sí</v>
      </c>
    </row>
    <row r="12" spans="1:15" ht="60" customHeight="1" x14ac:dyDescent="0.2">
      <c r="A12" s="146" t="s">
        <v>1747</v>
      </c>
      <c r="B12" s="147" t="s">
        <v>471</v>
      </c>
      <c r="C12" s="147" t="str">
        <f>IF(B12="","",IFERROR(INDEX('UNIVERSO MAESTRO'!$C$6:$C$497,MATCH(B12,'UNIVERSO MAESTRO'!$A$6:$A$497,0)),"⚠ ID no encontrado"))</f>
        <v>Copa Mundial FIFA 2026 en México</v>
      </c>
      <c r="D12" s="54" t="str">
        <f>IF(B12="","",IFERROR(INDEX('UNIVERSO MAESTRO'!$D$6:$D$497,MATCH(B12,'UNIVERSO MAESTRO'!$A$6:$A$497,0)),""))</f>
        <v>V1</v>
      </c>
      <c r="E12" s="147" t="s">
        <v>771</v>
      </c>
      <c r="F12" s="53" t="str">
        <f>IF(E12="","",IFERROR(INDEX('UNIVERSO MAESTRO'!$C$6:$C$497,MATCH(E12,'UNIVERSO MAESTRO'!$A$6:$A$497,0)),"⚠ ID no encontrado"))</f>
        <v>Grupo Omnilife / Amaury Vergara / Chivas</v>
      </c>
      <c r="G12" s="54" t="str">
        <f>IF(E12="","",IFERROR(INDEX('UNIVERSO MAESTRO'!$D$6:$D$497,MATCH(E12,'UNIVERSO MAESTRO'!$A$6:$A$497,0)),""))</f>
        <v>V9</v>
      </c>
      <c r="H12" s="147" t="s">
        <v>1615</v>
      </c>
      <c r="I12" s="147" t="s">
        <v>1579</v>
      </c>
      <c r="J12" s="147" t="s">
        <v>1574</v>
      </c>
      <c r="K12" s="148" t="s">
        <v>1748</v>
      </c>
      <c r="L12" s="148"/>
      <c r="M12" s="148" t="s">
        <v>1746</v>
      </c>
      <c r="N12" s="54" t="str">
        <f t="shared" si="0"/>
        <v>Sí</v>
      </c>
      <c r="O12" s="54" t="str">
        <f t="shared" si="1"/>
        <v>Sí</v>
      </c>
    </row>
    <row r="13" spans="1:15" ht="60" customHeight="1" x14ac:dyDescent="0.2">
      <c r="A13" s="146" t="s">
        <v>1749</v>
      </c>
      <c r="B13" s="147" t="s">
        <v>471</v>
      </c>
      <c r="C13" s="147" t="str">
        <f>IF(B13="","",IFERROR(INDEX('UNIVERSO MAESTRO'!$C$6:$C$497,MATCH(B13,'UNIVERSO MAESTRO'!$A$6:$A$497,0)),"⚠ ID no encontrado"))</f>
        <v>Copa Mundial FIFA 2026 en México</v>
      </c>
      <c r="D13" s="54" t="str">
        <f>IF(B13="","",IFERROR(INDEX('UNIVERSO MAESTRO'!$D$6:$D$497,MATCH(B13,'UNIVERSO MAESTRO'!$A$6:$A$497,0)),""))</f>
        <v>V1</v>
      </c>
      <c r="E13" s="147" t="s">
        <v>846</v>
      </c>
      <c r="F13" s="53" t="str">
        <f>IF(E13="","",IFERROR(INDEX('UNIVERSO MAESTRO'!$C$6:$C$497,MATCH(E13,'UNIVERSO MAESTRO'!$A$6:$A$497,0)),"⚠ ID no encontrado"))</f>
        <v>Hawk-Eye Innovations (Sony)</v>
      </c>
      <c r="G13" s="54" t="str">
        <f>IF(E13="","",IFERROR(INDEX('UNIVERSO MAESTRO'!$D$6:$D$497,MATCH(E13,'UNIVERSO MAESTRO'!$A$6:$A$497,0)),""))</f>
        <v>V8</v>
      </c>
      <c r="H13" s="147" t="s">
        <v>1592</v>
      </c>
      <c r="I13" s="147" t="s">
        <v>1579</v>
      </c>
      <c r="J13" s="147" t="s">
        <v>1574</v>
      </c>
      <c r="K13" s="148" t="s">
        <v>1750</v>
      </c>
      <c r="L13" s="148" t="s">
        <v>1751</v>
      </c>
      <c r="M13" s="148" t="s">
        <v>1752</v>
      </c>
      <c r="N13" s="54" t="str">
        <f t="shared" si="0"/>
        <v>Sí</v>
      </c>
      <c r="O13" s="54" t="str">
        <f t="shared" si="1"/>
        <v>Sí</v>
      </c>
    </row>
    <row r="14" spans="1:15" ht="60" customHeight="1" x14ac:dyDescent="0.2">
      <c r="A14" s="146" t="s">
        <v>1753</v>
      </c>
      <c r="B14" s="147" t="s">
        <v>471</v>
      </c>
      <c r="C14" s="147" t="str">
        <f>IF(B14="","",IFERROR(INDEX('UNIVERSO MAESTRO'!$C$6:$C$497,MATCH(B14,'UNIVERSO MAESTRO'!$A$6:$A$497,0)),"⚠ ID no encontrado"))</f>
        <v>Copa Mundial FIFA 2026 en México</v>
      </c>
      <c r="D14" s="54" t="str">
        <f>IF(B14="","",IFERROR(INDEX('UNIVERSO MAESTRO'!$D$6:$D$497,MATCH(B14,'UNIVERSO MAESTRO'!$A$6:$A$497,0)),""))</f>
        <v>V1</v>
      </c>
      <c r="E14" s="147" t="s">
        <v>943</v>
      </c>
      <c r="F14" s="53" t="str">
        <f>IF(E14="","",IFERROR(INDEX('UNIVERSO MAESTRO'!$C$6:$C$497,MATCH(E14,'UNIVERSO MAESTRO'!$A$6:$A$497,0)),"⚠ ID no encontrado"))</f>
        <v>Lenovo</v>
      </c>
      <c r="G14" s="54" t="str">
        <f>IF(E14="","",IFERROR(INDEX('UNIVERSO MAESTRO'!$D$6:$D$497,MATCH(E14,'UNIVERSO MAESTRO'!$A$6:$A$497,0)),""))</f>
        <v>V8</v>
      </c>
      <c r="H14" s="147" t="s">
        <v>1615</v>
      </c>
      <c r="I14" s="147" t="s">
        <v>1579</v>
      </c>
      <c r="J14" s="147" t="s">
        <v>1574</v>
      </c>
      <c r="K14" s="148" t="s">
        <v>1754</v>
      </c>
      <c r="L14" s="148" t="s">
        <v>1755</v>
      </c>
      <c r="M14" s="148" t="s">
        <v>1756</v>
      </c>
      <c r="N14" s="54" t="str">
        <f t="shared" si="0"/>
        <v>Sí</v>
      </c>
      <c r="O14" s="54" t="str">
        <f t="shared" si="1"/>
        <v>Sí</v>
      </c>
    </row>
    <row r="15" spans="1:15" ht="60" customHeight="1" x14ac:dyDescent="0.2">
      <c r="A15" s="146" t="s">
        <v>1757</v>
      </c>
      <c r="B15" s="147" t="s">
        <v>471</v>
      </c>
      <c r="C15" s="147" t="str">
        <f>IF(B15="","",IFERROR(INDEX('UNIVERSO MAESTRO'!$C$6:$C$497,MATCH(B15,'UNIVERSO MAESTRO'!$A$6:$A$497,0)),"⚠ ID no encontrado"))</f>
        <v>Copa Mundial FIFA 2026 en México</v>
      </c>
      <c r="D15" s="54" t="str">
        <f>IF(B15="","",IFERROR(INDEX('UNIVERSO MAESTRO'!$D$6:$D$497,MATCH(B15,'UNIVERSO MAESTRO'!$A$6:$A$497,0)),""))</f>
        <v>V1</v>
      </c>
      <c r="E15" s="147" t="s">
        <v>1149</v>
      </c>
      <c r="F15" s="53" t="str">
        <f>IF(E15="","",IFERROR(INDEX('UNIVERSO MAESTRO'!$C$6:$C$497,MATCH(E15,'UNIVERSO MAESTRO'!$A$6:$A$497,0)),"⚠ ID no encontrado"))</f>
        <v>Ollamani, S.A.B. / Grupo Águilas (Club América + Estadio Banorte)</v>
      </c>
      <c r="G15" s="54" t="str">
        <f>IF(E15="","",IFERROR(INDEX('UNIVERSO MAESTRO'!$D$6:$D$497,MATCH(E15,'UNIVERSO MAESTRO'!$A$6:$A$497,0)),""))</f>
        <v>V9</v>
      </c>
      <c r="H15" s="147" t="s">
        <v>1615</v>
      </c>
      <c r="I15" s="147" t="s">
        <v>1579</v>
      </c>
      <c r="J15" s="147" t="s">
        <v>1574</v>
      </c>
      <c r="K15" s="148" t="s">
        <v>1758</v>
      </c>
      <c r="L15" s="148" t="s">
        <v>1759</v>
      </c>
      <c r="M15" s="148" t="s">
        <v>1746</v>
      </c>
      <c r="N15" s="54" t="str">
        <f t="shared" si="0"/>
        <v>Sí</v>
      </c>
      <c r="O15" s="54" t="str">
        <f t="shared" si="1"/>
        <v>Sí</v>
      </c>
    </row>
    <row r="16" spans="1:15" ht="60" customHeight="1" x14ac:dyDescent="0.2">
      <c r="A16" s="146" t="s">
        <v>1764</v>
      </c>
      <c r="B16" s="147" t="s">
        <v>489</v>
      </c>
      <c r="C16" s="147" t="str">
        <f>IF(B16="","",IFERROR(INDEX('UNIVERSO MAESTRO'!$C$6:$C$497,MATCH(B16,'UNIVERSO MAESTRO'!$A$6:$A$497,0)),"⚠ ID no encontrado"))</f>
        <v>Cruz Azul FC</v>
      </c>
      <c r="D16" s="54" t="str">
        <f>IF(B16="","",IFERROR(INDEX('UNIVERSO MAESTRO'!$D$6:$D$497,MATCH(B16,'UNIVERSO MAESTRO'!$A$6:$A$497,0)),""))</f>
        <v>V1</v>
      </c>
      <c r="E16" s="147" t="s">
        <v>558</v>
      </c>
      <c r="F16" s="53" t="str">
        <f>IF(E16="","",IFERROR(INDEX('UNIVERSO MAESTRO'!$C$6:$C$497,MATCH(E16,'UNIVERSO MAESTRO'!$A$6:$A$497,0)),"⚠ ID no encontrado"))</f>
        <v>Estadio Ciudad de los Deportes</v>
      </c>
      <c r="G16" s="54" t="str">
        <f>IF(E16="","",IFERROR(INDEX('UNIVERSO MAESTRO'!$D$6:$D$497,MATCH(E16,'UNIVERSO MAESTRO'!$A$6:$A$497,0)),""))</f>
        <v>V7</v>
      </c>
      <c r="H16" s="147" t="s">
        <v>1615</v>
      </c>
      <c r="I16" s="147" t="s">
        <v>1579</v>
      </c>
      <c r="J16" s="147" t="s">
        <v>1574</v>
      </c>
      <c r="K16" s="148" t="s">
        <v>1765</v>
      </c>
      <c r="L16" s="148" t="s">
        <v>1766</v>
      </c>
      <c r="M16" s="148" t="s">
        <v>1767</v>
      </c>
      <c r="N16" s="54" t="str">
        <f t="shared" si="0"/>
        <v>Sí</v>
      </c>
      <c r="O16" s="54" t="str">
        <f t="shared" si="1"/>
        <v>Sí</v>
      </c>
    </row>
    <row r="17" spans="1:15" ht="60" customHeight="1" x14ac:dyDescent="0.2">
      <c r="A17" s="146" t="s">
        <v>1875</v>
      </c>
      <c r="B17" s="147" t="s">
        <v>614</v>
      </c>
      <c r="C17" s="147" t="str">
        <f>IF(B17="","",IFERROR(INDEX('UNIVERSO MAESTRO'!$C$6:$C$497,MATCH(B17,'UNIVERSO MAESTRO'!$A$6:$A$497,0)),"⚠ ID no encontrado"))</f>
        <v>Federación Mexicana de Fútbol</v>
      </c>
      <c r="D17" s="54" t="str">
        <f>IF(B17="","",IFERROR(INDEX('UNIVERSO MAESTRO'!$D$6:$D$497,MATCH(B17,'UNIVERSO MAESTRO'!$A$6:$A$497,0)),""))</f>
        <v>V1</v>
      </c>
      <c r="E17" s="147" t="s">
        <v>969</v>
      </c>
      <c r="F17" s="53" t="str">
        <f>IF(E17="","",IFERROR(INDEX('UNIVERSO MAESTRO'!$C$6:$C$497,MATCH(E17,'UNIVERSO MAESTRO'!$A$6:$A$497,0)),"⚠ ID no encontrado"))</f>
        <v>Liga MX</v>
      </c>
      <c r="G17" s="54" t="str">
        <f>IF(E17="","",IFERROR(INDEX('UNIVERSO MAESTRO'!$D$6:$D$497,MATCH(E17,'UNIVERSO MAESTRO'!$A$6:$A$497,0)),""))</f>
        <v>V1</v>
      </c>
      <c r="H17" s="147" t="s">
        <v>1731</v>
      </c>
      <c r="I17" s="147" t="s">
        <v>1579</v>
      </c>
      <c r="J17" s="147" t="s">
        <v>1574</v>
      </c>
      <c r="K17" s="148" t="s">
        <v>1876</v>
      </c>
      <c r="L17" s="148" t="s">
        <v>1877</v>
      </c>
      <c r="M17" s="148" t="s">
        <v>1878</v>
      </c>
      <c r="N17" s="54" t="str">
        <f t="shared" si="0"/>
        <v>No</v>
      </c>
      <c r="O17" s="54" t="str">
        <f t="shared" si="1"/>
        <v>Sí</v>
      </c>
    </row>
    <row r="18" spans="1:15" ht="60" customHeight="1" x14ac:dyDescent="0.2">
      <c r="A18" s="146" t="s">
        <v>1879</v>
      </c>
      <c r="B18" s="147" t="s">
        <v>614</v>
      </c>
      <c r="C18" s="147" t="str">
        <f>IF(B18="","",IFERROR(INDEX('UNIVERSO MAESTRO'!$C$6:$C$497,MATCH(B18,'UNIVERSO MAESTRO'!$A$6:$A$497,0)),"⚠ ID no encontrado"))</f>
        <v>Federación Mexicana de Fútbol</v>
      </c>
      <c r="D18" s="54" t="str">
        <f>IF(B18="","",IFERROR(INDEX('UNIVERSO MAESTRO'!$D$6:$D$497,MATCH(B18,'UNIVERSO MAESTRO'!$A$6:$A$497,0)),""))</f>
        <v>V1</v>
      </c>
      <c r="E18" s="147" t="s">
        <v>1303</v>
      </c>
      <c r="F18" s="53" t="str">
        <f>IF(E18="","",IFERROR(INDEX('UNIVERSO MAESTRO'!$C$6:$C$497,MATCH(E18,'UNIVERSO MAESTRO'!$A$6:$A$497,0)),"⚠ ID no encontrado"))</f>
        <v>Selección Mexicana de Fútbol</v>
      </c>
      <c r="G18" s="54" t="str">
        <f>IF(E18="","",IFERROR(INDEX('UNIVERSO MAESTRO'!$D$6:$D$497,MATCH(E18,'UNIVERSO MAESTRO'!$A$6:$A$497,0)),""))</f>
        <v>V1</v>
      </c>
      <c r="H18" s="147" t="s">
        <v>1610</v>
      </c>
      <c r="I18" s="147" t="s">
        <v>1579</v>
      </c>
      <c r="J18" s="147" t="s">
        <v>1574</v>
      </c>
      <c r="K18" s="148" t="s">
        <v>1880</v>
      </c>
      <c r="L18" s="148" t="s">
        <v>1881</v>
      </c>
      <c r="M18" s="148" t="s">
        <v>1882</v>
      </c>
      <c r="N18" s="54" t="str">
        <f t="shared" si="0"/>
        <v>No</v>
      </c>
      <c r="O18" s="54" t="str">
        <f t="shared" si="1"/>
        <v>Sí</v>
      </c>
    </row>
    <row r="19" spans="1:15" ht="60" customHeight="1" x14ac:dyDescent="0.2">
      <c r="A19" s="146" t="s">
        <v>1883</v>
      </c>
      <c r="B19" s="147" t="s">
        <v>614</v>
      </c>
      <c r="C19" s="147" t="str">
        <f>IF(B19="","",IFERROR(INDEX('UNIVERSO MAESTRO'!$C$6:$C$497,MATCH(B19,'UNIVERSO MAESTRO'!$A$6:$A$497,0)),"⚠ ID no encontrado"))</f>
        <v>Federación Mexicana de Fútbol</v>
      </c>
      <c r="D19" s="54" t="str">
        <f>IF(B19="","",IFERROR(INDEX('UNIVERSO MAESTRO'!$D$6:$D$497,MATCH(B19,'UNIVERSO MAESTRO'!$A$6:$A$497,0)),""))</f>
        <v>V1</v>
      </c>
      <c r="E19" s="147" t="s">
        <v>1312</v>
      </c>
      <c r="F19" s="53" t="str">
        <f>IF(E19="","",IFERROR(INDEX('UNIVERSO MAESTRO'!$C$6:$C$497,MATCH(E19,'UNIVERSO MAESTRO'!$A$6:$A$497,0)),"⚠ ID no encontrado"))</f>
        <v>Selección Mexicana Femenil</v>
      </c>
      <c r="G19" s="54" t="str">
        <f>IF(E19="","",IFERROR(INDEX('UNIVERSO MAESTRO'!$D$6:$D$497,MATCH(E19,'UNIVERSO MAESTRO'!$A$6:$A$497,0)),""))</f>
        <v>V1</v>
      </c>
      <c r="H19" s="147" t="s">
        <v>1610</v>
      </c>
      <c r="I19" s="147" t="s">
        <v>1579</v>
      </c>
      <c r="J19" s="147" t="s">
        <v>1574</v>
      </c>
      <c r="K19" s="148" t="s">
        <v>1884</v>
      </c>
      <c r="L19" s="148" t="s">
        <v>1885</v>
      </c>
      <c r="M19" s="148" t="s">
        <v>621</v>
      </c>
      <c r="N19" s="54" t="str">
        <f t="shared" si="0"/>
        <v>No</v>
      </c>
      <c r="O19" s="54" t="str">
        <f t="shared" si="1"/>
        <v>Sí</v>
      </c>
    </row>
    <row r="20" spans="1:15" ht="60" customHeight="1" x14ac:dyDescent="0.2">
      <c r="A20" s="146" t="s">
        <v>1940</v>
      </c>
      <c r="B20" s="147" t="s">
        <v>688</v>
      </c>
      <c r="C20" s="147" t="str">
        <f>IF(B20="","",IFERROR(INDEX('UNIVERSO MAESTRO'!$C$6:$C$497,MATCH(B20,'UNIVERSO MAESTRO'!$A$6:$A$497,0)),"⚠ ID no encontrado"))</f>
        <v>Global Champions Tour — LGCT México</v>
      </c>
      <c r="D20" s="54" t="str">
        <f>IF(B20="","",IFERROR(INDEX('UNIVERSO MAESTRO'!$D$6:$D$497,MATCH(B20,'UNIVERSO MAESTRO'!$A$6:$A$497,0)),""))</f>
        <v>V1</v>
      </c>
      <c r="E20" s="147" t="s">
        <v>400</v>
      </c>
      <c r="F20" s="53" t="str">
        <f>IF(E20="","",IFERROR(INDEX('UNIVERSO MAESTRO'!$C$6:$C$497,MATCH(E20,'UNIVERSO MAESTRO'!$A$6:$A$497,0)),"⚠ ID no encontrado"))</f>
        <v>CIE / OCESA (V5 Experiencias)</v>
      </c>
      <c r="G20" s="54" t="str">
        <f>IF(E20="","",IFERROR(INDEX('UNIVERSO MAESTRO'!$D$6:$D$497,MATCH(E20,'UNIVERSO MAESTRO'!$A$6:$A$497,0)),""))</f>
        <v>V5</v>
      </c>
      <c r="H20" s="147" t="s">
        <v>1615</v>
      </c>
      <c r="I20" s="147" t="s">
        <v>1573</v>
      </c>
      <c r="J20" s="147" t="s">
        <v>1574</v>
      </c>
      <c r="K20" s="148" t="s">
        <v>1941</v>
      </c>
      <c r="L20" s="148" t="s">
        <v>1942</v>
      </c>
      <c r="M20" s="148" t="s">
        <v>1943</v>
      </c>
      <c r="N20" s="54" t="str">
        <f t="shared" si="0"/>
        <v>Sí</v>
      </c>
      <c r="O20" s="54" t="str">
        <f t="shared" si="1"/>
        <v>Sí</v>
      </c>
    </row>
    <row r="21" spans="1:15" ht="60" customHeight="1" x14ac:dyDescent="0.2">
      <c r="A21" s="146" t="s">
        <v>1952</v>
      </c>
      <c r="B21" s="147" t="s">
        <v>712</v>
      </c>
      <c r="C21" s="147" t="str">
        <f>IF(B21="","",IFERROR(INDEX('UNIVERSO MAESTRO'!$C$6:$C$497,MATCH(B21,'UNIVERSO MAESTRO'!$A$6:$A$497,0)),"⚠ ID no encontrado"))</f>
        <v>Gran Premio de México — Fórmula 1</v>
      </c>
      <c r="D21" s="54" t="str">
        <f>IF(B21="","",IFERROR(INDEX('UNIVERSO MAESTRO'!$D$6:$D$497,MATCH(B21,'UNIVERSO MAESTRO'!$A$6:$A$497,0)),""))</f>
        <v>V1</v>
      </c>
      <c r="E21" s="147" t="s">
        <v>400</v>
      </c>
      <c r="F21" s="53" t="str">
        <f>IF(E21="","",IFERROR(INDEX('UNIVERSO MAESTRO'!$C$6:$C$497,MATCH(E21,'UNIVERSO MAESTRO'!$A$6:$A$497,0)),"⚠ ID no encontrado"))</f>
        <v>CIE / OCESA (V5 Experiencias)</v>
      </c>
      <c r="G21" s="54" t="str">
        <f>IF(E21="","",IFERROR(INDEX('UNIVERSO MAESTRO'!$D$6:$D$497,MATCH(E21,'UNIVERSO MAESTRO'!$A$6:$A$497,0)),""))</f>
        <v>V5</v>
      </c>
      <c r="H21" s="147" t="s">
        <v>1615</v>
      </c>
      <c r="I21" s="147" t="s">
        <v>1579</v>
      </c>
      <c r="J21" s="147" t="s">
        <v>1574</v>
      </c>
      <c r="K21" s="148" t="s">
        <v>1953</v>
      </c>
      <c r="L21" s="148" t="s">
        <v>1954</v>
      </c>
      <c r="M21" s="148" t="s">
        <v>1955</v>
      </c>
      <c r="N21" s="54" t="str">
        <f t="shared" si="0"/>
        <v>Sí</v>
      </c>
      <c r="O21" s="54" t="str">
        <f t="shared" si="1"/>
        <v>Sí</v>
      </c>
    </row>
    <row r="22" spans="1:15" ht="60" customHeight="1" x14ac:dyDescent="0.2">
      <c r="A22" s="146" t="s">
        <v>2071</v>
      </c>
      <c r="B22" s="147" t="s">
        <v>894</v>
      </c>
      <c r="C22" s="147" t="str">
        <f>IF(B22="","",IFERROR(INDEX('UNIVERSO MAESTRO'!$C$6:$C$497,MATCH(B22,'UNIVERSO MAESTRO'!$A$6:$A$497,0)),"⚠ ID no encontrado"))</f>
        <v>INDEPORTE — Instituto del Deporte de la Ciudad de México</v>
      </c>
      <c r="D22" s="54" t="str">
        <f>IF(B22="","",IFERROR(INDEX('UNIVERSO MAESTRO'!$D$6:$D$497,MATCH(B22,'UNIVERSO MAESTRO'!$A$6:$A$497,0)),""))</f>
        <v>V1</v>
      </c>
      <c r="E22" s="147" t="s">
        <v>997</v>
      </c>
      <c r="F22" s="53" t="str">
        <f>IF(E22="","",IFERROR(INDEX('UNIVERSO MAESTRO'!$C$6:$C$497,MATCH(E22,'UNIVERSO MAESTRO'!$A$6:$A$497,0)),"⚠ ID no encontrado"))</f>
        <v>Maratón de la Ciudad de México Telcel</v>
      </c>
      <c r="G22" s="54" t="str">
        <f>IF(E22="","",IFERROR(INDEX('UNIVERSO MAESTRO'!$D$6:$D$497,MATCH(E22,'UNIVERSO MAESTRO'!$A$6:$A$497,0)),""))</f>
        <v>V1</v>
      </c>
      <c r="H22" s="147" t="s">
        <v>1731</v>
      </c>
      <c r="I22" s="147" t="s">
        <v>1579</v>
      </c>
      <c r="J22" s="147" t="s">
        <v>1574</v>
      </c>
      <c r="K22" s="148" t="s">
        <v>2072</v>
      </c>
      <c r="L22" s="148" t="s">
        <v>2073</v>
      </c>
      <c r="M22" s="148" t="s">
        <v>2074</v>
      </c>
      <c r="N22" s="54" t="str">
        <f t="shared" si="0"/>
        <v>No</v>
      </c>
      <c r="O22" s="54" t="str">
        <f t="shared" si="1"/>
        <v>Sí</v>
      </c>
    </row>
    <row r="23" spans="1:15" ht="60" customHeight="1" x14ac:dyDescent="0.2">
      <c r="A23" s="146" t="s">
        <v>2075</v>
      </c>
      <c r="B23" s="147" t="s">
        <v>894</v>
      </c>
      <c r="C23" s="147" t="str">
        <f>IF(B23="","",IFERROR(INDEX('UNIVERSO MAESTRO'!$C$6:$C$497,MATCH(B23,'UNIVERSO MAESTRO'!$A$6:$A$497,0)),"⚠ ID no encontrado"))</f>
        <v>INDEPORTE — Instituto del Deporte de la Ciudad de México</v>
      </c>
      <c r="D23" s="54" t="str">
        <f>IF(B23="","",IFERROR(INDEX('UNIVERSO MAESTRO'!$D$6:$D$497,MATCH(B23,'UNIVERSO MAESTRO'!$A$6:$A$497,0)),""))</f>
        <v>V1</v>
      </c>
      <c r="E23" s="147" t="s">
        <v>1039</v>
      </c>
      <c r="F23" s="53" t="str">
        <f>IF(E23="","",IFERROR(INDEX('UNIVERSO MAESTRO'!$C$6:$C$497,MATCH(E23,'UNIVERSO MAESTRO'!$A$6:$A$497,0)),"⚠ ID no encontrado"))</f>
        <v>Medio Maratón de la Ciudad de México BBVA</v>
      </c>
      <c r="G23" s="54" t="str">
        <f>IF(E23="","",IFERROR(INDEX('UNIVERSO MAESTRO'!$D$6:$D$497,MATCH(E23,'UNIVERSO MAESTRO'!$A$6:$A$497,0)),""))</f>
        <v>V1</v>
      </c>
      <c r="H23" s="147" t="s">
        <v>1731</v>
      </c>
      <c r="I23" s="147" t="s">
        <v>1579</v>
      </c>
      <c r="J23" s="147" t="s">
        <v>1574</v>
      </c>
      <c r="K23" s="148" t="s">
        <v>2076</v>
      </c>
      <c r="L23" s="148" t="s">
        <v>2077</v>
      </c>
      <c r="M23" s="148" t="s">
        <v>2078</v>
      </c>
      <c r="N23" s="54" t="str">
        <f t="shared" si="0"/>
        <v>No</v>
      </c>
      <c r="O23" s="54" t="str">
        <f t="shared" si="1"/>
        <v>Sí</v>
      </c>
    </row>
    <row r="24" spans="1:15" ht="60" customHeight="1" x14ac:dyDescent="0.2">
      <c r="A24" s="146" t="s">
        <v>2103</v>
      </c>
      <c r="B24" s="147" t="s">
        <v>969</v>
      </c>
      <c r="C24" s="147" t="str">
        <f>IF(B24="","",IFERROR(INDEX('UNIVERSO MAESTRO'!$C$6:$C$497,MATCH(B24,'UNIVERSO MAESTRO'!$A$6:$A$497,0)),"⚠ ID no encontrado"))</f>
        <v>Liga MX</v>
      </c>
      <c r="D24" s="54" t="str">
        <f>IF(B24="","",IFERROR(INDEX('UNIVERSO MAESTRO'!$D$6:$D$497,MATCH(B24,'UNIVERSO MAESTRO'!$A$6:$A$497,0)),""))</f>
        <v>V1</v>
      </c>
      <c r="E24" s="147" t="s">
        <v>244</v>
      </c>
      <c r="F24" s="53" t="str">
        <f>IF(E24="","",IFERROR(INDEX('UNIVERSO MAESTRO'!$C$6:$C$497,MATCH(E24,'UNIVERSO MAESTRO'!$A$6:$A$497,0)),"⚠ ID no encontrado"))</f>
        <v>Apollo Sports Capital</v>
      </c>
      <c r="G24" s="54" t="str">
        <f>IF(E24="","",IFERROR(INDEX('UNIVERSO MAESTRO'!$D$6:$D$497,MATCH(E24,'UNIVERSO MAESTRO'!$A$6:$A$497,0)),""))</f>
        <v>V9</v>
      </c>
      <c r="H24" s="147" t="s">
        <v>1731</v>
      </c>
      <c r="I24" s="147" t="s">
        <v>1611</v>
      </c>
      <c r="J24" s="147" t="s">
        <v>1574</v>
      </c>
      <c r="K24" s="148" t="s">
        <v>2104</v>
      </c>
      <c r="L24" s="148"/>
      <c r="M24" s="148" t="s">
        <v>977</v>
      </c>
      <c r="N24" s="54" t="str">
        <f t="shared" si="0"/>
        <v>Sí</v>
      </c>
      <c r="O24" s="54" t="str">
        <f t="shared" si="1"/>
        <v>No</v>
      </c>
    </row>
    <row r="25" spans="1:15" ht="60" customHeight="1" x14ac:dyDescent="0.2">
      <c r="A25" s="146" t="s">
        <v>2105</v>
      </c>
      <c r="B25" s="147" t="s">
        <v>969</v>
      </c>
      <c r="C25" s="147" t="str">
        <f>IF(B25="","",IFERROR(INDEX('UNIVERSO MAESTRO'!$C$6:$C$497,MATCH(B25,'UNIVERSO MAESTRO'!$A$6:$A$497,0)),"⚠ ID no encontrado"))</f>
        <v>Liga MX</v>
      </c>
      <c r="D25" s="54" t="str">
        <f>IF(B25="","",IFERROR(INDEX('UNIVERSO MAESTRO'!$D$6:$D$497,MATCH(B25,'UNIVERSO MAESTRO'!$A$6:$A$497,0)),""))</f>
        <v>V1</v>
      </c>
      <c r="E25" s="147" t="s">
        <v>377</v>
      </c>
      <c r="F25" s="53" t="str">
        <f>IF(E25="","",IFERROR(INDEX('UNIVERSO MAESTRO'!$C$6:$C$497,MATCH(E25,'UNIVERSO MAESTRO'!$A$6:$A$497,0)),"⚠ ID no encontrado"))</f>
        <v>CEMEX / Sinergia Deportiva</v>
      </c>
      <c r="G25" s="54" t="str">
        <f>IF(E25="","",IFERROR(INDEX('UNIVERSO MAESTRO'!$D$6:$D$497,MATCH(E25,'UNIVERSO MAESTRO'!$A$6:$A$497,0)),""))</f>
        <v>V9</v>
      </c>
      <c r="H25" s="147" t="s">
        <v>1731</v>
      </c>
      <c r="I25" s="147" t="s">
        <v>1579</v>
      </c>
      <c r="J25" s="147" t="s">
        <v>1574</v>
      </c>
      <c r="K25" s="148" t="s">
        <v>2106</v>
      </c>
      <c r="L25" s="148" t="s">
        <v>2107</v>
      </c>
      <c r="M25" s="148" t="s">
        <v>977</v>
      </c>
      <c r="N25" s="54" t="str">
        <f t="shared" si="0"/>
        <v>Sí</v>
      </c>
      <c r="O25" s="54" t="str">
        <f t="shared" si="1"/>
        <v>Sí</v>
      </c>
    </row>
    <row r="26" spans="1:15" ht="60" customHeight="1" x14ac:dyDescent="0.2">
      <c r="A26" s="146" t="s">
        <v>2108</v>
      </c>
      <c r="B26" s="147" t="s">
        <v>969</v>
      </c>
      <c r="C26" s="147" t="str">
        <f>IF(B26="","",IFERROR(INDEX('UNIVERSO MAESTRO'!$C$6:$C$497,MATCH(B26,'UNIVERSO MAESTRO'!$A$6:$A$497,0)),"⚠ ID no encontrado"))</f>
        <v>Liga MX</v>
      </c>
      <c r="D26" s="54" t="str">
        <f>IF(B26="","",IFERROR(INDEX('UNIVERSO MAESTRO'!$D$6:$D$497,MATCH(B26,'UNIVERSO MAESTRO'!$A$6:$A$497,0)),""))</f>
        <v>V1</v>
      </c>
      <c r="E26" s="147" t="s">
        <v>413</v>
      </c>
      <c r="F26" s="53" t="str">
        <f>IF(E26="","",IFERROR(INDEX('UNIVERSO MAESTRO'!$C$6:$C$497,MATCH(E26,'UNIVERSO MAESTRO'!$A$6:$A$497,0)),"⚠ ID no encontrado"))</f>
        <v>Club Necaxa</v>
      </c>
      <c r="G26" s="54" t="str">
        <f>IF(E26="","",IFERROR(INDEX('UNIVERSO MAESTRO'!$D$6:$D$497,MATCH(E26,'UNIVERSO MAESTRO'!$A$6:$A$497,0)),""))</f>
        <v>V1</v>
      </c>
      <c r="H26" s="147" t="s">
        <v>1731</v>
      </c>
      <c r="I26" s="147" t="s">
        <v>1611</v>
      </c>
      <c r="J26" s="147" t="s">
        <v>1574</v>
      </c>
      <c r="K26" s="148" t="s">
        <v>2109</v>
      </c>
      <c r="L26" s="148"/>
      <c r="M26" s="148" t="s">
        <v>977</v>
      </c>
      <c r="N26" s="54" t="str">
        <f t="shared" si="0"/>
        <v>No</v>
      </c>
      <c r="O26" s="54" t="str">
        <f t="shared" si="1"/>
        <v>No</v>
      </c>
    </row>
    <row r="27" spans="1:15" ht="60" customHeight="1" x14ac:dyDescent="0.2">
      <c r="A27" s="146" t="s">
        <v>2110</v>
      </c>
      <c r="B27" s="147" t="s">
        <v>969</v>
      </c>
      <c r="C27" s="147" t="str">
        <f>IF(B27="","",IFERROR(INDEX('UNIVERSO MAESTRO'!$C$6:$C$497,MATCH(B27,'UNIVERSO MAESTRO'!$A$6:$A$497,0)),"⚠ ID no encontrado"))</f>
        <v>Liga MX</v>
      </c>
      <c r="D27" s="54" t="str">
        <f>IF(B27="","",IFERROR(INDEX('UNIVERSO MAESTRO'!$D$6:$D$497,MATCH(B27,'UNIVERSO MAESTRO'!$A$6:$A$497,0)),""))</f>
        <v>V1</v>
      </c>
      <c r="E27" s="147" t="s">
        <v>424</v>
      </c>
      <c r="F27" s="53" t="str">
        <f>IF(E27="","",IFERROR(INDEX('UNIVERSO MAESTRO'!$C$6:$C$497,MATCH(E27,'UNIVERSO MAESTRO'!$A$6:$A$497,0)),"⚠ ID no encontrado"))</f>
        <v>Club Toluca</v>
      </c>
      <c r="G27" s="54" t="str">
        <f>IF(E27="","",IFERROR(INDEX('UNIVERSO MAESTRO'!$D$6:$D$497,MATCH(E27,'UNIVERSO MAESTRO'!$A$6:$A$497,0)),""))</f>
        <v>V1</v>
      </c>
      <c r="H27" s="147" t="s">
        <v>1731</v>
      </c>
      <c r="I27" s="147" t="s">
        <v>1579</v>
      </c>
      <c r="J27" s="147" t="s">
        <v>1574</v>
      </c>
      <c r="K27" s="148" t="s">
        <v>2111</v>
      </c>
      <c r="L27" s="148" t="s">
        <v>2112</v>
      </c>
      <c r="M27" s="148" t="s">
        <v>2113</v>
      </c>
      <c r="N27" s="54" t="str">
        <f t="shared" si="0"/>
        <v>No</v>
      </c>
      <c r="O27" s="54" t="str">
        <f t="shared" si="1"/>
        <v>Sí</v>
      </c>
    </row>
    <row r="28" spans="1:15" ht="60" customHeight="1" x14ac:dyDescent="0.2">
      <c r="A28" s="146" t="s">
        <v>2114</v>
      </c>
      <c r="B28" s="147" t="s">
        <v>969</v>
      </c>
      <c r="C28" s="147" t="str">
        <f>IF(B28="","",IFERROR(INDEX('UNIVERSO MAESTRO'!$C$6:$C$497,MATCH(B28,'UNIVERSO MAESTRO'!$A$6:$A$497,0)),"⚠ ID no encontrado"))</f>
        <v>Liga MX</v>
      </c>
      <c r="D28" s="54" t="str">
        <f>IF(B28="","",IFERROR(INDEX('UNIVERSO MAESTRO'!$D$6:$D$497,MATCH(B28,'UNIVERSO MAESTRO'!$A$6:$A$497,0)),""))</f>
        <v>V1</v>
      </c>
      <c r="E28" s="147" t="s">
        <v>489</v>
      </c>
      <c r="F28" s="53" t="str">
        <f>IF(E28="","",IFERROR(INDEX('UNIVERSO MAESTRO'!$C$6:$C$497,MATCH(E28,'UNIVERSO MAESTRO'!$A$6:$A$497,0)),"⚠ ID no encontrado"))</f>
        <v>Cruz Azul FC</v>
      </c>
      <c r="G28" s="54" t="str">
        <f>IF(E28="","",IFERROR(INDEX('UNIVERSO MAESTRO'!$D$6:$D$497,MATCH(E28,'UNIVERSO MAESTRO'!$A$6:$A$497,0)),""))</f>
        <v>V1</v>
      </c>
      <c r="H28" s="147" t="s">
        <v>1731</v>
      </c>
      <c r="I28" s="147" t="s">
        <v>1573</v>
      </c>
      <c r="J28" s="147" t="s">
        <v>1574</v>
      </c>
      <c r="K28" s="148" t="s">
        <v>2115</v>
      </c>
      <c r="L28" s="148"/>
      <c r="M28" s="148" t="s">
        <v>977</v>
      </c>
      <c r="N28" s="54" t="str">
        <f t="shared" si="0"/>
        <v>No</v>
      </c>
      <c r="O28" s="54" t="str">
        <f t="shared" si="1"/>
        <v>Sí</v>
      </c>
    </row>
    <row r="29" spans="1:15" ht="60" customHeight="1" x14ac:dyDescent="0.2">
      <c r="A29" s="146" t="s">
        <v>2116</v>
      </c>
      <c r="B29" s="147" t="s">
        <v>969</v>
      </c>
      <c r="C29" s="147" t="str">
        <f>IF(B29="","",IFERROR(INDEX('UNIVERSO MAESTRO'!$C$6:$C$497,MATCH(B29,'UNIVERSO MAESTRO'!$A$6:$A$497,0)),"⚠ ID no encontrado"))</f>
        <v>Liga MX</v>
      </c>
      <c r="D29" s="54" t="str">
        <f>IF(B29="","",IFERROR(INDEX('UNIVERSO MAESTRO'!$D$6:$D$497,MATCH(B29,'UNIVERSO MAESTRO'!$A$6:$A$497,0)),""))</f>
        <v>V1</v>
      </c>
      <c r="E29" s="147" t="s">
        <v>622</v>
      </c>
      <c r="F29" s="53" t="str">
        <f>IF(E29="","",IFERROR(INDEX('UNIVERSO MAESTRO'!$C$6:$C$497,MATCH(E29,'UNIVERSO MAESTRO'!$A$6:$A$497,0)),"⚠ ID no encontrado"))</f>
        <v>FEMSA / Club de Fútbol Monterrey Rayados</v>
      </c>
      <c r="G29" s="54" t="str">
        <f>IF(E29="","",IFERROR(INDEX('UNIVERSO MAESTRO'!$D$6:$D$497,MATCH(E29,'UNIVERSO MAESTRO'!$A$6:$A$497,0)),""))</f>
        <v>V9</v>
      </c>
      <c r="H29" s="147" t="s">
        <v>1731</v>
      </c>
      <c r="I29" s="147" t="s">
        <v>1579</v>
      </c>
      <c r="J29" s="147" t="s">
        <v>1574</v>
      </c>
      <c r="K29" s="148" t="s">
        <v>2117</v>
      </c>
      <c r="L29" s="148" t="s">
        <v>2118</v>
      </c>
      <c r="M29" s="148" t="s">
        <v>977</v>
      </c>
      <c r="N29" s="54" t="str">
        <f t="shared" si="0"/>
        <v>Sí</v>
      </c>
      <c r="O29" s="54" t="str">
        <f t="shared" si="1"/>
        <v>Sí</v>
      </c>
    </row>
    <row r="30" spans="1:15" ht="60" customHeight="1" x14ac:dyDescent="0.2">
      <c r="A30" s="146" t="s">
        <v>2119</v>
      </c>
      <c r="B30" s="147" t="s">
        <v>969</v>
      </c>
      <c r="C30" s="147" t="str">
        <f>IF(B30="","",IFERROR(INDEX('UNIVERSO MAESTRO'!$C$6:$C$497,MATCH(B30,'UNIVERSO MAESTRO'!$A$6:$A$497,0)),"⚠ ID no encontrado"))</f>
        <v>Liga MX</v>
      </c>
      <c r="D30" s="54" t="str">
        <f>IF(B30="","",IFERROR(INDEX('UNIVERSO MAESTRO'!$D$6:$D$497,MATCH(B30,'UNIVERSO MAESTRO'!$A$6:$A$497,0)),""))</f>
        <v>V1</v>
      </c>
      <c r="E30" s="147" t="s">
        <v>739</v>
      </c>
      <c r="F30" s="53" t="str">
        <f>IF(E30="","",IFERROR(INDEX('UNIVERSO MAESTRO'!$C$6:$C$497,MATCH(E30,'UNIVERSO MAESTRO'!$A$6:$A$497,0)),"⚠ ID no encontrado"))</f>
        <v>Grupo Caliente / Corporación Caliente, S.A. de C.V.</v>
      </c>
      <c r="G30" s="54" t="str">
        <f>IF(E30="","",IFERROR(INDEX('UNIVERSO MAESTRO'!$D$6:$D$497,MATCH(E30,'UNIVERSO MAESTRO'!$A$6:$A$497,0)),""))</f>
        <v>V9</v>
      </c>
      <c r="H30" s="147" t="s">
        <v>1731</v>
      </c>
      <c r="I30" s="147" t="s">
        <v>1611</v>
      </c>
      <c r="J30" s="147" t="s">
        <v>1574</v>
      </c>
      <c r="K30" s="148" t="s">
        <v>2120</v>
      </c>
      <c r="L30" s="148"/>
      <c r="M30" s="148" t="s">
        <v>977</v>
      </c>
      <c r="N30" s="54" t="str">
        <f t="shared" si="0"/>
        <v>Sí</v>
      </c>
      <c r="O30" s="54" t="str">
        <f t="shared" si="1"/>
        <v>No</v>
      </c>
    </row>
    <row r="31" spans="1:15" ht="60" customHeight="1" x14ac:dyDescent="0.2">
      <c r="A31" s="146" t="s">
        <v>2121</v>
      </c>
      <c r="B31" s="147" t="s">
        <v>969</v>
      </c>
      <c r="C31" s="147" t="str">
        <f>IF(B31="","",IFERROR(INDEX('UNIVERSO MAESTRO'!$C$6:$C$497,MATCH(B31,'UNIVERSO MAESTRO'!$A$6:$A$497,0)),"⚠ ID no encontrado"))</f>
        <v>Liga MX</v>
      </c>
      <c r="D31" s="54" t="str">
        <f>IF(B31="","",IFERROR(INDEX('UNIVERSO MAESTRO'!$D$6:$D$497,MATCH(B31,'UNIVERSO MAESTRO'!$A$6:$A$497,0)),""))</f>
        <v>V1</v>
      </c>
      <c r="E31" s="147" t="s">
        <v>771</v>
      </c>
      <c r="F31" s="53" t="str">
        <f>IF(E31="","",IFERROR(INDEX('UNIVERSO MAESTRO'!$C$6:$C$497,MATCH(E31,'UNIVERSO MAESTRO'!$A$6:$A$497,0)),"⚠ ID no encontrado"))</f>
        <v>Grupo Omnilife / Amaury Vergara / Chivas</v>
      </c>
      <c r="G31" s="54" t="str">
        <f>IF(E31="","",IFERROR(INDEX('UNIVERSO MAESTRO'!$D$6:$D$497,MATCH(E31,'UNIVERSO MAESTRO'!$A$6:$A$497,0)),""))</f>
        <v>V9</v>
      </c>
      <c r="H31" s="147" t="s">
        <v>1731</v>
      </c>
      <c r="I31" s="147" t="s">
        <v>1579</v>
      </c>
      <c r="J31" s="147" t="s">
        <v>1574</v>
      </c>
      <c r="K31" s="148" t="s">
        <v>2122</v>
      </c>
      <c r="L31" s="148"/>
      <c r="M31" s="148" t="s">
        <v>2123</v>
      </c>
      <c r="N31" s="54" t="str">
        <f t="shared" si="0"/>
        <v>Sí</v>
      </c>
      <c r="O31" s="54" t="str">
        <f t="shared" si="1"/>
        <v>Sí</v>
      </c>
    </row>
    <row r="32" spans="1:15" ht="60" customHeight="1" x14ac:dyDescent="0.2">
      <c r="A32" s="146" t="s">
        <v>2124</v>
      </c>
      <c r="B32" s="147" t="s">
        <v>969</v>
      </c>
      <c r="C32" s="147" t="str">
        <f>IF(B32="","",IFERROR(INDEX('UNIVERSO MAESTRO'!$C$6:$C$497,MATCH(B32,'UNIVERSO MAESTRO'!$A$6:$A$497,0)),"⚠ ID no encontrado"))</f>
        <v>Liga MX</v>
      </c>
      <c r="D32" s="54" t="str">
        <f>IF(B32="","",IFERROR(INDEX('UNIVERSO MAESTRO'!$D$6:$D$497,MATCH(B32,'UNIVERSO MAESTRO'!$A$6:$A$497,0)),""))</f>
        <v>V1</v>
      </c>
      <c r="E32" s="147" t="s">
        <v>781</v>
      </c>
      <c r="F32" s="53" t="str">
        <f>IF(E32="","",IFERROR(INDEX('UNIVERSO MAESTRO'!$C$6:$C$497,MATCH(E32,'UNIVERSO MAESTRO'!$A$6:$A$497,0)),"⚠ ID no encontrado"))</f>
        <v>Grupo Orlegi</v>
      </c>
      <c r="G32" s="54" t="str">
        <f>IF(E32="","",IFERROR(INDEX('UNIVERSO MAESTRO'!$D$6:$D$497,MATCH(E32,'UNIVERSO MAESTRO'!$A$6:$A$497,0)),""))</f>
        <v>V9</v>
      </c>
      <c r="H32" s="147" t="s">
        <v>1731</v>
      </c>
      <c r="I32" s="147" t="s">
        <v>1573</v>
      </c>
      <c r="J32" s="147" t="s">
        <v>1574</v>
      </c>
      <c r="K32" s="148" t="s">
        <v>2125</v>
      </c>
      <c r="L32" s="148"/>
      <c r="M32" s="148" t="s">
        <v>977</v>
      </c>
      <c r="N32" s="54" t="str">
        <f t="shared" si="0"/>
        <v>Sí</v>
      </c>
      <c r="O32" s="54" t="str">
        <f t="shared" si="1"/>
        <v>Sí</v>
      </c>
    </row>
    <row r="33" spans="1:15" ht="60" customHeight="1" x14ac:dyDescent="0.2">
      <c r="A33" s="146" t="s">
        <v>2126</v>
      </c>
      <c r="B33" s="147" t="s">
        <v>969</v>
      </c>
      <c r="C33" s="147" t="str">
        <f>IF(B33="","",IFERROR(INDEX('UNIVERSO MAESTRO'!$C$6:$C$497,MATCH(B33,'UNIVERSO MAESTRO'!$A$6:$A$497,0)),"⚠ ID no encontrado"))</f>
        <v>Liga MX</v>
      </c>
      <c r="D33" s="54" t="str">
        <f>IF(B33="","",IFERROR(INDEX('UNIVERSO MAESTRO'!$D$6:$D$497,MATCH(B33,'UNIVERSO MAESTRO'!$A$6:$A$497,0)),""))</f>
        <v>V1</v>
      </c>
      <c r="E33" s="147" t="s">
        <v>793</v>
      </c>
      <c r="F33" s="53" t="str">
        <f>IF(E33="","",IFERROR(INDEX('UNIVERSO MAESTRO'!$C$6:$C$497,MATCH(E33,'UNIVERSO MAESTRO'!$A$6:$A$497,0)),"⚠ ID no encontrado"))</f>
        <v>Grupo Pachuca</v>
      </c>
      <c r="G33" s="54" t="str">
        <f>IF(E33="","",IFERROR(INDEX('UNIVERSO MAESTRO'!$D$6:$D$497,MATCH(E33,'UNIVERSO MAESTRO'!$A$6:$A$497,0)),""))</f>
        <v>V9</v>
      </c>
      <c r="H33" s="147" t="s">
        <v>1731</v>
      </c>
      <c r="I33" s="147" t="s">
        <v>1573</v>
      </c>
      <c r="J33" s="147" t="s">
        <v>1574</v>
      </c>
      <c r="K33" s="148" t="s">
        <v>2127</v>
      </c>
      <c r="L33" s="148"/>
      <c r="M33" s="148" t="s">
        <v>977</v>
      </c>
      <c r="N33" s="54" t="str">
        <f t="shared" si="0"/>
        <v>Sí</v>
      </c>
      <c r="O33" s="54" t="str">
        <f t="shared" si="1"/>
        <v>Sí</v>
      </c>
    </row>
    <row r="34" spans="1:15" ht="60" customHeight="1" x14ac:dyDescent="0.2">
      <c r="A34" s="146" t="s">
        <v>2128</v>
      </c>
      <c r="B34" s="147" t="s">
        <v>969</v>
      </c>
      <c r="C34" s="147" t="str">
        <f>IF(B34="","",IFERROR(INDEX('UNIVERSO MAESTRO'!$C$6:$C$497,MATCH(B34,'UNIVERSO MAESTRO'!$A$6:$A$497,0)),"⚠ ID no encontrado"))</f>
        <v>Liga MX</v>
      </c>
      <c r="D34" s="54" t="str">
        <f>IF(B34="","",IFERROR(INDEX('UNIVERSO MAESTRO'!$D$6:$D$497,MATCH(B34,'UNIVERSO MAESTRO'!$A$6:$A$497,0)),""))</f>
        <v>V1</v>
      </c>
      <c r="E34" s="147" t="s">
        <v>803</v>
      </c>
      <c r="F34" s="53" t="str">
        <f>IF(E34="","",IFERROR(INDEX('UNIVERSO MAESTRO'!$C$6:$C$497,MATCH(E34,'UNIVERSO MAESTRO'!$A$6:$A$497,0)),"⚠ ID no encontrado"))</f>
        <v>Grupo PRODI / José Miguel Bejos</v>
      </c>
      <c r="G34" s="54" t="str">
        <f>IF(E34="","",IFERROR(INDEX('UNIVERSO MAESTRO'!$D$6:$D$497,MATCH(E34,'UNIVERSO MAESTRO'!$A$6:$A$497,0)),""))</f>
        <v>V9</v>
      </c>
      <c r="H34" s="147" t="s">
        <v>1731</v>
      </c>
      <c r="I34" s="147" t="s">
        <v>1573</v>
      </c>
      <c r="J34" s="147" t="s">
        <v>1574</v>
      </c>
      <c r="K34" s="148" t="s">
        <v>2129</v>
      </c>
      <c r="L34" s="148"/>
      <c r="M34" s="148" t="s">
        <v>977</v>
      </c>
      <c r="N34" s="54" t="str">
        <f t="shared" si="0"/>
        <v>Sí</v>
      </c>
      <c r="O34" s="54" t="str">
        <f t="shared" si="1"/>
        <v>Sí</v>
      </c>
    </row>
    <row r="35" spans="1:15" ht="60" customHeight="1" x14ac:dyDescent="0.2">
      <c r="A35" s="146" t="s">
        <v>2130</v>
      </c>
      <c r="B35" s="147" t="s">
        <v>969</v>
      </c>
      <c r="C35" s="147" t="str">
        <f>IF(B35="","",IFERROR(INDEX('UNIVERSO MAESTRO'!$C$6:$C$497,MATCH(B35,'UNIVERSO MAESTRO'!$A$6:$A$497,0)),"⚠ ID no encontrado"))</f>
        <v>Liga MX</v>
      </c>
      <c r="D35" s="54" t="str">
        <f>IF(B35="","",IFERROR(INDEX('UNIVERSO MAESTRO'!$D$6:$D$497,MATCH(B35,'UNIVERSO MAESTRO'!$A$6:$A$497,0)),""))</f>
        <v>V1</v>
      </c>
      <c r="E35" s="147" t="s">
        <v>811</v>
      </c>
      <c r="F35" s="53" t="str">
        <f>IF(E35="","",IFERROR(INDEX('UNIVERSO MAESTRO'!$C$6:$C$497,MATCH(E35,'UNIVERSO MAESTRO'!$A$6:$A$497,0)),"⚠ ID no encontrado"))</f>
        <v>Grupo Salinas / TV Azteca</v>
      </c>
      <c r="G35" s="54" t="str">
        <f>IF(E35="","",IFERROR(INDEX('UNIVERSO MAESTRO'!$D$6:$D$497,MATCH(E35,'UNIVERSO MAESTRO'!$A$6:$A$497,0)),""))</f>
        <v>V9</v>
      </c>
      <c r="H35" s="147" t="s">
        <v>1731</v>
      </c>
      <c r="I35" s="147" t="s">
        <v>1611</v>
      </c>
      <c r="J35" s="147" t="s">
        <v>1574</v>
      </c>
      <c r="K35" s="148" t="s">
        <v>2131</v>
      </c>
      <c r="L35" s="148"/>
      <c r="M35" s="148" t="s">
        <v>977</v>
      </c>
      <c r="N35" s="54" t="str">
        <f t="shared" si="0"/>
        <v>Sí</v>
      </c>
      <c r="O35" s="54" t="str">
        <f t="shared" si="1"/>
        <v>No</v>
      </c>
    </row>
    <row r="36" spans="1:15" ht="60" customHeight="1" x14ac:dyDescent="0.2">
      <c r="A36" s="146" t="s">
        <v>2132</v>
      </c>
      <c r="B36" s="147" t="s">
        <v>969</v>
      </c>
      <c r="C36" s="147" t="str">
        <f>IF(B36="","",IFERROR(INDEX('UNIVERSO MAESTRO'!$C$6:$C$497,MATCH(B36,'UNIVERSO MAESTRO'!$A$6:$A$497,0)),"⚠ ID no encontrado"))</f>
        <v>Liga MX</v>
      </c>
      <c r="D36" s="54" t="str">
        <f>IF(B36="","",IFERROR(INDEX('UNIVERSO MAESTRO'!$D$6:$D$497,MATCH(B36,'UNIVERSO MAESTRO'!$A$6:$A$497,0)),""))</f>
        <v>V1</v>
      </c>
      <c r="E36" s="147" t="s">
        <v>902</v>
      </c>
      <c r="F36" s="53" t="str">
        <f>IF(E36="","",IFERROR(INDEX('UNIVERSO MAESTRO'!$C$6:$C$497,MATCH(E36,'UNIVERSO MAESTRO'!$A$6:$A$497,0)),"⚠ ID no encontrado"))</f>
        <v>Innovatio Capital / Club Querétaro</v>
      </c>
      <c r="G36" s="54" t="str">
        <f>IF(E36="","",IFERROR(INDEX('UNIVERSO MAESTRO'!$D$6:$D$497,MATCH(E36,'UNIVERSO MAESTRO'!$A$6:$A$497,0)),""))</f>
        <v>V9</v>
      </c>
      <c r="H36" s="147" t="s">
        <v>1731</v>
      </c>
      <c r="I36" s="147" t="s">
        <v>1611</v>
      </c>
      <c r="J36" s="147" t="s">
        <v>1574</v>
      </c>
      <c r="K36" s="148" t="s">
        <v>2133</v>
      </c>
      <c r="L36" s="148"/>
      <c r="M36" s="148" t="s">
        <v>977</v>
      </c>
      <c r="N36" s="54" t="str">
        <f t="shared" si="0"/>
        <v>Sí</v>
      </c>
      <c r="O36" s="54" t="str">
        <f t="shared" si="1"/>
        <v>No</v>
      </c>
    </row>
    <row r="37" spans="1:15" ht="60" customHeight="1" x14ac:dyDescent="0.2">
      <c r="A37" s="146" t="s">
        <v>2134</v>
      </c>
      <c r="B37" s="147" t="s">
        <v>969</v>
      </c>
      <c r="C37" s="147" t="str">
        <f>IF(B37="","",IFERROR(INDEX('UNIVERSO MAESTRO'!$C$6:$C$497,MATCH(B37,'UNIVERSO MAESTRO'!$A$6:$A$497,0)),"⚠ ID no encontrado"))</f>
        <v>Liga MX</v>
      </c>
      <c r="D37" s="54" t="str">
        <f>IF(B37="","",IFERROR(INDEX('UNIVERSO MAESTRO'!$D$6:$D$497,MATCH(B37,'UNIVERSO MAESTRO'!$A$6:$A$497,0)),""))</f>
        <v>V1</v>
      </c>
      <c r="E37" s="147" t="s">
        <v>1149</v>
      </c>
      <c r="F37" s="53" t="str">
        <f>IF(E37="","",IFERROR(INDEX('UNIVERSO MAESTRO'!$C$6:$C$497,MATCH(E37,'UNIVERSO MAESTRO'!$A$6:$A$497,0)),"⚠ ID no encontrado"))</f>
        <v>Ollamani, S.A.B. / Grupo Águilas (Club América + Estadio Banorte)</v>
      </c>
      <c r="G37" s="54" t="str">
        <f>IF(E37="","",IFERROR(INDEX('UNIVERSO MAESTRO'!$D$6:$D$497,MATCH(E37,'UNIVERSO MAESTRO'!$A$6:$A$497,0)),""))</f>
        <v>V9</v>
      </c>
      <c r="H37" s="147" t="s">
        <v>1731</v>
      </c>
      <c r="I37" s="147" t="s">
        <v>1579</v>
      </c>
      <c r="J37" s="147" t="s">
        <v>1574</v>
      </c>
      <c r="K37" s="148" t="s">
        <v>2135</v>
      </c>
      <c r="L37" s="148" t="s">
        <v>2136</v>
      </c>
      <c r="M37" s="148" t="s">
        <v>2137</v>
      </c>
      <c r="N37" s="54" t="str">
        <f t="shared" si="0"/>
        <v>Sí</v>
      </c>
      <c r="O37" s="54" t="str">
        <f t="shared" si="1"/>
        <v>Sí</v>
      </c>
    </row>
    <row r="38" spans="1:15" ht="60" customHeight="1" x14ac:dyDescent="0.2">
      <c r="A38" s="146" t="s">
        <v>2138</v>
      </c>
      <c r="B38" s="147" t="s">
        <v>969</v>
      </c>
      <c r="C38" s="147" t="str">
        <f>IF(B38="","",IFERROR(INDEX('UNIVERSO MAESTRO'!$C$6:$C$497,MATCH(B38,'UNIVERSO MAESTRO'!$A$6:$A$497,0)),"⚠ ID no encontrado"))</f>
        <v>Liga MX</v>
      </c>
      <c r="D38" s="54" t="str">
        <f>IF(B38="","",IFERROR(INDEX('UNIVERSO MAESTRO'!$D$6:$D$497,MATCH(B38,'UNIVERSO MAESTRO'!$A$6:$A$497,0)),""))</f>
        <v>V1</v>
      </c>
      <c r="E38" s="147" t="s">
        <v>1242</v>
      </c>
      <c r="F38" s="53" t="str">
        <f>IF(E38="","",IFERROR(INDEX('UNIVERSO MAESTRO'!$C$6:$C$497,MATCH(E38,'UNIVERSO MAESTRO'!$A$6:$A$497,0)),"⚠ ID no encontrado"))</f>
        <v>Pumas UNAM</v>
      </c>
      <c r="G38" s="54" t="str">
        <f>IF(E38="","",IFERROR(INDEX('UNIVERSO MAESTRO'!$D$6:$D$497,MATCH(E38,'UNIVERSO MAESTRO'!$A$6:$A$497,0)),""))</f>
        <v>V1</v>
      </c>
      <c r="H38" s="147" t="s">
        <v>1731</v>
      </c>
      <c r="I38" s="147" t="s">
        <v>1573</v>
      </c>
      <c r="J38" s="147" t="s">
        <v>1574</v>
      </c>
      <c r="K38" s="148" t="s">
        <v>2139</v>
      </c>
      <c r="L38" s="148"/>
      <c r="M38" s="148" t="s">
        <v>977</v>
      </c>
      <c r="N38" s="54" t="str">
        <f t="shared" si="0"/>
        <v>No</v>
      </c>
      <c r="O38" s="54" t="str">
        <f t="shared" si="1"/>
        <v>Sí</v>
      </c>
    </row>
    <row r="39" spans="1:15" ht="60" customHeight="1" x14ac:dyDescent="0.2">
      <c r="A39" s="146" t="s">
        <v>2179</v>
      </c>
      <c r="B39" s="147" t="s">
        <v>1123</v>
      </c>
      <c r="C39" s="147" t="str">
        <f>IF(B39="","",IFERROR(INDEX('UNIVERSO MAESTRO'!$C$6:$C$497,MATCH(B39,'UNIVERSO MAESTRO'!$A$6:$A$497,0)),"⚠ ID no encontrado"))</f>
        <v>NFL México City Games</v>
      </c>
      <c r="D39" s="54" t="str">
        <f>IF(B39="","",IFERROR(INDEX('UNIVERSO MAESTRO'!$D$6:$D$497,MATCH(B39,'UNIVERSO MAESTRO'!$A$6:$A$497,0)),""))</f>
        <v>V1</v>
      </c>
      <c r="E39" s="147" t="s">
        <v>1149</v>
      </c>
      <c r="F39" s="53" t="str">
        <f>IF(E39="","",IFERROR(INDEX('UNIVERSO MAESTRO'!$C$6:$C$497,MATCH(E39,'UNIVERSO MAESTRO'!$A$6:$A$497,0)),"⚠ ID no encontrado"))</f>
        <v>Ollamani, S.A.B. / Grupo Águilas (Club América + Estadio Banorte)</v>
      </c>
      <c r="G39" s="54" t="str">
        <f>IF(E39="","",IFERROR(INDEX('UNIVERSO MAESTRO'!$D$6:$D$497,MATCH(E39,'UNIVERSO MAESTRO'!$A$6:$A$497,0)),""))</f>
        <v>V9</v>
      </c>
      <c r="H39" s="147" t="s">
        <v>1615</v>
      </c>
      <c r="I39" s="147" t="s">
        <v>1573</v>
      </c>
      <c r="J39" s="147" t="s">
        <v>1574</v>
      </c>
      <c r="K39" s="148" t="s">
        <v>2180</v>
      </c>
      <c r="L39" s="148" t="s">
        <v>2181</v>
      </c>
      <c r="M39" s="148" t="s">
        <v>2182</v>
      </c>
      <c r="N39" s="54" t="str">
        <f t="shared" si="0"/>
        <v>Sí</v>
      </c>
      <c r="O39" s="54" t="str">
        <f t="shared" si="1"/>
        <v>Sí</v>
      </c>
    </row>
    <row r="40" spans="1:15" ht="60" customHeight="1" x14ac:dyDescent="0.2">
      <c r="A40" s="146" t="s">
        <v>2237</v>
      </c>
      <c r="B40" s="147" t="s">
        <v>1242</v>
      </c>
      <c r="C40" s="147" t="str">
        <f>IF(B40="","",IFERROR(INDEX('UNIVERSO MAESTRO'!$C$6:$C$497,MATCH(B40,'UNIVERSO MAESTRO'!$A$6:$A$497,0)),"⚠ ID no encontrado"))</f>
        <v>Pumas UNAM</v>
      </c>
      <c r="D40" s="54" t="str">
        <f>IF(B40="","",IFERROR(INDEX('UNIVERSO MAESTRO'!$D$6:$D$497,MATCH(B40,'UNIVERSO MAESTRO'!$A$6:$A$497,0)),""))</f>
        <v>V1</v>
      </c>
      <c r="E40" s="147" t="s">
        <v>574</v>
      </c>
      <c r="F40" s="53" t="str">
        <f>IF(E40="","",IFERROR(INDEX('UNIVERSO MAESTRO'!$C$6:$C$497,MATCH(E40,'UNIVERSO MAESTRO'!$A$6:$A$497,0)),"⚠ ID no encontrado"))</f>
        <v>Estadio Olímpico Universitario</v>
      </c>
      <c r="G40" s="54" t="str">
        <f>IF(E40="","",IFERROR(INDEX('UNIVERSO MAESTRO'!$D$6:$D$497,MATCH(E40,'UNIVERSO MAESTRO'!$A$6:$A$497,0)),""))</f>
        <v>V7</v>
      </c>
      <c r="H40" s="147" t="s">
        <v>1610</v>
      </c>
      <c r="I40" s="147" t="s">
        <v>1573</v>
      </c>
      <c r="J40" s="147" t="s">
        <v>1574</v>
      </c>
      <c r="K40" s="148" t="s">
        <v>2238</v>
      </c>
      <c r="L40" s="148" t="s">
        <v>2239</v>
      </c>
      <c r="M40" s="148" t="s">
        <v>2240</v>
      </c>
      <c r="N40" s="54" t="str">
        <f t="shared" si="0"/>
        <v>Sí</v>
      </c>
      <c r="O40" s="54" t="str">
        <f t="shared" si="1"/>
        <v>Sí</v>
      </c>
    </row>
    <row r="41" spans="1:15" ht="60" customHeight="1" x14ac:dyDescent="0.2">
      <c r="A41" s="146" t="s">
        <v>2241</v>
      </c>
      <c r="B41" s="147" t="s">
        <v>1242</v>
      </c>
      <c r="C41" s="147" t="str">
        <f>IF(B41="","",IFERROR(INDEX('UNIVERSO MAESTRO'!$C$6:$C$497,MATCH(B41,'UNIVERSO MAESTRO'!$A$6:$A$497,0)),"⚠ ID no encontrado"))</f>
        <v>Pumas UNAM</v>
      </c>
      <c r="D41" s="54" t="str">
        <f>IF(B41="","",IFERROR(INDEX('UNIVERSO MAESTRO'!$D$6:$D$497,MATCH(B41,'UNIVERSO MAESTRO'!$A$6:$A$497,0)),""))</f>
        <v>V1</v>
      </c>
      <c r="E41" s="147" t="s">
        <v>574</v>
      </c>
      <c r="F41" s="53" t="str">
        <f>IF(E41="","",IFERROR(INDEX('UNIVERSO MAESTRO'!$C$6:$C$497,MATCH(E41,'UNIVERSO MAESTRO'!$A$6:$A$497,0)),"⚠ ID no encontrado"))</f>
        <v>Estadio Olímpico Universitario</v>
      </c>
      <c r="G41" s="54" t="str">
        <f>IF(E41="","",IFERROR(INDEX('UNIVERSO MAESTRO'!$D$6:$D$497,MATCH(E41,'UNIVERSO MAESTRO'!$A$6:$A$497,0)),""))</f>
        <v>V7</v>
      </c>
      <c r="H41" s="147" t="s">
        <v>1615</v>
      </c>
      <c r="I41" s="147" t="s">
        <v>1579</v>
      </c>
      <c r="J41" s="147" t="s">
        <v>1574</v>
      </c>
      <c r="K41" s="148" t="s">
        <v>2242</v>
      </c>
      <c r="L41" s="148" t="s">
        <v>2243</v>
      </c>
      <c r="M41" s="148" t="s">
        <v>1618</v>
      </c>
      <c r="N41" s="54" t="str">
        <f t="shared" si="0"/>
        <v>Sí</v>
      </c>
      <c r="O41" s="54" t="str">
        <f t="shared" si="1"/>
        <v>Sí</v>
      </c>
    </row>
    <row r="42" spans="1:15" ht="60" customHeight="1" x14ac:dyDescent="0.2">
      <c r="A42" s="146" t="s">
        <v>2280</v>
      </c>
      <c r="B42" s="147" t="s">
        <v>1303</v>
      </c>
      <c r="C42" s="147" t="str">
        <f>IF(B42="","",IFERROR(INDEX('UNIVERSO MAESTRO'!$C$6:$C$497,MATCH(B42,'UNIVERSO MAESTRO'!$A$6:$A$497,0)),"⚠ ID no encontrado"))</f>
        <v>Selección Mexicana de Fútbol</v>
      </c>
      <c r="D42" s="54" t="str">
        <f>IF(B42="","",IFERROR(INDEX('UNIVERSO MAESTRO'!$D$6:$D$497,MATCH(B42,'UNIVERSO MAESTRO'!$A$6:$A$497,0)),""))</f>
        <v>V1</v>
      </c>
      <c r="E42" s="147" t="s">
        <v>471</v>
      </c>
      <c r="F42" s="53" t="str">
        <f>IF(E42="","",IFERROR(INDEX('UNIVERSO MAESTRO'!$C$6:$C$497,MATCH(E42,'UNIVERSO MAESTRO'!$A$6:$A$497,0)),"⚠ ID no encontrado"))</f>
        <v>Copa Mundial FIFA 2026 en México</v>
      </c>
      <c r="G42" s="54" t="str">
        <f>IF(E42="","",IFERROR(INDEX('UNIVERSO MAESTRO'!$D$6:$D$497,MATCH(E42,'UNIVERSO MAESTRO'!$A$6:$A$497,0)),""))</f>
        <v>V1</v>
      </c>
      <c r="H42" s="147" t="s">
        <v>1731</v>
      </c>
      <c r="I42" s="147" t="s">
        <v>1579</v>
      </c>
      <c r="J42" s="147" t="s">
        <v>1574</v>
      </c>
      <c r="K42" s="148" t="s">
        <v>2281</v>
      </c>
      <c r="L42" s="148"/>
      <c r="M42" s="148" t="s">
        <v>1882</v>
      </c>
      <c r="N42" s="54" t="str">
        <f t="shared" si="0"/>
        <v>No</v>
      </c>
      <c r="O42" s="54" t="str">
        <f t="shared" si="1"/>
        <v>Sí</v>
      </c>
    </row>
    <row r="43" spans="1:15" ht="60" customHeight="1" x14ac:dyDescent="0.2">
      <c r="A43" s="146" t="s">
        <v>2372</v>
      </c>
      <c r="B43" s="147" t="s">
        <v>1500</v>
      </c>
      <c r="C43" s="147" t="str">
        <f>IF(B43="","",IFERROR(INDEX('UNIVERSO MAESTRO'!$C$6:$C$497,MATCH(B43,'UNIVERSO MAESTRO'!$A$6:$A$497,0)),"⚠ ID no encontrado"))</f>
        <v>World Boxing Council (WBC) — sede CDMX</v>
      </c>
      <c r="D43" s="54" t="str">
        <f>IF(B43="","",IFERROR(INDEX('UNIVERSO MAESTRO'!$D$6:$D$497,MATCH(B43,'UNIVERSO MAESTRO'!$A$6:$A$497,0)),""))</f>
        <v>V1</v>
      </c>
      <c r="E43" s="147" t="s">
        <v>354</v>
      </c>
      <c r="F43" s="53" t="str">
        <f>IF(E43="","",IFERROR(INDEX('UNIVERSO MAESTRO'!$C$6:$C$497,MATCH(E43,'UNIVERSO MAESTRO'!$A$6:$A$497,0)),"⚠ ID no encontrado"))</f>
        <v>Canelo Promotions / Saúl Álvarez</v>
      </c>
      <c r="G43" s="54" t="str">
        <f>IF(E43="","",IFERROR(INDEX('UNIVERSO MAESTRO'!$D$6:$D$497,MATCH(E43,'UNIVERSO MAESTRO'!$A$6:$A$497,0)),""))</f>
        <v>V1</v>
      </c>
      <c r="H43" s="147" t="s">
        <v>1605</v>
      </c>
      <c r="I43" s="147" t="s">
        <v>1573</v>
      </c>
      <c r="J43" s="147" t="s">
        <v>1574</v>
      </c>
      <c r="K43" s="148" t="s">
        <v>2373</v>
      </c>
      <c r="L43" s="148" t="s">
        <v>2374</v>
      </c>
      <c r="M43" s="148" t="s">
        <v>2375</v>
      </c>
      <c r="N43" s="54" t="str">
        <f t="shared" si="0"/>
        <v>No</v>
      </c>
      <c r="O43" s="54" t="str">
        <f t="shared" si="1"/>
        <v>Sí</v>
      </c>
    </row>
    <row r="44" spans="1:15" ht="60" customHeight="1" x14ac:dyDescent="0.2">
      <c r="A44" t="s">
        <v>2398</v>
      </c>
      <c r="B44" t="s">
        <v>614</v>
      </c>
      <c r="C44" s="147" t="str">
        <f>IF(B44="","",IFERROR(INDEX('UNIVERSO MAESTRO'!$C$6:$C$497,MATCH(B44,'UNIVERSO MAESTRO'!$A$6:$A$497,0)),"⚠ ID no encontrado"))</f>
        <v>Federación Mexicana de Fútbol</v>
      </c>
      <c r="D44" s="54" t="str">
        <f>IF(B44="","",IFERROR(INDEX('UNIVERSO MAESTRO'!$D$6:$D$497,MATCH(B44,'UNIVERSO MAESTRO'!$A$6:$A$497,0)),""))</f>
        <v>V1</v>
      </c>
      <c r="E44" t="s">
        <v>1545</v>
      </c>
      <c r="F44" s="53" t="str">
        <f>IF(E44="","",IFERROR(INDEX('UNIVERSO MAESTRO'!$C$6:$C$497,MATCH(E44,'UNIVERSO MAESTRO'!$A$6:$A$497,0)),"⚠ ID no encontrado"))</f>
        <v>Liga BBVA MX Femenil</v>
      </c>
      <c r="G44" s="54" t="str">
        <f>IF(E44="","",IFERROR(INDEX('UNIVERSO MAESTRO'!$D$6:$D$497,MATCH(E44,'UNIVERSO MAESTRO'!$A$6:$A$497,0)),""))</f>
        <v>V1</v>
      </c>
      <c r="H44" t="s">
        <v>1731</v>
      </c>
      <c r="I44" t="s">
        <v>1579</v>
      </c>
      <c r="J44" t="s">
        <v>1574</v>
      </c>
      <c r="K44" t="s">
        <v>2399</v>
      </c>
      <c r="L44" t="s">
        <v>2400</v>
      </c>
      <c r="M44" t="s">
        <v>2401</v>
      </c>
      <c r="N44" s="54" t="str">
        <f t="shared" si="0"/>
        <v>No</v>
      </c>
      <c r="O44" s="54" t="str">
        <f t="shared" si="1"/>
        <v>Sí</v>
      </c>
    </row>
    <row r="45" spans="1:15" ht="60" customHeight="1" x14ac:dyDescent="0.2">
      <c r="A45" t="s">
        <v>2406</v>
      </c>
      <c r="B45" t="s">
        <v>1545</v>
      </c>
      <c r="C45" s="147" t="str">
        <f>IF(B45="","",IFERROR(INDEX('UNIVERSO MAESTRO'!$C$6:$C$497,MATCH(B45,'UNIVERSO MAESTRO'!$A$6:$A$497,0)),"⚠ ID no encontrado"))</f>
        <v>Liga BBVA MX Femenil</v>
      </c>
      <c r="D45" s="54" t="str">
        <f>IF(B45="","",IFERROR(INDEX('UNIVERSO MAESTRO'!$D$6:$D$497,MATCH(B45,'UNIVERSO MAESTRO'!$A$6:$A$497,0)),""))</f>
        <v>V1</v>
      </c>
      <c r="E45" t="s">
        <v>1312</v>
      </c>
      <c r="F45" s="53" t="str">
        <f>IF(E45="","",IFERROR(INDEX('UNIVERSO MAESTRO'!$C$6:$C$497,MATCH(E45,'UNIVERSO MAESTRO'!$A$6:$A$497,0)),"⚠ ID no encontrado"))</f>
        <v>Selección Mexicana Femenil</v>
      </c>
      <c r="G45" s="54" t="str">
        <f>IF(E45="","",IFERROR(INDEX('UNIVERSO MAESTRO'!$D$6:$D$497,MATCH(E45,'UNIVERSO MAESTRO'!$A$6:$A$497,0)),""))</f>
        <v>V1</v>
      </c>
      <c r="H45" t="s">
        <v>1731</v>
      </c>
      <c r="I45" t="s">
        <v>1573</v>
      </c>
      <c r="J45" t="s">
        <v>1574</v>
      </c>
      <c r="K45" t="s">
        <v>2407</v>
      </c>
      <c r="L45" t="s">
        <v>2408</v>
      </c>
      <c r="M45" t="s">
        <v>2409</v>
      </c>
      <c r="N45" s="54" t="str">
        <f t="shared" si="0"/>
        <v>No</v>
      </c>
      <c r="O45" s="54" t="str">
        <f t="shared" si="1"/>
        <v>Sí</v>
      </c>
    </row>
    <row r="46" spans="1:15" ht="60" customHeight="1" x14ac:dyDescent="0.2">
      <c r="A46" t="s">
        <v>2410</v>
      </c>
      <c r="B46" t="s">
        <v>1545</v>
      </c>
      <c r="C46" s="147" t="str">
        <f>IF(B46="","",IFERROR(INDEX('UNIVERSO MAESTRO'!$C$6:$C$497,MATCH(B46,'UNIVERSO MAESTRO'!$A$6:$A$497,0)),"⚠ ID no encontrado"))</f>
        <v>Liga BBVA MX Femenil</v>
      </c>
      <c r="D46" s="54" t="str">
        <f>IF(B46="","",IFERROR(INDEX('UNIVERSO MAESTRO'!$D$6:$D$497,MATCH(B46,'UNIVERSO MAESTRO'!$A$6:$A$497,0)),""))</f>
        <v>V1</v>
      </c>
      <c r="E46" t="s">
        <v>1149</v>
      </c>
      <c r="F46" s="53" t="str">
        <f>IF(E46="","",IFERROR(INDEX('UNIVERSO MAESTRO'!$C$6:$C$497,MATCH(E46,'UNIVERSO MAESTRO'!$A$6:$A$497,0)),"⚠ ID no encontrado"))</f>
        <v>Ollamani, S.A.B. / Grupo Águilas (Club América + Estadio Banorte)</v>
      </c>
      <c r="G46" s="54" t="str">
        <f>IF(E46="","",IFERROR(INDEX('UNIVERSO MAESTRO'!$D$6:$D$497,MATCH(E46,'UNIVERSO MAESTRO'!$A$6:$A$497,0)),""))</f>
        <v>V9</v>
      </c>
      <c r="H46" t="s">
        <v>1731</v>
      </c>
      <c r="I46" t="s">
        <v>1573</v>
      </c>
      <c r="J46" t="s">
        <v>1574</v>
      </c>
      <c r="K46" t="s">
        <v>2411</v>
      </c>
      <c r="L46" t="s">
        <v>2412</v>
      </c>
      <c r="M46" t="s">
        <v>1555</v>
      </c>
      <c r="N46" s="54" t="str">
        <f t="shared" si="0"/>
        <v>Sí</v>
      </c>
      <c r="O46" s="54" t="str">
        <f t="shared" si="1"/>
        <v>Sí</v>
      </c>
    </row>
    <row r="47" spans="1:15" ht="60" customHeight="1" x14ac:dyDescent="0.2">
      <c r="A47" t="s">
        <v>2413</v>
      </c>
      <c r="B47" t="s">
        <v>1545</v>
      </c>
      <c r="C47" s="147" t="str">
        <f>IF(B47="","",IFERROR(INDEX('UNIVERSO MAESTRO'!$C$6:$C$497,MATCH(B47,'UNIVERSO MAESTRO'!$A$6:$A$497,0)),"⚠ ID no encontrado"))</f>
        <v>Liga BBVA MX Femenil</v>
      </c>
      <c r="D47" s="54" t="str">
        <f>IF(B47="","",IFERROR(INDEX('UNIVERSO MAESTRO'!$D$6:$D$497,MATCH(B47,'UNIVERSO MAESTRO'!$A$6:$A$497,0)),""))</f>
        <v>V1</v>
      </c>
      <c r="E47" t="s">
        <v>377</v>
      </c>
      <c r="F47" s="53" t="str">
        <f>IF(E47="","",IFERROR(INDEX('UNIVERSO MAESTRO'!$C$6:$C$497,MATCH(E47,'UNIVERSO MAESTRO'!$A$6:$A$497,0)),"⚠ ID no encontrado"))</f>
        <v>CEMEX / Sinergia Deportiva</v>
      </c>
      <c r="G47" s="54" t="str">
        <f>IF(E47="","",IFERROR(INDEX('UNIVERSO MAESTRO'!$D$6:$D$497,MATCH(E47,'UNIVERSO MAESTRO'!$A$6:$A$497,0)),""))</f>
        <v>V9</v>
      </c>
      <c r="H47" t="s">
        <v>1731</v>
      </c>
      <c r="I47" t="s">
        <v>1573</v>
      </c>
      <c r="J47" t="s">
        <v>1574</v>
      </c>
      <c r="K47" t="s">
        <v>2414</v>
      </c>
      <c r="L47" t="s">
        <v>2415</v>
      </c>
      <c r="M47" t="s">
        <v>1555</v>
      </c>
      <c r="N47" s="54" t="str">
        <f t="shared" si="0"/>
        <v>Sí</v>
      </c>
      <c r="O47" s="54" t="str">
        <f t="shared" si="1"/>
        <v>Sí</v>
      </c>
    </row>
    <row r="48" spans="1:15" ht="60" customHeight="1" x14ac:dyDescent="0.2">
      <c r="A48" t="s">
        <v>2416</v>
      </c>
      <c r="B48" t="s">
        <v>1545</v>
      </c>
      <c r="C48" s="147" t="str">
        <f>IF(B48="","",IFERROR(INDEX('UNIVERSO MAESTRO'!$C$6:$C$497,MATCH(B48,'UNIVERSO MAESTRO'!$A$6:$A$497,0)),"⚠ ID no encontrado"))</f>
        <v>Liga BBVA MX Femenil</v>
      </c>
      <c r="D48" s="54" t="str">
        <f>IF(B48="","",IFERROR(INDEX('UNIVERSO MAESTRO'!$D$6:$D$497,MATCH(B48,'UNIVERSO MAESTRO'!$A$6:$A$497,0)),""))</f>
        <v>V1</v>
      </c>
      <c r="E48" t="s">
        <v>622</v>
      </c>
      <c r="F48" s="53" t="str">
        <f>IF(E48="","",IFERROR(INDEX('UNIVERSO MAESTRO'!$C$6:$C$497,MATCH(E48,'UNIVERSO MAESTRO'!$A$6:$A$497,0)),"⚠ ID no encontrado"))</f>
        <v>FEMSA / Club de Fútbol Monterrey Rayados</v>
      </c>
      <c r="G48" s="54" t="str">
        <f>IF(E48="","",IFERROR(INDEX('UNIVERSO MAESTRO'!$D$6:$D$497,MATCH(E48,'UNIVERSO MAESTRO'!$A$6:$A$497,0)),""))</f>
        <v>V9</v>
      </c>
      <c r="H48" t="s">
        <v>1731</v>
      </c>
      <c r="I48" t="s">
        <v>1573</v>
      </c>
      <c r="J48" t="s">
        <v>1574</v>
      </c>
      <c r="K48" t="s">
        <v>2417</v>
      </c>
      <c r="L48" t="s">
        <v>2418</v>
      </c>
      <c r="M48" t="s">
        <v>1555</v>
      </c>
      <c r="N48" s="54" t="str">
        <f t="shared" si="0"/>
        <v>Sí</v>
      </c>
      <c r="O48" s="54" t="str">
        <f t="shared" si="1"/>
        <v>Sí</v>
      </c>
    </row>
    <row r="49" spans="1:15" ht="60" customHeight="1" x14ac:dyDescent="0.2">
      <c r="A49" t="s">
        <v>2419</v>
      </c>
      <c r="B49" t="s">
        <v>1545</v>
      </c>
      <c r="C49" s="147" t="str">
        <f>IF(B49="","",IFERROR(INDEX('UNIVERSO MAESTRO'!$C$6:$C$497,MATCH(B49,'UNIVERSO MAESTRO'!$A$6:$A$497,0)),"⚠ ID no encontrado"))</f>
        <v>Liga BBVA MX Femenil</v>
      </c>
      <c r="D49" s="54" t="str">
        <f>IF(B49="","",IFERROR(INDEX('UNIVERSO MAESTRO'!$D$6:$D$497,MATCH(B49,'UNIVERSO MAESTRO'!$A$6:$A$497,0)),""))</f>
        <v>V1</v>
      </c>
      <c r="E49" t="s">
        <v>771</v>
      </c>
      <c r="F49" s="53" t="str">
        <f>IF(E49="","",IFERROR(INDEX('UNIVERSO MAESTRO'!$C$6:$C$497,MATCH(E49,'UNIVERSO MAESTRO'!$A$6:$A$497,0)),"⚠ ID no encontrado"))</f>
        <v>Grupo Omnilife / Amaury Vergara / Chivas</v>
      </c>
      <c r="G49" s="54" t="str">
        <f>IF(E49="","",IFERROR(INDEX('UNIVERSO MAESTRO'!$D$6:$D$497,MATCH(E49,'UNIVERSO MAESTRO'!$A$6:$A$497,0)),""))</f>
        <v>V9</v>
      </c>
      <c r="H49" t="s">
        <v>1731</v>
      </c>
      <c r="I49" t="s">
        <v>1573</v>
      </c>
      <c r="J49" t="s">
        <v>1574</v>
      </c>
      <c r="K49" t="s">
        <v>2420</v>
      </c>
      <c r="L49" t="s">
        <v>2421</v>
      </c>
      <c r="M49" t="s">
        <v>1555</v>
      </c>
      <c r="N49" s="54" t="str">
        <f t="shared" si="0"/>
        <v>Sí</v>
      </c>
      <c r="O49" s="54" t="str">
        <f t="shared" si="1"/>
        <v>Sí</v>
      </c>
    </row>
    <row r="50" spans="1:15" ht="60" customHeight="1" x14ac:dyDescent="0.2">
      <c r="A50" t="s">
        <v>2422</v>
      </c>
      <c r="B50" t="s">
        <v>1545</v>
      </c>
      <c r="C50" s="147" t="str">
        <f>IF(B50="","",IFERROR(INDEX('UNIVERSO MAESTRO'!$C$6:$C$497,MATCH(B50,'UNIVERSO MAESTRO'!$A$6:$A$497,0)),"⚠ ID no encontrado"))</f>
        <v>Liga BBVA MX Femenil</v>
      </c>
      <c r="D50" s="54" t="str">
        <f>IF(B50="","",IFERROR(INDEX('UNIVERSO MAESTRO'!$D$6:$D$497,MATCH(B50,'UNIVERSO MAESTRO'!$A$6:$A$497,0)),""))</f>
        <v>V1</v>
      </c>
      <c r="E50" t="s">
        <v>793</v>
      </c>
      <c r="F50" s="53" t="str">
        <f>IF(E50="","",IFERROR(INDEX('UNIVERSO MAESTRO'!$C$6:$C$497,MATCH(E50,'UNIVERSO MAESTRO'!$A$6:$A$497,0)),"⚠ ID no encontrado"))</f>
        <v>Grupo Pachuca</v>
      </c>
      <c r="G50" s="54" t="str">
        <f>IF(E50="","",IFERROR(INDEX('UNIVERSO MAESTRO'!$D$6:$D$497,MATCH(E50,'UNIVERSO MAESTRO'!$A$6:$A$497,0)),""))</f>
        <v>V9</v>
      </c>
      <c r="H50" t="s">
        <v>1731</v>
      </c>
      <c r="I50" t="s">
        <v>1573</v>
      </c>
      <c r="J50" t="s">
        <v>1574</v>
      </c>
      <c r="K50" t="s">
        <v>2423</v>
      </c>
      <c r="L50" t="s">
        <v>2424</v>
      </c>
      <c r="M50" t="s">
        <v>1555</v>
      </c>
      <c r="N50" s="54" t="str">
        <f t="shared" si="0"/>
        <v>Sí</v>
      </c>
      <c r="O50" s="54" t="str">
        <f t="shared" si="1"/>
        <v>Sí</v>
      </c>
    </row>
    <row r="51" spans="1:15" ht="60" customHeight="1" x14ac:dyDescent="0.2">
      <c r="A51" t="s">
        <v>2425</v>
      </c>
      <c r="B51" t="s">
        <v>1545</v>
      </c>
      <c r="C51" s="147" t="str">
        <f>IF(B51="","",IFERROR(INDEX('UNIVERSO MAESTRO'!$C$6:$C$497,MATCH(B51,'UNIVERSO MAESTRO'!$A$6:$A$497,0)),"⚠ ID no encontrado"))</f>
        <v>Liga BBVA MX Femenil</v>
      </c>
      <c r="D51" s="54" t="str">
        <f>IF(B51="","",IFERROR(INDEX('UNIVERSO MAESTRO'!$D$6:$D$497,MATCH(B51,'UNIVERSO MAESTRO'!$A$6:$A$497,0)),""))</f>
        <v>V1</v>
      </c>
      <c r="E51" t="s">
        <v>803</v>
      </c>
      <c r="F51" s="53" t="str">
        <f>IF(E51="","",IFERROR(INDEX('UNIVERSO MAESTRO'!$C$6:$C$497,MATCH(E51,'UNIVERSO MAESTRO'!$A$6:$A$497,0)),"⚠ ID no encontrado"))</f>
        <v>Grupo PRODI / José Miguel Bejos</v>
      </c>
      <c r="G51" s="54" t="str">
        <f>IF(E51="","",IFERROR(INDEX('UNIVERSO MAESTRO'!$D$6:$D$497,MATCH(E51,'UNIVERSO MAESTRO'!$A$6:$A$497,0)),""))</f>
        <v>V9</v>
      </c>
      <c r="H51" t="s">
        <v>1731</v>
      </c>
      <c r="I51" t="s">
        <v>1573</v>
      </c>
      <c r="J51" t="s">
        <v>1574</v>
      </c>
      <c r="K51" t="s">
        <v>2426</v>
      </c>
      <c r="L51" t="s">
        <v>2427</v>
      </c>
      <c r="M51" t="s">
        <v>2428</v>
      </c>
      <c r="N51" s="54" t="str">
        <f t="shared" si="0"/>
        <v>Sí</v>
      </c>
      <c r="O51" s="54" t="str">
        <f t="shared" si="1"/>
        <v>Sí</v>
      </c>
    </row>
    <row r="52" spans="1:15" ht="60" customHeight="1" x14ac:dyDescent="0.2">
      <c r="A52" t="s">
        <v>2429</v>
      </c>
      <c r="B52" t="s">
        <v>1545</v>
      </c>
      <c r="C52" s="147" t="str">
        <f>IF(B52="","",IFERROR(INDEX('UNIVERSO MAESTRO'!$C$6:$C$497,MATCH(B52,'UNIVERSO MAESTRO'!$A$6:$A$497,0)),"⚠ ID no encontrado"))</f>
        <v>Liga BBVA MX Femenil</v>
      </c>
      <c r="D52" s="54" t="str">
        <f>IF(B52="","",IFERROR(INDEX('UNIVERSO MAESTRO'!$D$6:$D$497,MATCH(B52,'UNIVERSO MAESTRO'!$A$6:$A$497,0)),""))</f>
        <v>V1</v>
      </c>
      <c r="E52" t="s">
        <v>244</v>
      </c>
      <c r="F52" s="53" t="str">
        <f>IF(E52="","",IFERROR(INDEX('UNIVERSO MAESTRO'!$C$6:$C$497,MATCH(E52,'UNIVERSO MAESTRO'!$A$6:$A$497,0)),"⚠ ID no encontrado"))</f>
        <v>Apollo Sports Capital</v>
      </c>
      <c r="G52" s="54" t="str">
        <f>IF(E52="","",IFERROR(INDEX('UNIVERSO MAESTRO'!$D$6:$D$497,MATCH(E52,'UNIVERSO MAESTRO'!$A$6:$A$497,0)),""))</f>
        <v>V9</v>
      </c>
      <c r="H52" t="s">
        <v>1731</v>
      </c>
      <c r="I52" t="s">
        <v>1573</v>
      </c>
      <c r="J52" t="s">
        <v>1574</v>
      </c>
      <c r="K52" t="s">
        <v>2430</v>
      </c>
      <c r="L52" t="s">
        <v>2427</v>
      </c>
      <c r="M52" t="s">
        <v>2428</v>
      </c>
      <c r="N52" s="54" t="str">
        <f t="shared" si="0"/>
        <v>Sí</v>
      </c>
      <c r="O52" s="54" t="str">
        <f t="shared" si="1"/>
        <v>Sí</v>
      </c>
    </row>
    <row r="53" spans="1:15" ht="60" customHeight="1" x14ac:dyDescent="0.2">
      <c r="A53" t="s">
        <v>2431</v>
      </c>
      <c r="B53" t="s">
        <v>1545</v>
      </c>
      <c r="C53" s="147" t="str">
        <f>IF(B53="","",IFERROR(INDEX('UNIVERSO MAESTRO'!$C$6:$C$497,MATCH(B53,'UNIVERSO MAESTRO'!$A$6:$A$497,0)),"⚠ ID no encontrado"))</f>
        <v>Liga BBVA MX Femenil</v>
      </c>
      <c r="D53" s="54" t="str">
        <f>IF(B53="","",IFERROR(INDEX('UNIVERSO MAESTRO'!$D$6:$D$497,MATCH(B53,'UNIVERSO MAESTRO'!$A$6:$A$497,0)),""))</f>
        <v>V1</v>
      </c>
      <c r="E53" t="s">
        <v>489</v>
      </c>
      <c r="F53" s="53" t="str">
        <f>IF(E53="","",IFERROR(INDEX('UNIVERSO MAESTRO'!$C$6:$C$497,MATCH(E53,'UNIVERSO MAESTRO'!$A$6:$A$497,0)),"⚠ ID no encontrado"))</f>
        <v>Cruz Azul FC</v>
      </c>
      <c r="G53" s="54" t="str">
        <f>IF(E53="","",IFERROR(INDEX('UNIVERSO MAESTRO'!$D$6:$D$497,MATCH(E53,'UNIVERSO MAESTRO'!$A$6:$A$497,0)),""))</f>
        <v>V1</v>
      </c>
      <c r="H53" t="s">
        <v>1731</v>
      </c>
      <c r="I53" t="s">
        <v>1573</v>
      </c>
      <c r="J53" t="s">
        <v>1574</v>
      </c>
      <c r="K53" t="s">
        <v>2432</v>
      </c>
      <c r="L53" t="s">
        <v>2427</v>
      </c>
      <c r="M53" t="s">
        <v>2428</v>
      </c>
      <c r="N53" s="54" t="str">
        <f t="shared" si="0"/>
        <v>No</v>
      </c>
      <c r="O53" s="54" t="str">
        <f t="shared" si="1"/>
        <v>Sí</v>
      </c>
    </row>
    <row r="54" spans="1:15" ht="60" customHeight="1" x14ac:dyDescent="0.2">
      <c r="A54" t="s">
        <v>2433</v>
      </c>
      <c r="B54" t="s">
        <v>1545</v>
      </c>
      <c r="C54" s="147" t="str">
        <f>IF(B54="","",IFERROR(INDEX('UNIVERSO MAESTRO'!$C$6:$C$497,MATCH(B54,'UNIVERSO MAESTRO'!$A$6:$A$497,0)),"⚠ ID no encontrado"))</f>
        <v>Liga BBVA MX Femenil</v>
      </c>
      <c r="D54" s="54" t="str">
        <f>IF(B54="","",IFERROR(INDEX('UNIVERSO MAESTRO'!$D$6:$D$497,MATCH(B54,'UNIVERSO MAESTRO'!$A$6:$A$497,0)),""))</f>
        <v>V1</v>
      </c>
      <c r="E54" t="s">
        <v>781</v>
      </c>
      <c r="F54" s="53" t="str">
        <f>IF(E54="","",IFERROR(INDEX('UNIVERSO MAESTRO'!$C$6:$C$497,MATCH(E54,'UNIVERSO MAESTRO'!$A$6:$A$497,0)),"⚠ ID no encontrado"))</f>
        <v>Grupo Orlegi</v>
      </c>
      <c r="G54" s="54" t="str">
        <f>IF(E54="","",IFERROR(INDEX('UNIVERSO MAESTRO'!$D$6:$D$497,MATCH(E54,'UNIVERSO MAESTRO'!$A$6:$A$497,0)),""))</f>
        <v>V9</v>
      </c>
      <c r="H54" t="s">
        <v>1731</v>
      </c>
      <c r="I54" t="s">
        <v>1573</v>
      </c>
      <c r="J54" t="s">
        <v>1574</v>
      </c>
      <c r="K54" t="s">
        <v>2434</v>
      </c>
      <c r="L54" t="s">
        <v>2427</v>
      </c>
      <c r="M54" t="s">
        <v>2428</v>
      </c>
      <c r="N54" s="54" t="str">
        <f t="shared" si="0"/>
        <v>Sí</v>
      </c>
      <c r="O54" s="54" t="str">
        <f t="shared" si="1"/>
        <v>Sí</v>
      </c>
    </row>
    <row r="55" spans="1:15" ht="60" customHeight="1" x14ac:dyDescent="0.2">
      <c r="A55" t="s">
        <v>2435</v>
      </c>
      <c r="B55" t="s">
        <v>1545</v>
      </c>
      <c r="C55" s="147" t="str">
        <f>IF(B55="","",IFERROR(INDEX('UNIVERSO MAESTRO'!$C$6:$C$497,MATCH(B55,'UNIVERSO MAESTRO'!$A$6:$A$497,0)),"⚠ ID no encontrado"))</f>
        <v>Liga BBVA MX Femenil</v>
      </c>
      <c r="D55" s="54" t="str">
        <f>IF(B55="","",IFERROR(INDEX('UNIVERSO MAESTRO'!$D$6:$D$497,MATCH(B55,'UNIVERSO MAESTRO'!$A$6:$A$497,0)),""))</f>
        <v>V1</v>
      </c>
      <c r="E55" t="s">
        <v>413</v>
      </c>
      <c r="F55" s="53" t="str">
        <f>IF(E55="","",IFERROR(INDEX('UNIVERSO MAESTRO'!$C$6:$C$497,MATCH(E55,'UNIVERSO MAESTRO'!$A$6:$A$497,0)),"⚠ ID no encontrado"))</f>
        <v>Club Necaxa</v>
      </c>
      <c r="G55" s="54" t="str">
        <f>IF(E55="","",IFERROR(INDEX('UNIVERSO MAESTRO'!$D$6:$D$497,MATCH(E55,'UNIVERSO MAESTRO'!$A$6:$A$497,0)),""))</f>
        <v>V1</v>
      </c>
      <c r="H55" t="s">
        <v>1731</v>
      </c>
      <c r="I55" t="s">
        <v>1573</v>
      </c>
      <c r="J55" t="s">
        <v>1574</v>
      </c>
      <c r="K55" t="s">
        <v>2436</v>
      </c>
      <c r="L55" t="s">
        <v>2427</v>
      </c>
      <c r="M55" t="s">
        <v>2428</v>
      </c>
      <c r="N55" s="54" t="str">
        <f t="shared" si="0"/>
        <v>No</v>
      </c>
      <c r="O55" s="54" t="str">
        <f t="shared" si="1"/>
        <v>Sí</v>
      </c>
    </row>
    <row r="56" spans="1:15" ht="60" customHeight="1" x14ac:dyDescent="0.2">
      <c r="A56" t="s">
        <v>2437</v>
      </c>
      <c r="B56" t="s">
        <v>1545</v>
      </c>
      <c r="C56" s="147" t="str">
        <f>IF(B56="","",IFERROR(INDEX('UNIVERSO MAESTRO'!$C$6:$C$497,MATCH(B56,'UNIVERSO MAESTRO'!$A$6:$A$497,0)),"⚠ ID no encontrado"))</f>
        <v>Liga BBVA MX Femenil</v>
      </c>
      <c r="D56" s="54" t="str">
        <f>IF(B56="","",IFERROR(INDEX('UNIVERSO MAESTRO'!$D$6:$D$497,MATCH(B56,'UNIVERSO MAESTRO'!$A$6:$A$497,0)),""))</f>
        <v>V1</v>
      </c>
      <c r="E56" t="s">
        <v>811</v>
      </c>
      <c r="F56" s="53" t="str">
        <f>IF(E56="","",IFERROR(INDEX('UNIVERSO MAESTRO'!$C$6:$C$497,MATCH(E56,'UNIVERSO MAESTRO'!$A$6:$A$497,0)),"⚠ ID no encontrado"))</f>
        <v>Grupo Salinas / TV Azteca</v>
      </c>
      <c r="G56" s="54" t="str">
        <f>IF(E56="","",IFERROR(INDEX('UNIVERSO MAESTRO'!$D$6:$D$497,MATCH(E56,'UNIVERSO MAESTRO'!$A$6:$A$497,0)),""))</f>
        <v>V9</v>
      </c>
      <c r="H56" t="s">
        <v>1731</v>
      </c>
      <c r="I56" t="s">
        <v>1573</v>
      </c>
      <c r="J56" t="s">
        <v>1574</v>
      </c>
      <c r="K56" t="s">
        <v>2438</v>
      </c>
      <c r="L56" t="s">
        <v>2427</v>
      </c>
      <c r="M56" t="s">
        <v>2428</v>
      </c>
      <c r="N56" s="54" t="str">
        <f t="shared" si="0"/>
        <v>Sí</v>
      </c>
      <c r="O56" s="54" t="str">
        <f t="shared" si="1"/>
        <v>Sí</v>
      </c>
    </row>
    <row r="57" spans="1:15" ht="60" customHeight="1" x14ac:dyDescent="0.2">
      <c r="A57" t="s">
        <v>2439</v>
      </c>
      <c r="B57" t="s">
        <v>1545</v>
      </c>
      <c r="C57" s="147" t="str">
        <f>IF(B57="","",IFERROR(INDEX('UNIVERSO MAESTRO'!$C$6:$C$497,MATCH(B57,'UNIVERSO MAESTRO'!$A$6:$A$497,0)),"⚠ ID no encontrado"))</f>
        <v>Liga BBVA MX Femenil</v>
      </c>
      <c r="D57" s="54" t="str">
        <f>IF(B57="","",IFERROR(INDEX('UNIVERSO MAESTRO'!$D$6:$D$497,MATCH(B57,'UNIVERSO MAESTRO'!$A$6:$A$497,0)),""))</f>
        <v>V1</v>
      </c>
      <c r="E57" t="s">
        <v>902</v>
      </c>
      <c r="F57" s="53" t="str">
        <f>IF(E57="","",IFERROR(INDEX('UNIVERSO MAESTRO'!$C$6:$C$497,MATCH(E57,'UNIVERSO MAESTRO'!$A$6:$A$497,0)),"⚠ ID no encontrado"))</f>
        <v>Innovatio Capital / Club Querétaro</v>
      </c>
      <c r="G57" s="54" t="str">
        <f>IF(E57="","",IFERROR(INDEX('UNIVERSO MAESTRO'!$D$6:$D$497,MATCH(E57,'UNIVERSO MAESTRO'!$A$6:$A$497,0)),""))</f>
        <v>V9</v>
      </c>
      <c r="H57" t="s">
        <v>1731</v>
      </c>
      <c r="I57" t="s">
        <v>1573</v>
      </c>
      <c r="J57" t="s">
        <v>1574</v>
      </c>
      <c r="K57" t="s">
        <v>2440</v>
      </c>
      <c r="L57" t="s">
        <v>2427</v>
      </c>
      <c r="M57" t="s">
        <v>2428</v>
      </c>
      <c r="N57" s="54" t="str">
        <f t="shared" si="0"/>
        <v>Sí</v>
      </c>
      <c r="O57" s="54" t="str">
        <f t="shared" si="1"/>
        <v>Sí</v>
      </c>
    </row>
    <row r="58" spans="1:15" ht="60" customHeight="1" x14ac:dyDescent="0.2">
      <c r="A58" t="s">
        <v>2441</v>
      </c>
      <c r="B58" t="s">
        <v>1545</v>
      </c>
      <c r="C58" s="147" t="str">
        <f>IF(B58="","",IFERROR(INDEX('UNIVERSO MAESTRO'!$C$6:$C$497,MATCH(B58,'UNIVERSO MAESTRO'!$A$6:$A$497,0)),"⚠ ID no encontrado"))</f>
        <v>Liga BBVA MX Femenil</v>
      </c>
      <c r="D58" s="54" t="str">
        <f>IF(B58="","",IFERROR(INDEX('UNIVERSO MAESTRO'!$D$6:$D$497,MATCH(B58,'UNIVERSO MAESTRO'!$A$6:$A$497,0)),""))</f>
        <v>V1</v>
      </c>
      <c r="E58" t="s">
        <v>1242</v>
      </c>
      <c r="F58" s="53" t="str">
        <f>IF(E58="","",IFERROR(INDEX('UNIVERSO MAESTRO'!$C$6:$C$497,MATCH(E58,'UNIVERSO MAESTRO'!$A$6:$A$497,0)),"⚠ ID no encontrado"))</f>
        <v>Pumas UNAM</v>
      </c>
      <c r="G58" s="54" t="str">
        <f>IF(E58="","",IFERROR(INDEX('UNIVERSO MAESTRO'!$D$6:$D$497,MATCH(E58,'UNIVERSO MAESTRO'!$A$6:$A$497,0)),""))</f>
        <v>V1</v>
      </c>
      <c r="H58" t="s">
        <v>1731</v>
      </c>
      <c r="I58" t="s">
        <v>1573</v>
      </c>
      <c r="J58" t="s">
        <v>1574</v>
      </c>
      <c r="K58" t="s">
        <v>2442</v>
      </c>
      <c r="L58" t="s">
        <v>2427</v>
      </c>
      <c r="M58" t="s">
        <v>2428</v>
      </c>
      <c r="N58" s="54" t="str">
        <f t="shared" si="0"/>
        <v>No</v>
      </c>
      <c r="O58" s="54" t="str">
        <f t="shared" si="1"/>
        <v>Sí</v>
      </c>
    </row>
    <row r="59" spans="1:15" ht="60" customHeight="1" x14ac:dyDescent="0.2">
      <c r="A59" t="s">
        <v>2443</v>
      </c>
      <c r="B59" t="s">
        <v>1545</v>
      </c>
      <c r="C59" s="147" t="str">
        <f>IF(B59="","",IFERROR(INDEX('UNIVERSO MAESTRO'!$C$6:$C$497,MATCH(B59,'UNIVERSO MAESTRO'!$A$6:$A$497,0)),"⚠ ID no encontrado"))</f>
        <v>Liga BBVA MX Femenil</v>
      </c>
      <c r="D59" s="54" t="str">
        <f>IF(B59="","",IFERROR(INDEX('UNIVERSO MAESTRO'!$D$6:$D$497,MATCH(B59,'UNIVERSO MAESTRO'!$A$6:$A$497,0)),""))</f>
        <v>V1</v>
      </c>
      <c r="E59" t="s">
        <v>739</v>
      </c>
      <c r="F59" s="53" t="str">
        <f>IF(E59="","",IFERROR(INDEX('UNIVERSO MAESTRO'!$C$6:$C$497,MATCH(E59,'UNIVERSO MAESTRO'!$A$6:$A$497,0)),"⚠ ID no encontrado"))</f>
        <v>Grupo Caliente / Corporación Caliente, S.A. de C.V.</v>
      </c>
      <c r="G59" s="54" t="str">
        <f>IF(E59="","",IFERROR(INDEX('UNIVERSO MAESTRO'!$D$6:$D$497,MATCH(E59,'UNIVERSO MAESTRO'!$A$6:$A$497,0)),""))</f>
        <v>V9</v>
      </c>
      <c r="H59" t="s">
        <v>1731</v>
      </c>
      <c r="I59" t="s">
        <v>1573</v>
      </c>
      <c r="J59" t="s">
        <v>1574</v>
      </c>
      <c r="K59" t="s">
        <v>2444</v>
      </c>
      <c r="L59" t="s">
        <v>2427</v>
      </c>
      <c r="M59" t="s">
        <v>2428</v>
      </c>
      <c r="N59" s="54" t="str">
        <f t="shared" si="0"/>
        <v>Sí</v>
      </c>
      <c r="O59" s="54" t="str">
        <f t="shared" si="1"/>
        <v>Sí</v>
      </c>
    </row>
    <row r="60" spans="1:15" ht="60" customHeight="1" x14ac:dyDescent="0.2">
      <c r="A60" t="s">
        <v>2445</v>
      </c>
      <c r="B60" t="s">
        <v>1545</v>
      </c>
      <c r="C60" s="147" t="str">
        <f>IF(B60="","",IFERROR(INDEX('UNIVERSO MAESTRO'!$C$6:$C$497,MATCH(B60,'UNIVERSO MAESTRO'!$A$6:$A$497,0)),"⚠ ID no encontrado"))</f>
        <v>Liga BBVA MX Femenil</v>
      </c>
      <c r="D60" s="54" t="str">
        <f>IF(B60="","",IFERROR(INDEX('UNIVERSO MAESTRO'!$D$6:$D$497,MATCH(B60,'UNIVERSO MAESTRO'!$A$6:$A$497,0)),""))</f>
        <v>V1</v>
      </c>
      <c r="E60" t="s">
        <v>424</v>
      </c>
      <c r="F60" s="53" t="str">
        <f>IF(E60="","",IFERROR(INDEX('UNIVERSO MAESTRO'!$C$6:$C$497,MATCH(E60,'UNIVERSO MAESTRO'!$A$6:$A$497,0)),"⚠ ID no encontrado"))</f>
        <v>Club Toluca</v>
      </c>
      <c r="G60" s="54" t="str">
        <f>IF(E60="","",IFERROR(INDEX('UNIVERSO MAESTRO'!$D$6:$D$497,MATCH(E60,'UNIVERSO MAESTRO'!$A$6:$A$497,0)),""))</f>
        <v>V1</v>
      </c>
      <c r="H60" t="s">
        <v>1731</v>
      </c>
      <c r="I60" t="s">
        <v>1573</v>
      </c>
      <c r="J60" t="s">
        <v>1574</v>
      </c>
      <c r="K60" t="s">
        <v>2446</v>
      </c>
      <c r="L60" t="s">
        <v>2427</v>
      </c>
      <c r="M60" t="s">
        <v>2428</v>
      </c>
      <c r="N60" s="54" t="str">
        <f t="shared" si="0"/>
        <v>No</v>
      </c>
      <c r="O60" s="54" t="str">
        <f t="shared" si="1"/>
        <v>Sí</v>
      </c>
    </row>
    <row r="61" spans="1:15" ht="60" customHeight="1" x14ac:dyDescent="0.2">
      <c r="A61" s="146" t="s">
        <v>1604</v>
      </c>
      <c r="B61" s="147" t="s">
        <v>236</v>
      </c>
      <c r="C61" s="147" t="str">
        <f>IF(B61="","",IFERROR(INDEX('UNIVERSO MAESTRO'!$C$6:$C$497,MATCH(B61,'UNIVERSO MAESTRO'!$A$6:$A$497,0)),"⚠ ID no encontrado"))</f>
        <v>Amazon Prime Video</v>
      </c>
      <c r="D61" s="54" t="str">
        <f>IF(B61="","",IFERROR(INDEX('UNIVERSO MAESTRO'!$D$6:$D$497,MATCH(B61,'UNIVERSO MAESTRO'!$A$6:$A$497,0)),""))</f>
        <v>V2</v>
      </c>
      <c r="E61" s="147" t="s">
        <v>771</v>
      </c>
      <c r="F61" s="53" t="str">
        <f>IF(E61="","",IFERROR(INDEX('UNIVERSO MAESTRO'!$C$6:$C$497,MATCH(E61,'UNIVERSO MAESTRO'!$A$6:$A$497,0)),"⚠ ID no encontrado"))</f>
        <v>Grupo Omnilife / Amaury Vergara / Chivas</v>
      </c>
      <c r="G61" s="54" t="str">
        <f>IF(E61="","",IFERROR(INDEX('UNIVERSO MAESTRO'!$D$6:$D$497,MATCH(E61,'UNIVERSO MAESTRO'!$A$6:$A$497,0)),""))</f>
        <v>V9</v>
      </c>
      <c r="H61" s="147" t="s">
        <v>1605</v>
      </c>
      <c r="I61" s="147" t="s">
        <v>1579</v>
      </c>
      <c r="J61" s="147" t="s">
        <v>1574</v>
      </c>
      <c r="K61" s="148" t="s">
        <v>1606</v>
      </c>
      <c r="L61" s="148" t="s">
        <v>1607</v>
      </c>
      <c r="M61" s="148" t="s">
        <v>1608</v>
      </c>
      <c r="N61" s="54" t="str">
        <f t="shared" si="0"/>
        <v>Sí</v>
      </c>
      <c r="O61" s="54" t="str">
        <f t="shared" si="1"/>
        <v>Sí</v>
      </c>
    </row>
    <row r="62" spans="1:15" ht="60" customHeight="1" x14ac:dyDescent="0.2">
      <c r="A62" s="146" t="s">
        <v>1624</v>
      </c>
      <c r="B62" s="147" t="s">
        <v>255</v>
      </c>
      <c r="C62" s="147" t="str">
        <f>IF(B62="","",IFERROR(INDEX('UNIVERSO MAESTRO'!$C$6:$C$497,MATCH(B62,'UNIVERSO MAESTRO'!$A$6:$A$497,0)),"⚠ ID no encontrado"))</f>
        <v>Apple TV (Leagues Cup MLS-Liga MX)</v>
      </c>
      <c r="D62" s="54" t="str">
        <f>IF(B62="","",IFERROR(INDEX('UNIVERSO MAESTRO'!$D$6:$D$497,MATCH(B62,'UNIVERSO MAESTRO'!$A$6:$A$497,0)),""))</f>
        <v>V2</v>
      </c>
      <c r="E62" s="147" t="s">
        <v>969</v>
      </c>
      <c r="F62" s="53" t="str">
        <f>IF(E62="","",IFERROR(INDEX('UNIVERSO MAESTRO'!$C$6:$C$497,MATCH(E62,'UNIVERSO MAESTRO'!$A$6:$A$497,0)),"⚠ ID no encontrado"))</f>
        <v>Liga MX</v>
      </c>
      <c r="G62" s="54" t="str">
        <f>IF(E62="","",IFERROR(INDEX('UNIVERSO MAESTRO'!$D$6:$D$497,MATCH(E62,'UNIVERSO MAESTRO'!$A$6:$A$497,0)),""))</f>
        <v>V1</v>
      </c>
      <c r="H62" s="147" t="s">
        <v>1605</v>
      </c>
      <c r="I62" s="147" t="s">
        <v>1579</v>
      </c>
      <c r="J62" s="147" t="s">
        <v>1574</v>
      </c>
      <c r="K62" s="148" t="s">
        <v>1625</v>
      </c>
      <c r="L62" s="148" t="s">
        <v>1626</v>
      </c>
      <c r="M62" s="148" t="s">
        <v>1627</v>
      </c>
      <c r="N62" s="54" t="str">
        <f t="shared" si="0"/>
        <v>Sí</v>
      </c>
      <c r="O62" s="54" t="str">
        <f t="shared" si="1"/>
        <v>Sí</v>
      </c>
    </row>
    <row r="63" spans="1:15" ht="60" customHeight="1" x14ac:dyDescent="0.2">
      <c r="A63" s="146" t="s">
        <v>1628</v>
      </c>
      <c r="B63" s="147" t="s">
        <v>255</v>
      </c>
      <c r="C63" s="147" t="str">
        <f>IF(B63="","",IFERROR(INDEX('UNIVERSO MAESTRO'!$C$6:$C$497,MATCH(B63,'UNIVERSO MAESTRO'!$A$6:$A$497,0)),"⚠ ID no encontrado"))</f>
        <v>Apple TV (Leagues Cup MLS-Liga MX)</v>
      </c>
      <c r="D63" s="54" t="str">
        <f>IF(B63="","",IFERROR(INDEX('UNIVERSO MAESTRO'!$D$6:$D$497,MATCH(B63,'UNIVERSO MAESTRO'!$A$6:$A$497,0)),""))</f>
        <v>V2</v>
      </c>
      <c r="E63" s="147" t="s">
        <v>1391</v>
      </c>
      <c r="F63" s="53" t="str">
        <f>IF(E63="","",IFERROR(INDEX('UNIVERSO MAESTRO'!$C$6:$C$497,MATCH(E63,'UNIVERSO MAESTRO'!$A$6:$A$497,0)),"⚠ ID no encontrado"))</f>
        <v>SUM (Soccer United Marketing)</v>
      </c>
      <c r="G63" s="54" t="str">
        <f>IF(E63="","",IFERROR(INDEX('UNIVERSO MAESTRO'!$D$6:$D$497,MATCH(E63,'UNIVERSO MAESTRO'!$A$6:$A$497,0)),""))</f>
        <v>V4</v>
      </c>
      <c r="H63" s="147" t="s">
        <v>1605</v>
      </c>
      <c r="I63" s="147" t="s">
        <v>1573</v>
      </c>
      <c r="J63" s="147" t="s">
        <v>1574</v>
      </c>
      <c r="K63" s="148" t="s">
        <v>1629</v>
      </c>
      <c r="L63" s="148" t="s">
        <v>1630</v>
      </c>
      <c r="M63" s="148" t="s">
        <v>1631</v>
      </c>
      <c r="N63" s="54" t="str">
        <f t="shared" si="0"/>
        <v>Sí</v>
      </c>
      <c r="O63" s="54" t="str">
        <f t="shared" si="1"/>
        <v>Sí</v>
      </c>
    </row>
    <row r="64" spans="1:15" ht="60" customHeight="1" x14ac:dyDescent="0.2">
      <c r="A64" s="146" t="s">
        <v>1687</v>
      </c>
      <c r="B64" s="147" t="s">
        <v>336</v>
      </c>
      <c r="C64" s="147" t="str">
        <f>IF(B64="","",IFERROR(INDEX('UNIVERSO MAESTRO'!$C$6:$C$497,MATCH(B64,'UNIVERSO MAESTRO'!$A$6:$A$497,0)),"⚠ ID no encontrado"))</f>
        <v>Box to Box Films (LATAM operations)</v>
      </c>
      <c r="D64" s="54" t="str">
        <f>IF(B64="","",IFERROR(INDEX('UNIVERSO MAESTRO'!$D$6:$D$497,MATCH(B64,'UNIVERSO MAESTRO'!$A$6:$A$497,0)),""))</f>
        <v>V2</v>
      </c>
      <c r="E64" s="147" t="s">
        <v>354</v>
      </c>
      <c r="F64" s="53" t="str">
        <f>IF(E64="","",IFERROR(INDEX('UNIVERSO MAESTRO'!$C$6:$C$497,MATCH(E64,'UNIVERSO MAESTRO'!$A$6:$A$497,0)),"⚠ ID no encontrado"))</f>
        <v>Canelo Promotions / Saúl Álvarez</v>
      </c>
      <c r="G64" s="54" t="str">
        <f>IF(E64="","",IFERROR(INDEX('UNIVERSO MAESTRO'!$D$6:$D$497,MATCH(E64,'UNIVERSO MAESTRO'!$A$6:$A$497,0)),""))</f>
        <v>V1</v>
      </c>
      <c r="H64" s="147" t="s">
        <v>1605</v>
      </c>
      <c r="I64" s="147" t="s">
        <v>1579</v>
      </c>
      <c r="J64" s="147" t="s">
        <v>1574</v>
      </c>
      <c r="K64" s="148" t="s">
        <v>1688</v>
      </c>
      <c r="L64" s="148" t="s">
        <v>1689</v>
      </c>
      <c r="M64" s="148" t="s">
        <v>1690</v>
      </c>
      <c r="N64" s="54" t="str">
        <f t="shared" si="0"/>
        <v>Sí</v>
      </c>
      <c r="O64" s="54" t="str">
        <f t="shared" si="1"/>
        <v>Sí</v>
      </c>
    </row>
    <row r="65" spans="1:15" ht="60" customHeight="1" x14ac:dyDescent="0.2">
      <c r="A65" s="146" t="s">
        <v>1775</v>
      </c>
      <c r="B65" s="147" t="s">
        <v>504</v>
      </c>
      <c r="C65" s="147" t="str">
        <f>IF(B65="","",IFERROR(INDEX('UNIVERSO MAESTRO'!$C$6:$C$497,MATCH(B65,'UNIVERSO MAESTRO'!$A$6:$A$497,0)),"⚠ ID no encontrado"))</f>
        <v>DAZN México</v>
      </c>
      <c r="D65" s="54" t="str">
        <f>IF(B65="","",IFERROR(INDEX('UNIVERSO MAESTRO'!$D$6:$D$497,MATCH(B65,'UNIVERSO MAESTRO'!$A$6:$A$497,0)),""))</f>
        <v>V2</v>
      </c>
      <c r="E65" s="147" t="s">
        <v>354</v>
      </c>
      <c r="F65" s="53" t="str">
        <f>IF(E65="","",IFERROR(INDEX('UNIVERSO MAESTRO'!$C$6:$C$497,MATCH(E65,'UNIVERSO MAESTRO'!$A$6:$A$497,0)),"⚠ ID no encontrado"))</f>
        <v>Canelo Promotions / Saúl Álvarez</v>
      </c>
      <c r="G65" s="54" t="str">
        <f>IF(E65="","",IFERROR(INDEX('UNIVERSO MAESTRO'!$D$6:$D$497,MATCH(E65,'UNIVERSO MAESTRO'!$A$6:$A$497,0)),""))</f>
        <v>V1</v>
      </c>
      <c r="H65" s="147" t="s">
        <v>1605</v>
      </c>
      <c r="I65" s="147" t="s">
        <v>1579</v>
      </c>
      <c r="J65" s="147" t="s">
        <v>1574</v>
      </c>
      <c r="K65" s="148" t="s">
        <v>1776</v>
      </c>
      <c r="L65" s="148" t="s">
        <v>1777</v>
      </c>
      <c r="M65" s="148" t="s">
        <v>1778</v>
      </c>
      <c r="N65" s="54" t="str">
        <f t="shared" si="0"/>
        <v>Sí</v>
      </c>
      <c r="O65" s="54" t="str">
        <f t="shared" si="1"/>
        <v>Sí</v>
      </c>
    </row>
    <row r="66" spans="1:15" ht="60" customHeight="1" x14ac:dyDescent="0.2">
      <c r="A66" s="146" t="s">
        <v>1828</v>
      </c>
      <c r="B66" s="147" t="s">
        <v>549</v>
      </c>
      <c r="C66" s="147" t="str">
        <f>IF(B66="","",IFERROR(INDEX('UNIVERSO MAESTRO'!$C$6:$C$497,MATCH(B66,'UNIVERSO MAESTRO'!$A$6:$A$497,0)),"⚠ ID no encontrado"))</f>
        <v>ESPN / Disney+ México</v>
      </c>
      <c r="D66" s="54" t="str">
        <f>IF(B66="","",IFERROR(INDEX('UNIVERSO MAESTRO'!$D$6:$D$497,MATCH(B66,'UNIVERSO MAESTRO'!$A$6:$A$497,0)),""))</f>
        <v>V2</v>
      </c>
      <c r="E66" s="147" t="s">
        <v>969</v>
      </c>
      <c r="F66" s="53" t="str">
        <f>IF(E66="","",IFERROR(INDEX('UNIVERSO MAESTRO'!$C$6:$C$497,MATCH(E66,'UNIVERSO MAESTRO'!$A$6:$A$497,0)),"⚠ ID no encontrado"))</f>
        <v>Liga MX</v>
      </c>
      <c r="G66" s="54" t="str">
        <f>IF(E66="","",IFERROR(INDEX('UNIVERSO MAESTRO'!$D$6:$D$497,MATCH(E66,'UNIVERSO MAESTRO'!$A$6:$A$497,0)),""))</f>
        <v>V1</v>
      </c>
      <c r="H66" s="147" t="s">
        <v>1605</v>
      </c>
      <c r="I66" s="147" t="s">
        <v>1573</v>
      </c>
      <c r="J66" s="147" t="s">
        <v>1574</v>
      </c>
      <c r="K66" s="148" t="s">
        <v>1829</v>
      </c>
      <c r="L66" s="148" t="s">
        <v>1830</v>
      </c>
      <c r="M66" s="148" t="s">
        <v>1831</v>
      </c>
      <c r="N66" s="54" t="str">
        <f t="shared" si="0"/>
        <v>Sí</v>
      </c>
      <c r="O66" s="54" t="str">
        <f t="shared" si="1"/>
        <v>Sí</v>
      </c>
    </row>
    <row r="67" spans="1:15" ht="60" customHeight="1" x14ac:dyDescent="0.2">
      <c r="A67" s="146" t="s">
        <v>1832</v>
      </c>
      <c r="B67" s="147" t="s">
        <v>549</v>
      </c>
      <c r="C67" s="147" t="str">
        <f>IF(B67="","",IFERROR(INDEX('UNIVERSO MAESTRO'!$C$6:$C$497,MATCH(B67,'UNIVERSO MAESTRO'!$A$6:$A$497,0)),"⚠ ID no encontrado"))</f>
        <v>ESPN / Disney+ México</v>
      </c>
      <c r="D67" s="54" t="str">
        <f>IF(B67="","",IFERROR(INDEX('UNIVERSO MAESTRO'!$D$6:$D$497,MATCH(B67,'UNIVERSO MAESTRO'!$A$6:$A$497,0)),""))</f>
        <v>V2</v>
      </c>
      <c r="E67" s="147" t="s">
        <v>1416</v>
      </c>
      <c r="F67" s="53" t="str">
        <f>IF(E67="","",IFERROR(INDEX('UNIVERSO MAESTRO'!$C$6:$C$497,MATCH(E67,'UNIVERSO MAESTRO'!$A$6:$A$497,0)),"⚠ ID no encontrado"))</f>
        <v>TelevisaUnivision</v>
      </c>
      <c r="G67" s="54" t="str">
        <f>IF(E67="","",IFERROR(INDEX('UNIVERSO MAESTRO'!$D$6:$D$497,MATCH(E67,'UNIVERSO MAESTRO'!$A$6:$A$497,0)),""))</f>
        <v>V2</v>
      </c>
      <c r="H67" s="147" t="s">
        <v>1605</v>
      </c>
      <c r="I67" s="147" t="s">
        <v>1611</v>
      </c>
      <c r="J67" s="147" t="s">
        <v>1574</v>
      </c>
      <c r="K67" s="148" t="s">
        <v>1833</v>
      </c>
      <c r="L67" s="148"/>
      <c r="M67" s="148" t="s">
        <v>1834</v>
      </c>
      <c r="N67" s="54" t="str">
        <f t="shared" si="0"/>
        <v>No</v>
      </c>
      <c r="O67" s="54" t="str">
        <f t="shared" si="1"/>
        <v>No</v>
      </c>
    </row>
    <row r="68" spans="1:15" ht="60" customHeight="1" x14ac:dyDescent="0.2">
      <c r="A68" s="146" t="s">
        <v>1835</v>
      </c>
      <c r="B68" s="147" t="s">
        <v>549</v>
      </c>
      <c r="C68" s="147" t="str">
        <f>IF(B68="","",IFERROR(INDEX('UNIVERSO MAESTRO'!$C$6:$C$497,MATCH(B68,'UNIVERSO MAESTRO'!$A$6:$A$497,0)),"⚠ ID no encontrado"))</f>
        <v>ESPN / Disney+ México</v>
      </c>
      <c r="D68" s="54" t="str">
        <f>IF(B68="","",IFERROR(INDEX('UNIVERSO MAESTRO'!$D$6:$D$497,MATCH(B68,'UNIVERSO MAESTRO'!$A$6:$A$497,0)),""))</f>
        <v>V2</v>
      </c>
      <c r="E68" s="147" t="s">
        <v>1416</v>
      </c>
      <c r="F68" s="53" t="str">
        <f>IF(E68="","",IFERROR(INDEX('UNIVERSO MAESTRO'!$C$6:$C$497,MATCH(E68,'UNIVERSO MAESTRO'!$A$6:$A$497,0)),"⚠ ID no encontrado"))</f>
        <v>TelevisaUnivision</v>
      </c>
      <c r="G68" s="54" t="str">
        <f>IF(E68="","",IFERROR(INDEX('UNIVERSO MAESTRO'!$D$6:$D$497,MATCH(E68,'UNIVERSO MAESTRO'!$A$6:$A$497,0)),""))</f>
        <v>V2</v>
      </c>
      <c r="H68" s="147" t="s">
        <v>1620</v>
      </c>
      <c r="I68" s="147" t="s">
        <v>1573</v>
      </c>
      <c r="J68" s="147" t="s">
        <v>1574</v>
      </c>
      <c r="K68" s="148" t="s">
        <v>1836</v>
      </c>
      <c r="L68" s="148" t="s">
        <v>1837</v>
      </c>
      <c r="M68" s="148" t="s">
        <v>1838</v>
      </c>
      <c r="N68" s="54" t="str">
        <f t="shared" si="0"/>
        <v>No</v>
      </c>
      <c r="O68" s="54" t="str">
        <f t="shared" si="1"/>
        <v>Sí</v>
      </c>
    </row>
    <row r="69" spans="1:15" ht="60" customHeight="1" x14ac:dyDescent="0.2">
      <c r="A69" s="146" t="s">
        <v>1907</v>
      </c>
      <c r="B69" s="147" t="s">
        <v>647</v>
      </c>
      <c r="C69" s="147" t="str">
        <f>IF(B69="","",IFERROR(INDEX('UNIVERSO MAESTRO'!$C$6:$C$497,MATCH(B69,'UNIVERSO MAESTRO'!$A$6:$A$497,0)),"⚠ ID no encontrado"))</f>
        <v>Fox Corporation / FOX One / Tubi México</v>
      </c>
      <c r="D69" s="54" t="str">
        <f>IF(B69="","",IFERROR(INDEX('UNIVERSO MAESTRO'!$D$6:$D$497,MATCH(B69,'UNIVERSO MAESTRO'!$A$6:$A$497,0)),""))</f>
        <v>V2</v>
      </c>
      <c r="E69" s="147" t="s">
        <v>377</v>
      </c>
      <c r="F69" s="53" t="str">
        <f>IF(E69="","",IFERROR(INDEX('UNIVERSO MAESTRO'!$C$6:$C$497,MATCH(E69,'UNIVERSO MAESTRO'!$A$6:$A$497,0)),"⚠ ID no encontrado"))</f>
        <v>CEMEX / Sinergia Deportiva</v>
      </c>
      <c r="G69" s="54" t="str">
        <f>IF(E69="","",IFERROR(INDEX('UNIVERSO MAESTRO'!$D$6:$D$497,MATCH(E69,'UNIVERSO MAESTRO'!$A$6:$A$497,0)),""))</f>
        <v>V9</v>
      </c>
      <c r="H69" s="147" t="s">
        <v>1605</v>
      </c>
      <c r="I69" s="147" t="s">
        <v>1573</v>
      </c>
      <c r="J69" s="147" t="s">
        <v>1574</v>
      </c>
      <c r="K69" s="148" t="s">
        <v>1908</v>
      </c>
      <c r="L69" s="148" t="s">
        <v>1909</v>
      </c>
      <c r="M69" s="148" t="s">
        <v>1910</v>
      </c>
      <c r="N69" s="54" t="str">
        <f t="shared" si="0"/>
        <v>Sí</v>
      </c>
      <c r="O69" s="54" t="str">
        <f t="shared" si="1"/>
        <v>Sí</v>
      </c>
    </row>
    <row r="70" spans="1:15" ht="60" customHeight="1" x14ac:dyDescent="0.2">
      <c r="A70" s="146" t="s">
        <v>1911</v>
      </c>
      <c r="B70" s="147" t="s">
        <v>647</v>
      </c>
      <c r="C70" s="147" t="str">
        <f>IF(B70="","",IFERROR(INDEX('UNIVERSO MAESTRO'!$C$6:$C$497,MATCH(B70,'UNIVERSO MAESTRO'!$A$6:$A$497,0)),"⚠ ID no encontrado"))</f>
        <v>Fox Corporation / FOX One / Tubi México</v>
      </c>
      <c r="D70" s="54" t="str">
        <f>IF(B70="","",IFERROR(INDEX('UNIVERSO MAESTRO'!$D$6:$D$497,MATCH(B70,'UNIVERSO MAESTRO'!$A$6:$A$497,0)),""))</f>
        <v>V2</v>
      </c>
      <c r="E70" s="147" t="s">
        <v>622</v>
      </c>
      <c r="F70" s="53" t="str">
        <f>IF(E70="","",IFERROR(INDEX('UNIVERSO MAESTRO'!$C$6:$C$497,MATCH(E70,'UNIVERSO MAESTRO'!$A$6:$A$497,0)),"⚠ ID no encontrado"))</f>
        <v>FEMSA / Club de Fútbol Monterrey Rayados</v>
      </c>
      <c r="G70" s="54" t="str">
        <f>IF(E70="","",IFERROR(INDEX('UNIVERSO MAESTRO'!$D$6:$D$497,MATCH(E70,'UNIVERSO MAESTRO'!$A$6:$A$497,0)),""))</f>
        <v>V9</v>
      </c>
      <c r="H70" s="147" t="s">
        <v>1605</v>
      </c>
      <c r="I70" s="147" t="s">
        <v>1573</v>
      </c>
      <c r="J70" s="147" t="s">
        <v>1574</v>
      </c>
      <c r="K70" s="148" t="s">
        <v>1912</v>
      </c>
      <c r="L70" s="148" t="s">
        <v>1913</v>
      </c>
      <c r="M70" s="148" t="s">
        <v>1910</v>
      </c>
      <c r="N70" s="54" t="str">
        <f t="shared" ref="N70:N133" si="2">IF(OR(B70="",E70=""),"",IF(D70=G70,"No","Sí"))</f>
        <v>Sí</v>
      </c>
      <c r="O70" s="54" t="str">
        <f t="shared" ref="O70:O133" si="3">IF(I70="","",IF(I70="R3","No","Sí"))</f>
        <v>Sí</v>
      </c>
    </row>
    <row r="71" spans="1:15" ht="60" customHeight="1" x14ac:dyDescent="0.2">
      <c r="A71" s="146" t="s">
        <v>1914</v>
      </c>
      <c r="B71" s="147" t="s">
        <v>647</v>
      </c>
      <c r="C71" s="147" t="str">
        <f>IF(B71="","",IFERROR(INDEX('UNIVERSO MAESTRO'!$C$6:$C$497,MATCH(B71,'UNIVERSO MAESTRO'!$A$6:$A$497,0)),"⚠ ID no encontrado"))</f>
        <v>Fox Corporation / FOX One / Tubi México</v>
      </c>
      <c r="D71" s="54" t="str">
        <f>IF(B71="","",IFERROR(INDEX('UNIVERSO MAESTRO'!$D$6:$D$497,MATCH(B71,'UNIVERSO MAESTRO'!$A$6:$A$497,0)),""))</f>
        <v>V2</v>
      </c>
      <c r="E71" s="147" t="s">
        <v>739</v>
      </c>
      <c r="F71" s="53" t="str">
        <f>IF(E71="","",IFERROR(INDEX('UNIVERSO MAESTRO'!$C$6:$C$497,MATCH(E71,'UNIVERSO MAESTRO'!$A$6:$A$497,0)),"⚠ ID no encontrado"))</f>
        <v>Grupo Caliente / Corporación Caliente, S.A. de C.V.</v>
      </c>
      <c r="G71" s="54" t="str">
        <f>IF(E71="","",IFERROR(INDEX('UNIVERSO MAESTRO'!$D$6:$D$497,MATCH(E71,'UNIVERSO MAESTRO'!$A$6:$A$497,0)),""))</f>
        <v>V9</v>
      </c>
      <c r="H71" s="147" t="s">
        <v>1610</v>
      </c>
      <c r="I71" s="147" t="s">
        <v>1579</v>
      </c>
      <c r="J71" s="147" t="s">
        <v>1574</v>
      </c>
      <c r="K71" s="148" t="s">
        <v>1915</v>
      </c>
      <c r="L71" s="148" t="s">
        <v>1916</v>
      </c>
      <c r="M71" s="148" t="s">
        <v>1917</v>
      </c>
      <c r="N71" s="54" t="str">
        <f t="shared" si="2"/>
        <v>Sí</v>
      </c>
      <c r="O71" s="54" t="str">
        <f t="shared" si="3"/>
        <v>Sí</v>
      </c>
    </row>
    <row r="72" spans="1:15" ht="60" customHeight="1" x14ac:dyDescent="0.2">
      <c r="A72" s="146" t="s">
        <v>1918</v>
      </c>
      <c r="B72" s="147" t="s">
        <v>647</v>
      </c>
      <c r="C72" s="147" t="str">
        <f>IF(B72="","",IFERROR(INDEX('UNIVERSO MAESTRO'!$C$6:$C$497,MATCH(B72,'UNIVERSO MAESTRO'!$A$6:$A$497,0)),"⚠ ID no encontrado"))</f>
        <v>Fox Corporation / FOX One / Tubi México</v>
      </c>
      <c r="D72" s="54" t="str">
        <f>IF(B72="","",IFERROR(INDEX('UNIVERSO MAESTRO'!$D$6:$D$497,MATCH(B72,'UNIVERSO MAESTRO'!$A$6:$A$497,0)),""))</f>
        <v>V2</v>
      </c>
      <c r="E72" s="147" t="s">
        <v>793</v>
      </c>
      <c r="F72" s="53" t="str">
        <f>IF(E72="","",IFERROR(INDEX('UNIVERSO MAESTRO'!$C$6:$C$497,MATCH(E72,'UNIVERSO MAESTRO'!$A$6:$A$497,0)),"⚠ ID no encontrado"))</f>
        <v>Grupo Pachuca</v>
      </c>
      <c r="G72" s="54" t="str">
        <f>IF(E72="","",IFERROR(INDEX('UNIVERSO MAESTRO'!$D$6:$D$497,MATCH(E72,'UNIVERSO MAESTRO'!$A$6:$A$497,0)),""))</f>
        <v>V9</v>
      </c>
      <c r="H72" s="147" t="s">
        <v>1605</v>
      </c>
      <c r="I72" s="147" t="s">
        <v>1573</v>
      </c>
      <c r="J72" s="147" t="s">
        <v>1574</v>
      </c>
      <c r="K72" s="148" t="s">
        <v>1919</v>
      </c>
      <c r="L72" s="148"/>
      <c r="M72" s="148" t="s">
        <v>1920</v>
      </c>
      <c r="N72" s="54" t="str">
        <f t="shared" si="2"/>
        <v>Sí</v>
      </c>
      <c r="O72" s="54" t="str">
        <f t="shared" si="3"/>
        <v>Sí</v>
      </c>
    </row>
    <row r="73" spans="1:15" ht="60" customHeight="1" x14ac:dyDescent="0.2">
      <c r="A73" s="146" t="s">
        <v>1921</v>
      </c>
      <c r="B73" s="147" t="s">
        <v>647</v>
      </c>
      <c r="C73" s="147" t="str">
        <f>IF(B73="","",IFERROR(INDEX('UNIVERSO MAESTRO'!$C$6:$C$497,MATCH(B73,'UNIVERSO MAESTRO'!$A$6:$A$497,0)),"⚠ ID no encontrado"))</f>
        <v>Fox Corporation / FOX One / Tubi México</v>
      </c>
      <c r="D73" s="54" t="str">
        <f>IF(B73="","",IFERROR(INDEX('UNIVERSO MAESTRO'!$D$6:$D$497,MATCH(B73,'UNIVERSO MAESTRO'!$A$6:$A$497,0)),""))</f>
        <v>V2</v>
      </c>
      <c r="E73" s="147" t="s">
        <v>1416</v>
      </c>
      <c r="F73" s="53" t="str">
        <f>IF(E73="","",IFERROR(INDEX('UNIVERSO MAESTRO'!$C$6:$C$497,MATCH(E73,'UNIVERSO MAESTRO'!$A$6:$A$497,0)),"⚠ ID no encontrado"))</f>
        <v>TelevisaUnivision</v>
      </c>
      <c r="G73" s="54" t="str">
        <f>IF(E73="","",IFERROR(INDEX('UNIVERSO MAESTRO'!$D$6:$D$497,MATCH(E73,'UNIVERSO MAESTRO'!$A$6:$A$497,0)),""))</f>
        <v>V2</v>
      </c>
      <c r="H73" s="147" t="s">
        <v>1605</v>
      </c>
      <c r="I73" s="147" t="s">
        <v>1573</v>
      </c>
      <c r="J73" s="147" t="s">
        <v>1574</v>
      </c>
      <c r="K73" s="148" t="s">
        <v>1922</v>
      </c>
      <c r="L73" s="148"/>
      <c r="M73" s="148" t="s">
        <v>1923</v>
      </c>
      <c r="N73" s="54" t="str">
        <f t="shared" si="2"/>
        <v>No</v>
      </c>
      <c r="O73" s="54" t="str">
        <f t="shared" si="3"/>
        <v>Sí</v>
      </c>
    </row>
    <row r="74" spans="1:15" ht="60" customHeight="1" x14ac:dyDescent="0.2">
      <c r="A74" s="146" t="s">
        <v>1924</v>
      </c>
      <c r="B74" s="147" t="s">
        <v>654</v>
      </c>
      <c r="C74" s="147" t="str">
        <f>IF(B74="","",IFERROR(INDEX('UNIVERSO MAESTRO'!$C$6:$C$497,MATCH(B74,'UNIVERSO MAESTRO'!$A$6:$A$497,0)),"⚠ ID no encontrado"))</f>
        <v>Fox Sports México / Grupo Lauman</v>
      </c>
      <c r="D74" s="54" t="str">
        <f>IF(B74="","",IFERROR(INDEX('UNIVERSO MAESTRO'!$D$6:$D$497,MATCH(B74,'UNIVERSO MAESTRO'!$A$6:$A$497,0)),""))</f>
        <v>V2</v>
      </c>
      <c r="E74" s="147" t="s">
        <v>647</v>
      </c>
      <c r="F74" s="53" t="str">
        <f>IF(E74="","",IFERROR(INDEX('UNIVERSO MAESTRO'!$C$6:$C$497,MATCH(E74,'UNIVERSO MAESTRO'!$A$6:$A$497,0)),"⚠ ID no encontrado"))</f>
        <v>Fox Corporation / FOX One / Tubi México</v>
      </c>
      <c r="G74" s="54" t="str">
        <f>IF(E74="","",IFERROR(INDEX('UNIVERSO MAESTRO'!$D$6:$D$497,MATCH(E74,'UNIVERSO MAESTRO'!$A$6:$A$497,0)),""))</f>
        <v>V2</v>
      </c>
      <c r="H74" s="147" t="s">
        <v>1610</v>
      </c>
      <c r="I74" s="147" t="s">
        <v>1579</v>
      </c>
      <c r="J74" s="147" t="s">
        <v>1574</v>
      </c>
      <c r="K74" s="148" t="s">
        <v>1925</v>
      </c>
      <c r="L74" s="148" t="s">
        <v>1926</v>
      </c>
      <c r="M74" s="148" t="s">
        <v>1927</v>
      </c>
      <c r="N74" s="54" t="str">
        <f t="shared" si="2"/>
        <v>No</v>
      </c>
      <c r="O74" s="54" t="str">
        <f t="shared" si="3"/>
        <v>Sí</v>
      </c>
    </row>
    <row r="75" spans="1:15" ht="60" customHeight="1" x14ac:dyDescent="0.2">
      <c r="A75" s="146" t="s">
        <v>2147</v>
      </c>
      <c r="B75" s="147" t="s">
        <v>1024</v>
      </c>
      <c r="C75" s="147" t="str">
        <f>IF(B75="","",IFERROR(INDEX('UNIVERSO MAESTRO'!$C$6:$C$497,MATCH(B75,'UNIVERSO MAESTRO'!$A$6:$A$497,0)),"⚠ ID no encontrado"))</f>
        <v>Max / HBO Max Warner Bros. Discovery</v>
      </c>
      <c r="D75" s="54" t="str">
        <f>IF(B75="","",IFERROR(INDEX('UNIVERSO MAESTRO'!$D$6:$D$497,MATCH(B75,'UNIVERSO MAESTRO'!$A$6:$A$497,0)),""))</f>
        <v>V2</v>
      </c>
      <c r="E75" s="147" t="s">
        <v>969</v>
      </c>
      <c r="F75" s="53" t="str">
        <f>IF(E75="","",IFERROR(INDEX('UNIVERSO MAESTRO'!$C$6:$C$497,MATCH(E75,'UNIVERSO MAESTRO'!$A$6:$A$497,0)),"⚠ ID no encontrado"))</f>
        <v>Liga MX</v>
      </c>
      <c r="G75" s="54" t="str">
        <f>IF(E75="","",IFERROR(INDEX('UNIVERSO MAESTRO'!$D$6:$D$497,MATCH(E75,'UNIVERSO MAESTRO'!$A$6:$A$497,0)),""))</f>
        <v>V1</v>
      </c>
      <c r="H75" s="147" t="s">
        <v>1605</v>
      </c>
      <c r="I75" s="147" t="s">
        <v>1573</v>
      </c>
      <c r="J75" s="147" t="s">
        <v>1574</v>
      </c>
      <c r="K75" s="148" t="s">
        <v>2148</v>
      </c>
      <c r="L75" s="148" t="s">
        <v>2149</v>
      </c>
      <c r="M75" s="148" t="s">
        <v>2150</v>
      </c>
      <c r="N75" s="54" t="str">
        <f t="shared" si="2"/>
        <v>Sí</v>
      </c>
      <c r="O75" s="54" t="str">
        <f t="shared" si="3"/>
        <v>Sí</v>
      </c>
    </row>
    <row r="76" spans="1:15" ht="60" customHeight="1" x14ac:dyDescent="0.2">
      <c r="A76" s="146" t="s">
        <v>2169</v>
      </c>
      <c r="B76" s="147" t="s">
        <v>1109</v>
      </c>
      <c r="C76" s="147" t="str">
        <f>IF(B76="","",IFERROR(INDEX('UNIVERSO MAESTRO'!$C$6:$C$497,MATCH(B76,'UNIVERSO MAESTRO'!$A$6:$A$497,0)),"⚠ ID no encontrado"))</f>
        <v>Netflix México</v>
      </c>
      <c r="D76" s="54" t="str">
        <f>IF(B76="","",IFERROR(INDEX('UNIVERSO MAESTRO'!$D$6:$D$497,MATCH(B76,'UNIVERSO MAESTRO'!$A$6:$A$497,0)),""))</f>
        <v>V2</v>
      </c>
      <c r="E76" s="147" t="s">
        <v>614</v>
      </c>
      <c r="F76" s="53" t="str">
        <f>IF(E76="","",IFERROR(INDEX('UNIVERSO MAESTRO'!$C$6:$C$497,MATCH(E76,'UNIVERSO MAESTRO'!$A$6:$A$497,0)),"⚠ ID no encontrado"))</f>
        <v>Federación Mexicana de Fútbol</v>
      </c>
      <c r="G76" s="54" t="str">
        <f>IF(E76="","",IFERROR(INDEX('UNIVERSO MAESTRO'!$D$6:$D$497,MATCH(E76,'UNIVERSO MAESTRO'!$A$6:$A$497,0)),""))</f>
        <v>V1</v>
      </c>
      <c r="H76" s="147" t="s">
        <v>1605</v>
      </c>
      <c r="I76" s="147" t="s">
        <v>1579</v>
      </c>
      <c r="J76" s="147" t="s">
        <v>1574</v>
      </c>
      <c r="K76" s="148" t="s">
        <v>2170</v>
      </c>
      <c r="L76" s="148" t="s">
        <v>2171</v>
      </c>
      <c r="M76" s="148" t="s">
        <v>2172</v>
      </c>
      <c r="N76" s="54" t="str">
        <f t="shared" si="2"/>
        <v>Sí</v>
      </c>
      <c r="O76" s="54" t="str">
        <f t="shared" si="3"/>
        <v>Sí</v>
      </c>
    </row>
    <row r="77" spans="1:15" ht="60" customHeight="1" x14ac:dyDescent="0.2">
      <c r="A77" s="146" t="s">
        <v>2173</v>
      </c>
      <c r="B77" s="147" t="s">
        <v>1109</v>
      </c>
      <c r="C77" s="147" t="str">
        <f>IF(B77="","",IFERROR(INDEX('UNIVERSO MAESTRO'!$C$6:$C$497,MATCH(B77,'UNIVERSO MAESTRO'!$A$6:$A$497,0)),"⚠ ID no encontrado"))</f>
        <v>Netflix México</v>
      </c>
      <c r="D77" s="54" t="str">
        <f>IF(B77="","",IFERROR(INDEX('UNIVERSO MAESTRO'!$D$6:$D$497,MATCH(B77,'UNIVERSO MAESTRO'!$A$6:$A$497,0)),""))</f>
        <v>V2</v>
      </c>
      <c r="E77" s="147" t="s">
        <v>1416</v>
      </c>
      <c r="F77" s="53" t="str">
        <f>IF(E77="","",IFERROR(INDEX('UNIVERSO MAESTRO'!$C$6:$C$497,MATCH(E77,'UNIVERSO MAESTRO'!$A$6:$A$497,0)),"⚠ ID no encontrado"))</f>
        <v>TelevisaUnivision</v>
      </c>
      <c r="G77" s="54" t="str">
        <f>IF(E77="","",IFERROR(INDEX('UNIVERSO MAESTRO'!$D$6:$D$497,MATCH(E77,'UNIVERSO MAESTRO'!$A$6:$A$497,0)),""))</f>
        <v>V2</v>
      </c>
      <c r="H77" s="147" t="s">
        <v>1605</v>
      </c>
      <c r="I77" s="147" t="s">
        <v>1573</v>
      </c>
      <c r="J77" s="147" t="s">
        <v>1574</v>
      </c>
      <c r="K77" s="148" t="s">
        <v>2174</v>
      </c>
      <c r="L77" s="148"/>
      <c r="M77" s="148" t="s">
        <v>2175</v>
      </c>
      <c r="N77" s="54" t="str">
        <f t="shared" si="2"/>
        <v>No</v>
      </c>
      <c r="O77" s="54" t="str">
        <f t="shared" si="3"/>
        <v>Sí</v>
      </c>
    </row>
    <row r="78" spans="1:15" ht="60" customHeight="1" x14ac:dyDescent="0.2">
      <c r="A78" s="146" t="s">
        <v>2203</v>
      </c>
      <c r="B78" s="147" t="s">
        <v>1188</v>
      </c>
      <c r="C78" s="147" t="str">
        <f>IF(B78="","",IFERROR(INDEX('UNIVERSO MAESTRO'!$C$6:$C$497,MATCH(B78,'UNIVERSO MAESTRO'!$A$6:$A$497,0)),"⚠ ID no encontrado"))</f>
        <v>Paramount+ / Pluto TV</v>
      </c>
      <c r="D78" s="54" t="str">
        <f>IF(B78="","",IFERROR(INDEX('UNIVERSO MAESTRO'!$D$6:$D$497,MATCH(B78,'UNIVERSO MAESTRO'!$A$6:$A$497,0)),""))</f>
        <v>V2</v>
      </c>
      <c r="E78" s="147" t="s">
        <v>537</v>
      </c>
      <c r="F78" s="53" t="str">
        <f>IF(E78="","",IFERROR(INDEX('UNIVERSO MAESTRO'!$C$6:$C$497,MATCH(E78,'UNIVERSO MAESTRO'!$A$6:$A$497,0)),"⚠ ID no encontrado"))</f>
        <v>Endeavor / WME Group</v>
      </c>
      <c r="G78" s="54" t="str">
        <f>IF(E78="","",IFERROR(INDEX('UNIVERSO MAESTRO'!$D$6:$D$497,MATCH(E78,'UNIVERSO MAESTRO'!$A$6:$A$497,0)),""))</f>
        <v>V9</v>
      </c>
      <c r="H78" s="147" t="s">
        <v>1605</v>
      </c>
      <c r="I78" s="147" t="s">
        <v>1573</v>
      </c>
      <c r="J78" s="147" t="s">
        <v>1574</v>
      </c>
      <c r="K78" s="148" t="s">
        <v>2204</v>
      </c>
      <c r="L78" s="148" t="s">
        <v>2205</v>
      </c>
      <c r="M78" s="148" t="s">
        <v>2206</v>
      </c>
      <c r="N78" s="54" t="str">
        <f t="shared" si="2"/>
        <v>Sí</v>
      </c>
      <c r="O78" s="54" t="str">
        <f t="shared" si="3"/>
        <v>Sí</v>
      </c>
    </row>
    <row r="79" spans="1:15" ht="60" customHeight="1" x14ac:dyDescent="0.2">
      <c r="A79" s="146" t="s">
        <v>2289</v>
      </c>
      <c r="B79" s="147" t="s">
        <v>1333</v>
      </c>
      <c r="C79" s="147" t="str">
        <f>IF(B79="","",IFERROR(INDEX('UNIVERSO MAESTRO'!$C$6:$C$497,MATCH(B79,'UNIVERSO MAESTRO'!$A$6:$A$497,0)),"⚠ ID no encontrado"))</f>
        <v>Sky Sports México / NBCUniversal</v>
      </c>
      <c r="D79" s="54" t="str">
        <f>IF(B79="","",IFERROR(INDEX('UNIVERSO MAESTRO'!$D$6:$D$497,MATCH(B79,'UNIVERSO MAESTRO'!$A$6:$A$497,0)),""))</f>
        <v>V2</v>
      </c>
      <c r="E79" s="147" t="s">
        <v>712</v>
      </c>
      <c r="F79" s="53" t="str">
        <f>IF(E79="","",IFERROR(INDEX('UNIVERSO MAESTRO'!$C$6:$C$497,MATCH(E79,'UNIVERSO MAESTRO'!$A$6:$A$497,0)),"⚠ ID no encontrado"))</f>
        <v>Gran Premio de México — Fórmula 1</v>
      </c>
      <c r="G79" s="54" t="str">
        <f>IF(E79="","",IFERROR(INDEX('UNIVERSO MAESTRO'!$D$6:$D$497,MATCH(E79,'UNIVERSO MAESTRO'!$A$6:$A$497,0)),""))</f>
        <v>V1</v>
      </c>
      <c r="H79" s="147" t="s">
        <v>1605</v>
      </c>
      <c r="I79" s="147" t="s">
        <v>1573</v>
      </c>
      <c r="J79" s="147" t="s">
        <v>1574</v>
      </c>
      <c r="K79" s="148" t="s">
        <v>2290</v>
      </c>
      <c r="L79" s="148" t="s">
        <v>2291</v>
      </c>
      <c r="M79" s="148" t="s">
        <v>2292</v>
      </c>
      <c r="N79" s="54" t="str">
        <f t="shared" si="2"/>
        <v>Sí</v>
      </c>
      <c r="O79" s="54" t="str">
        <f t="shared" si="3"/>
        <v>Sí</v>
      </c>
    </row>
    <row r="80" spans="1:15" ht="60" customHeight="1" x14ac:dyDescent="0.2">
      <c r="A80" s="146" t="s">
        <v>2318</v>
      </c>
      <c r="B80" s="147" t="s">
        <v>1416</v>
      </c>
      <c r="C80" s="147" t="str">
        <f>IF(B80="","",IFERROR(INDEX('UNIVERSO MAESTRO'!$C$6:$C$497,MATCH(B80,'UNIVERSO MAESTRO'!$A$6:$A$497,0)),"⚠ ID no encontrado"))</f>
        <v>TelevisaUnivision</v>
      </c>
      <c r="D80" s="54" t="str">
        <f>IF(B80="","",IFERROR(INDEX('UNIVERSO MAESTRO'!$D$6:$D$497,MATCH(B80,'UNIVERSO MAESTRO'!$A$6:$A$497,0)),""))</f>
        <v>V2</v>
      </c>
      <c r="E80" s="147" t="s">
        <v>214</v>
      </c>
      <c r="F80" s="53" t="str">
        <f>IF(E80="","",IFERROR(INDEX('UNIVERSO MAESTRO'!$C$6:$C$497,MATCH(E80,'UNIVERSO MAESTRO'!$A$6:$A$497,0)),"⚠ ID no encontrado"))</f>
        <v>Akta Cloud Video Platform</v>
      </c>
      <c r="G80" s="54" t="str">
        <f>IF(E80="","",IFERROR(INDEX('UNIVERSO MAESTRO'!$D$6:$D$497,MATCH(E80,'UNIVERSO MAESTRO'!$A$6:$A$497,0)),""))</f>
        <v>V8</v>
      </c>
      <c r="H80" s="147" t="s">
        <v>1592</v>
      </c>
      <c r="I80" s="147" t="s">
        <v>1579</v>
      </c>
      <c r="J80" s="147" t="s">
        <v>1574</v>
      </c>
      <c r="K80" s="148" t="s">
        <v>2319</v>
      </c>
      <c r="L80" s="148" t="s">
        <v>2320</v>
      </c>
      <c r="M80" s="148" t="s">
        <v>2321</v>
      </c>
      <c r="N80" s="54" t="str">
        <f t="shared" si="2"/>
        <v>Sí</v>
      </c>
      <c r="O80" s="54" t="str">
        <f t="shared" si="3"/>
        <v>Sí</v>
      </c>
    </row>
    <row r="81" spans="1:15" ht="60" customHeight="1" x14ac:dyDescent="0.2">
      <c r="A81" s="146" t="s">
        <v>2322</v>
      </c>
      <c r="B81" s="147" t="s">
        <v>1416</v>
      </c>
      <c r="C81" s="147" t="str">
        <f>IF(B81="","",IFERROR(INDEX('UNIVERSO MAESTRO'!$C$6:$C$497,MATCH(B81,'UNIVERSO MAESTRO'!$A$6:$A$497,0)),"⚠ ID no encontrado"))</f>
        <v>TelevisaUnivision</v>
      </c>
      <c r="D81" s="54" t="str">
        <f>IF(B81="","",IFERROR(INDEX('UNIVERSO MAESTRO'!$D$6:$D$497,MATCH(B81,'UNIVERSO MAESTRO'!$A$6:$A$497,0)),""))</f>
        <v>V2</v>
      </c>
      <c r="E81" s="147" t="s">
        <v>471</v>
      </c>
      <c r="F81" s="53" t="str">
        <f>IF(E81="","",IFERROR(INDEX('UNIVERSO MAESTRO'!$C$6:$C$497,MATCH(E81,'UNIVERSO MAESTRO'!$A$6:$A$497,0)),"⚠ ID no encontrado"))</f>
        <v>Copa Mundial FIFA 2026 en México</v>
      </c>
      <c r="G81" s="54" t="str">
        <f>IF(E81="","",IFERROR(INDEX('UNIVERSO MAESTRO'!$D$6:$D$497,MATCH(E81,'UNIVERSO MAESTRO'!$A$6:$A$497,0)),""))</f>
        <v>V1</v>
      </c>
      <c r="H81" s="147" t="s">
        <v>1605</v>
      </c>
      <c r="I81" s="147" t="s">
        <v>1579</v>
      </c>
      <c r="J81" s="147" t="s">
        <v>1574</v>
      </c>
      <c r="K81" s="148" t="s">
        <v>2323</v>
      </c>
      <c r="L81" s="148" t="s">
        <v>2324</v>
      </c>
      <c r="M81" s="148" t="s">
        <v>2325</v>
      </c>
      <c r="N81" s="54" t="str">
        <f t="shared" si="2"/>
        <v>Sí</v>
      </c>
      <c r="O81" s="54" t="str">
        <f t="shared" si="3"/>
        <v>Sí</v>
      </c>
    </row>
    <row r="82" spans="1:15" ht="60" customHeight="1" x14ac:dyDescent="0.2">
      <c r="A82" s="146" t="s">
        <v>2326</v>
      </c>
      <c r="B82" s="147" t="s">
        <v>1416</v>
      </c>
      <c r="C82" s="147" t="str">
        <f>IF(B82="","",IFERROR(INDEX('UNIVERSO MAESTRO'!$C$6:$C$497,MATCH(B82,'UNIVERSO MAESTRO'!$A$6:$A$497,0)),"⚠ ID no encontrado"))</f>
        <v>TelevisaUnivision</v>
      </c>
      <c r="D82" s="54" t="str">
        <f>IF(B82="","",IFERROR(INDEX('UNIVERSO MAESTRO'!$D$6:$D$497,MATCH(B82,'UNIVERSO MAESTRO'!$A$6:$A$497,0)),""))</f>
        <v>V2</v>
      </c>
      <c r="E82" s="147" t="s">
        <v>771</v>
      </c>
      <c r="F82" s="53" t="str">
        <f>IF(E82="","",IFERROR(INDEX('UNIVERSO MAESTRO'!$C$6:$C$497,MATCH(E82,'UNIVERSO MAESTRO'!$A$6:$A$497,0)),"⚠ ID no encontrado"))</f>
        <v>Grupo Omnilife / Amaury Vergara / Chivas</v>
      </c>
      <c r="G82" s="54" t="str">
        <f>IF(E82="","",IFERROR(INDEX('UNIVERSO MAESTRO'!$D$6:$D$497,MATCH(E82,'UNIVERSO MAESTRO'!$A$6:$A$497,0)),""))</f>
        <v>V9</v>
      </c>
      <c r="H82" s="147" t="s">
        <v>1605</v>
      </c>
      <c r="I82" s="147" t="s">
        <v>1579</v>
      </c>
      <c r="J82" s="147" t="s">
        <v>1574</v>
      </c>
      <c r="K82" s="148" t="s">
        <v>2327</v>
      </c>
      <c r="L82" s="148" t="s">
        <v>2328</v>
      </c>
      <c r="M82" s="148" t="s">
        <v>2329</v>
      </c>
      <c r="N82" s="54" t="str">
        <f t="shared" si="2"/>
        <v>Sí</v>
      </c>
      <c r="O82" s="54" t="str">
        <f t="shared" si="3"/>
        <v>Sí</v>
      </c>
    </row>
    <row r="83" spans="1:15" ht="60" customHeight="1" x14ac:dyDescent="0.2">
      <c r="A83" s="146" t="s">
        <v>2330</v>
      </c>
      <c r="B83" s="147" t="s">
        <v>1416</v>
      </c>
      <c r="C83" s="147" t="str">
        <f>IF(B83="","",IFERROR(INDEX('UNIVERSO MAESTRO'!$C$6:$C$497,MATCH(B83,'UNIVERSO MAESTRO'!$A$6:$A$497,0)),"⚠ ID no encontrado"))</f>
        <v>TelevisaUnivision</v>
      </c>
      <c r="D83" s="54" t="str">
        <f>IF(B83="","",IFERROR(INDEX('UNIVERSO MAESTRO'!$D$6:$D$497,MATCH(B83,'UNIVERSO MAESTRO'!$A$6:$A$497,0)),""))</f>
        <v>V2</v>
      </c>
      <c r="E83" s="147" t="s">
        <v>969</v>
      </c>
      <c r="F83" s="53" t="str">
        <f>IF(E83="","",IFERROR(INDEX('UNIVERSO MAESTRO'!$C$6:$C$497,MATCH(E83,'UNIVERSO MAESTRO'!$A$6:$A$497,0)),"⚠ ID no encontrado"))</f>
        <v>Liga MX</v>
      </c>
      <c r="G83" s="54" t="str">
        <f>IF(E83="","",IFERROR(INDEX('UNIVERSO MAESTRO'!$D$6:$D$497,MATCH(E83,'UNIVERSO MAESTRO'!$A$6:$A$497,0)),""))</f>
        <v>V1</v>
      </c>
      <c r="H83" s="147" t="s">
        <v>1605</v>
      </c>
      <c r="I83" s="147" t="s">
        <v>1579</v>
      </c>
      <c r="J83" s="147" t="s">
        <v>1574</v>
      </c>
      <c r="K83" s="148" t="s">
        <v>2331</v>
      </c>
      <c r="L83" s="148" t="s">
        <v>2332</v>
      </c>
      <c r="M83" s="148" t="s">
        <v>2333</v>
      </c>
      <c r="N83" s="54" t="str">
        <f t="shared" si="2"/>
        <v>Sí</v>
      </c>
      <c r="O83" s="54" t="str">
        <f t="shared" si="3"/>
        <v>Sí</v>
      </c>
    </row>
    <row r="84" spans="1:15" ht="60" customHeight="1" x14ac:dyDescent="0.2">
      <c r="A84" s="146" t="s">
        <v>2334</v>
      </c>
      <c r="B84" s="147" t="s">
        <v>1416</v>
      </c>
      <c r="C84" s="147" t="str">
        <f>IF(B84="","",IFERROR(INDEX('UNIVERSO MAESTRO'!$C$6:$C$497,MATCH(B84,'UNIVERSO MAESTRO'!$A$6:$A$497,0)),"⚠ ID no encontrado"))</f>
        <v>TelevisaUnivision</v>
      </c>
      <c r="D84" s="54" t="str">
        <f>IF(B84="","",IFERROR(INDEX('UNIVERSO MAESTRO'!$D$6:$D$497,MATCH(B84,'UNIVERSO MAESTRO'!$A$6:$A$497,0)),""))</f>
        <v>V2</v>
      </c>
      <c r="E84" s="147" t="s">
        <v>1149</v>
      </c>
      <c r="F84" s="53" t="str">
        <f>IF(E84="","",IFERROR(INDEX('UNIVERSO MAESTRO'!$C$6:$C$497,MATCH(E84,'UNIVERSO MAESTRO'!$A$6:$A$497,0)),"⚠ ID no encontrado"))</f>
        <v>Ollamani, S.A.B. / Grupo Águilas (Club América + Estadio Banorte)</v>
      </c>
      <c r="G84" s="54" t="str">
        <f>IF(E84="","",IFERROR(INDEX('UNIVERSO MAESTRO'!$D$6:$D$497,MATCH(E84,'UNIVERSO MAESTRO'!$A$6:$A$497,0)),""))</f>
        <v>V9</v>
      </c>
      <c r="H84" s="147" t="s">
        <v>1605</v>
      </c>
      <c r="I84" s="147" t="s">
        <v>1579</v>
      </c>
      <c r="J84" s="147" t="s">
        <v>1574</v>
      </c>
      <c r="K84" s="148" t="s">
        <v>2335</v>
      </c>
      <c r="L84" s="148" t="s">
        <v>2336</v>
      </c>
      <c r="M84" s="148" t="s">
        <v>2329</v>
      </c>
      <c r="N84" s="54" t="str">
        <f t="shared" si="2"/>
        <v>Sí</v>
      </c>
      <c r="O84" s="54" t="str">
        <f t="shared" si="3"/>
        <v>Sí</v>
      </c>
    </row>
    <row r="85" spans="1:15" ht="60" customHeight="1" x14ac:dyDescent="0.2">
      <c r="A85" s="146" t="s">
        <v>2337</v>
      </c>
      <c r="B85" s="147" t="s">
        <v>1416</v>
      </c>
      <c r="C85" s="147" t="str">
        <f>IF(B85="","",IFERROR(INDEX('UNIVERSO MAESTRO'!$C$6:$C$497,MATCH(B85,'UNIVERSO MAESTRO'!$A$6:$A$497,0)),"⚠ ID no encontrado"))</f>
        <v>TelevisaUnivision</v>
      </c>
      <c r="D85" s="54" t="str">
        <f>IF(B85="","",IFERROR(INDEX('UNIVERSO MAESTRO'!$D$6:$D$497,MATCH(B85,'UNIVERSO MAESTRO'!$A$6:$A$497,0)),""))</f>
        <v>V2</v>
      </c>
      <c r="E85" s="147" t="s">
        <v>1303</v>
      </c>
      <c r="F85" s="53" t="str">
        <f>IF(E85="","",IFERROR(INDEX('UNIVERSO MAESTRO'!$C$6:$C$497,MATCH(E85,'UNIVERSO MAESTRO'!$A$6:$A$497,0)),"⚠ ID no encontrado"))</f>
        <v>Selección Mexicana de Fútbol</v>
      </c>
      <c r="G85" s="54" t="str">
        <f>IF(E85="","",IFERROR(INDEX('UNIVERSO MAESTRO'!$D$6:$D$497,MATCH(E85,'UNIVERSO MAESTRO'!$A$6:$A$497,0)),""))</f>
        <v>V1</v>
      </c>
      <c r="H85" s="147" t="s">
        <v>1605</v>
      </c>
      <c r="I85" s="147" t="s">
        <v>1579</v>
      </c>
      <c r="J85" s="147" t="s">
        <v>1574</v>
      </c>
      <c r="K85" s="148" t="s">
        <v>2338</v>
      </c>
      <c r="L85" s="148" t="s">
        <v>2339</v>
      </c>
      <c r="M85" s="148" t="s">
        <v>2340</v>
      </c>
      <c r="N85" s="54" t="str">
        <f t="shared" si="2"/>
        <v>Sí</v>
      </c>
      <c r="O85" s="54" t="str">
        <f t="shared" si="3"/>
        <v>Sí</v>
      </c>
    </row>
    <row r="86" spans="1:15" ht="60" customHeight="1" x14ac:dyDescent="0.2">
      <c r="A86" s="146" t="s">
        <v>2341</v>
      </c>
      <c r="B86" s="147" t="s">
        <v>1416</v>
      </c>
      <c r="C86" s="147" t="str">
        <f>IF(B86="","",IFERROR(INDEX('UNIVERSO MAESTRO'!$C$6:$C$497,MATCH(B86,'UNIVERSO MAESTRO'!$A$6:$A$497,0)),"⚠ ID no encontrado"))</f>
        <v>TelevisaUnivision</v>
      </c>
      <c r="D86" s="54" t="str">
        <f>IF(B86="","",IFERROR(INDEX('UNIVERSO MAESTRO'!$D$6:$D$497,MATCH(B86,'UNIVERSO MAESTRO'!$A$6:$A$497,0)),""))</f>
        <v>V2</v>
      </c>
      <c r="E86" s="147" t="s">
        <v>1312</v>
      </c>
      <c r="F86" s="53" t="str">
        <f>IF(E86="","",IFERROR(INDEX('UNIVERSO MAESTRO'!$C$6:$C$497,MATCH(E86,'UNIVERSO MAESTRO'!$A$6:$A$497,0)),"⚠ ID no encontrado"))</f>
        <v>Selección Mexicana Femenil</v>
      </c>
      <c r="G86" s="54" t="str">
        <f>IF(E86="","",IFERROR(INDEX('UNIVERSO MAESTRO'!$D$6:$D$497,MATCH(E86,'UNIVERSO MAESTRO'!$A$6:$A$497,0)),""))</f>
        <v>V1</v>
      </c>
      <c r="H86" s="147" t="s">
        <v>1605</v>
      </c>
      <c r="I86" s="147" t="s">
        <v>1573</v>
      </c>
      <c r="J86" s="147" t="s">
        <v>1574</v>
      </c>
      <c r="K86" s="148" t="s">
        <v>2342</v>
      </c>
      <c r="L86" s="148"/>
      <c r="M86" s="148" t="s">
        <v>2340</v>
      </c>
      <c r="N86" s="54" t="str">
        <f t="shared" si="2"/>
        <v>Sí</v>
      </c>
      <c r="O86" s="54" t="str">
        <f t="shared" si="3"/>
        <v>Sí</v>
      </c>
    </row>
    <row r="87" spans="1:15" ht="60" customHeight="1" x14ac:dyDescent="0.2">
      <c r="A87" s="146" t="s">
        <v>2376</v>
      </c>
      <c r="B87" s="147" t="s">
        <v>1510</v>
      </c>
      <c r="C87" s="147" t="str">
        <f>IF(B87="","",IFERROR(INDEX('UNIVERSO MAESTRO'!$C$6:$C$497,MATCH(B87,'UNIVERSO MAESTRO'!$A$6:$A$497,0)),"⚠ ID no encontrado"))</f>
        <v>YouTube (Alphabet/Google)</v>
      </c>
      <c r="D87" s="54" t="str">
        <f>IF(B87="","",IFERROR(INDEX('UNIVERSO MAESTRO'!$D$6:$D$497,MATCH(B87,'UNIVERSO MAESTRO'!$A$6:$A$497,0)),""))</f>
        <v>V2</v>
      </c>
      <c r="E87" s="147" t="s">
        <v>969</v>
      </c>
      <c r="F87" s="53" t="str">
        <f>IF(E87="","",IFERROR(INDEX('UNIVERSO MAESTRO'!$C$6:$C$497,MATCH(E87,'UNIVERSO MAESTRO'!$A$6:$A$497,0)),"⚠ ID no encontrado"))</f>
        <v>Liga MX</v>
      </c>
      <c r="G87" s="54" t="str">
        <f>IF(E87="","",IFERROR(INDEX('UNIVERSO MAESTRO'!$D$6:$D$497,MATCH(E87,'UNIVERSO MAESTRO'!$A$6:$A$497,0)),""))</f>
        <v>V1</v>
      </c>
      <c r="H87" s="147" t="s">
        <v>1605</v>
      </c>
      <c r="I87" s="147" t="s">
        <v>1573</v>
      </c>
      <c r="J87" s="147" t="s">
        <v>1574</v>
      </c>
      <c r="K87" s="148" t="s">
        <v>2377</v>
      </c>
      <c r="L87" s="148" t="s">
        <v>2378</v>
      </c>
      <c r="M87" s="148" t="s">
        <v>1518</v>
      </c>
      <c r="N87" s="54" t="str">
        <f t="shared" si="2"/>
        <v>Sí</v>
      </c>
      <c r="O87" s="54" t="str">
        <f t="shared" si="3"/>
        <v>Sí</v>
      </c>
    </row>
    <row r="88" spans="1:15" ht="60" customHeight="1" x14ac:dyDescent="0.2">
      <c r="A88" s="146" t="s">
        <v>2379</v>
      </c>
      <c r="B88" s="147" t="s">
        <v>1510</v>
      </c>
      <c r="C88" s="147" t="str">
        <f>IF(B88="","",IFERROR(INDEX('UNIVERSO MAESTRO'!$C$6:$C$497,MATCH(B88,'UNIVERSO MAESTRO'!$A$6:$A$497,0)),"⚠ ID no encontrado"))</f>
        <v>YouTube (Alphabet/Google)</v>
      </c>
      <c r="D88" s="54" t="str">
        <f>IF(B88="","",IFERROR(INDEX('UNIVERSO MAESTRO'!$D$6:$D$497,MATCH(B88,'UNIVERSO MAESTRO'!$A$6:$A$497,0)),""))</f>
        <v>V2</v>
      </c>
      <c r="E88" s="147" t="s">
        <v>1123</v>
      </c>
      <c r="F88" s="53" t="str">
        <f>IF(E88="","",IFERROR(INDEX('UNIVERSO MAESTRO'!$C$6:$C$497,MATCH(E88,'UNIVERSO MAESTRO'!$A$6:$A$497,0)),"⚠ ID no encontrado"))</f>
        <v>NFL México City Games</v>
      </c>
      <c r="G88" s="54" t="str">
        <f>IF(E88="","",IFERROR(INDEX('UNIVERSO MAESTRO'!$D$6:$D$497,MATCH(E88,'UNIVERSO MAESTRO'!$A$6:$A$497,0)),""))</f>
        <v>V1</v>
      </c>
      <c r="H88" s="147" t="s">
        <v>1605</v>
      </c>
      <c r="I88" s="147" t="s">
        <v>1573</v>
      </c>
      <c r="J88" s="147" t="s">
        <v>1574</v>
      </c>
      <c r="K88" s="148" t="s">
        <v>2380</v>
      </c>
      <c r="L88" s="148" t="s">
        <v>2381</v>
      </c>
      <c r="M88" s="148" t="s">
        <v>2382</v>
      </c>
      <c r="N88" s="54" t="str">
        <f t="shared" si="2"/>
        <v>Sí</v>
      </c>
      <c r="O88" s="54" t="str">
        <f t="shared" si="3"/>
        <v>Sí</v>
      </c>
    </row>
    <row r="89" spans="1:15" ht="60" customHeight="1" x14ac:dyDescent="0.2">
      <c r="A89" t="s">
        <v>2390</v>
      </c>
      <c r="B89" t="s">
        <v>1416</v>
      </c>
      <c r="C89" s="147" t="str">
        <f>IF(B89="","",IFERROR(INDEX('UNIVERSO MAESTRO'!$C$6:$C$497,MATCH(B89,'UNIVERSO MAESTRO'!$A$6:$A$497,0)),"⚠ ID no encontrado"))</f>
        <v>TelevisaUnivision</v>
      </c>
      <c r="D89" s="54" t="str">
        <f>IF(B89="","",IFERROR(INDEX('UNIVERSO MAESTRO'!$D$6:$D$497,MATCH(B89,'UNIVERSO MAESTRO'!$A$6:$A$497,0)),""))</f>
        <v>V2</v>
      </c>
      <c r="E89" t="s">
        <v>1531</v>
      </c>
      <c r="F89" s="53" t="str">
        <f>IF(E89="","",IFERROR(INDEX('UNIVERSO MAESTRO'!$C$6:$C$497,MATCH(E89,'UNIVERSO MAESTRO'!$A$6:$A$497,0)),"⚠ ID no encontrado"))</f>
        <v>Kings League Mexico (ex Kings League Americas) / Kings League Openbank Mexico</v>
      </c>
      <c r="G89" s="54" t="str">
        <f>IF(E89="","",IFERROR(INDEX('UNIVERSO MAESTRO'!$D$6:$D$497,MATCH(E89,'UNIVERSO MAESTRO'!$A$6:$A$497,0)),""))</f>
        <v>V1</v>
      </c>
      <c r="H89" t="s">
        <v>1605</v>
      </c>
      <c r="I89" t="s">
        <v>1573</v>
      </c>
      <c r="J89" t="s">
        <v>1574</v>
      </c>
      <c r="K89" t="s">
        <v>2391</v>
      </c>
      <c r="L89" t="s">
        <v>2392</v>
      </c>
      <c r="M89" t="s">
        <v>2393</v>
      </c>
      <c r="N89" s="54" t="str">
        <f t="shared" si="2"/>
        <v>Sí</v>
      </c>
      <c r="O89" s="54" t="str">
        <f t="shared" si="3"/>
        <v>Sí</v>
      </c>
    </row>
    <row r="90" spans="1:15" ht="60" customHeight="1" x14ac:dyDescent="0.2">
      <c r="A90" t="s">
        <v>2394</v>
      </c>
      <c r="B90" t="s">
        <v>549</v>
      </c>
      <c r="C90" s="147" t="str">
        <f>IF(B90="","",IFERROR(INDEX('UNIVERSO MAESTRO'!$C$6:$C$497,MATCH(B90,'UNIVERSO MAESTRO'!$A$6:$A$497,0)),"⚠ ID no encontrado"))</f>
        <v>ESPN / Disney+ México</v>
      </c>
      <c r="D90" s="54" t="str">
        <f>IF(B90="","",IFERROR(INDEX('UNIVERSO MAESTRO'!$D$6:$D$497,MATCH(B90,'UNIVERSO MAESTRO'!$A$6:$A$497,0)),""))</f>
        <v>V2</v>
      </c>
      <c r="E90" t="s">
        <v>1531</v>
      </c>
      <c r="F90" s="53" t="str">
        <f>IF(E90="","",IFERROR(INDEX('UNIVERSO MAESTRO'!$C$6:$C$497,MATCH(E90,'UNIVERSO MAESTRO'!$A$6:$A$497,0)),"⚠ ID no encontrado"))</f>
        <v>Kings League Mexico (ex Kings League Americas) / Kings League Openbank Mexico</v>
      </c>
      <c r="G90" s="54" t="str">
        <f>IF(E90="","",IFERROR(INDEX('UNIVERSO MAESTRO'!$D$6:$D$497,MATCH(E90,'UNIVERSO MAESTRO'!$A$6:$A$497,0)),""))</f>
        <v>V1</v>
      </c>
      <c r="H90" t="s">
        <v>1605</v>
      </c>
      <c r="I90" t="s">
        <v>1611</v>
      </c>
      <c r="J90" t="s">
        <v>1574</v>
      </c>
      <c r="K90" t="s">
        <v>2395</v>
      </c>
      <c r="L90" t="s">
        <v>2396</v>
      </c>
      <c r="M90" t="s">
        <v>2397</v>
      </c>
      <c r="N90" s="54" t="str">
        <f t="shared" si="2"/>
        <v>Sí</v>
      </c>
      <c r="O90" s="54" t="str">
        <f t="shared" si="3"/>
        <v>No</v>
      </c>
    </row>
    <row r="91" spans="1:15" ht="60" customHeight="1" x14ac:dyDescent="0.2">
      <c r="A91" s="146" t="s">
        <v>1571</v>
      </c>
      <c r="B91" s="147" t="s">
        <v>200</v>
      </c>
      <c r="C91" s="147" t="str">
        <f>IF(B91="","",IFERROR(INDEX('UNIVERSO MAESTRO'!$C$6:$C$497,MATCH(B91,'UNIVERSO MAESTRO'!$A$6:$A$497,0)),"⚠ ID no encontrado"))</f>
        <v>adidas</v>
      </c>
      <c r="D91" s="54" t="str">
        <f>IF(B91="","",IFERROR(INDEX('UNIVERSO MAESTRO'!$D$6:$D$497,MATCH(B91,'UNIVERSO MAESTRO'!$A$6:$A$497,0)),""))</f>
        <v>V3</v>
      </c>
      <c r="E91" s="147" t="s">
        <v>377</v>
      </c>
      <c r="F91" s="53" t="str">
        <f>IF(E91="","",IFERROR(INDEX('UNIVERSO MAESTRO'!$C$6:$C$497,MATCH(E91,'UNIVERSO MAESTRO'!$A$6:$A$497,0)),"⚠ ID no encontrado"))</f>
        <v>CEMEX / Sinergia Deportiva</v>
      </c>
      <c r="G91" s="54" t="str">
        <f>IF(E91="","",IFERROR(INDEX('UNIVERSO MAESTRO'!$D$6:$D$497,MATCH(E91,'UNIVERSO MAESTRO'!$A$6:$A$497,0)),""))</f>
        <v>V9</v>
      </c>
      <c r="H91" s="147" t="s">
        <v>1572</v>
      </c>
      <c r="I91" s="147" t="s">
        <v>1573</v>
      </c>
      <c r="J91" s="147" t="s">
        <v>1574</v>
      </c>
      <c r="K91" s="148" t="s">
        <v>1575</v>
      </c>
      <c r="L91" s="148" t="s">
        <v>1576</v>
      </c>
      <c r="M91" s="148" t="s">
        <v>1577</v>
      </c>
      <c r="N91" s="54" t="str">
        <f t="shared" si="2"/>
        <v>Sí</v>
      </c>
      <c r="O91" s="54" t="str">
        <f t="shared" si="3"/>
        <v>Sí</v>
      </c>
    </row>
    <row r="92" spans="1:15" ht="60" customHeight="1" x14ac:dyDescent="0.2">
      <c r="A92" s="146" t="s">
        <v>1578</v>
      </c>
      <c r="B92" s="147" t="s">
        <v>200</v>
      </c>
      <c r="C92" s="147" t="str">
        <f>IF(B92="","",IFERROR(INDEX('UNIVERSO MAESTRO'!$C$6:$C$497,MATCH(B92,'UNIVERSO MAESTRO'!$A$6:$A$497,0)),"⚠ ID no encontrado"))</f>
        <v>adidas</v>
      </c>
      <c r="D92" s="54" t="str">
        <f>IF(B92="","",IFERROR(INDEX('UNIVERSO MAESTRO'!$D$6:$D$497,MATCH(B92,'UNIVERSO MAESTRO'!$A$6:$A$497,0)),""))</f>
        <v>V3</v>
      </c>
      <c r="E92" s="147" t="s">
        <v>614</v>
      </c>
      <c r="F92" s="53" t="str">
        <f>IF(E92="","",IFERROR(INDEX('UNIVERSO MAESTRO'!$C$6:$C$497,MATCH(E92,'UNIVERSO MAESTRO'!$A$6:$A$497,0)),"⚠ ID no encontrado"))</f>
        <v>Federación Mexicana de Fútbol</v>
      </c>
      <c r="G92" s="54" t="str">
        <f>IF(E92="","",IFERROR(INDEX('UNIVERSO MAESTRO'!$D$6:$D$497,MATCH(E92,'UNIVERSO MAESTRO'!$A$6:$A$497,0)),""))</f>
        <v>V1</v>
      </c>
      <c r="H92" s="147" t="s">
        <v>1572</v>
      </c>
      <c r="I92" s="147" t="s">
        <v>1579</v>
      </c>
      <c r="J92" s="147" t="s">
        <v>1574</v>
      </c>
      <c r="K92" s="148" t="s">
        <v>1580</v>
      </c>
      <c r="L92" s="148" t="s">
        <v>1581</v>
      </c>
      <c r="M92" s="148" t="s">
        <v>1582</v>
      </c>
      <c r="N92" s="54" t="str">
        <f t="shared" si="2"/>
        <v>Sí</v>
      </c>
      <c r="O92" s="54" t="str">
        <f t="shared" si="3"/>
        <v>Sí</v>
      </c>
    </row>
    <row r="93" spans="1:15" ht="60" customHeight="1" x14ac:dyDescent="0.2">
      <c r="A93" s="146" t="s">
        <v>1583</v>
      </c>
      <c r="B93" s="147" t="s">
        <v>200</v>
      </c>
      <c r="C93" s="147" t="str">
        <f>IF(B93="","",IFERROR(INDEX('UNIVERSO MAESTRO'!$C$6:$C$497,MATCH(B93,'UNIVERSO MAESTRO'!$A$6:$A$497,0)),"⚠ ID no encontrado"))</f>
        <v>adidas</v>
      </c>
      <c r="D93" s="54" t="str">
        <f>IF(B93="","",IFERROR(INDEX('UNIVERSO MAESTRO'!$D$6:$D$497,MATCH(B93,'UNIVERSO MAESTRO'!$A$6:$A$497,0)),""))</f>
        <v>V3</v>
      </c>
      <c r="E93" s="147" t="s">
        <v>1149</v>
      </c>
      <c r="F93" s="53" t="str">
        <f>IF(E93="","",IFERROR(INDEX('UNIVERSO MAESTRO'!$C$6:$C$497,MATCH(E93,'UNIVERSO MAESTRO'!$A$6:$A$497,0)),"⚠ ID no encontrado"))</f>
        <v>Ollamani, S.A.B. / Grupo Águilas (Club América + Estadio Banorte)</v>
      </c>
      <c r="G93" s="54" t="str">
        <f>IF(E93="","",IFERROR(INDEX('UNIVERSO MAESTRO'!$D$6:$D$497,MATCH(E93,'UNIVERSO MAESTRO'!$A$6:$A$497,0)),""))</f>
        <v>V9</v>
      </c>
      <c r="H93" s="147" t="s">
        <v>1572</v>
      </c>
      <c r="I93" s="147" t="s">
        <v>1579</v>
      </c>
      <c r="J93" s="147" t="s">
        <v>1574</v>
      </c>
      <c r="K93" s="148" t="s">
        <v>1584</v>
      </c>
      <c r="L93" s="148" t="s">
        <v>1585</v>
      </c>
      <c r="M93" s="148" t="s">
        <v>1586</v>
      </c>
      <c r="N93" s="54" t="str">
        <f t="shared" si="2"/>
        <v>Sí</v>
      </c>
      <c r="O93" s="54" t="str">
        <f t="shared" si="3"/>
        <v>Sí</v>
      </c>
    </row>
    <row r="94" spans="1:15" ht="60" customHeight="1" x14ac:dyDescent="0.2">
      <c r="A94" s="146" t="s">
        <v>1587</v>
      </c>
      <c r="B94" s="147" t="s">
        <v>200</v>
      </c>
      <c r="C94" s="147" t="str">
        <f>IF(B94="","",IFERROR(INDEX('UNIVERSO MAESTRO'!$C$6:$C$497,MATCH(B94,'UNIVERSO MAESTRO'!$A$6:$A$497,0)),"⚠ ID no encontrado"))</f>
        <v>adidas</v>
      </c>
      <c r="D94" s="54" t="str">
        <f>IF(B94="","",IFERROR(INDEX('UNIVERSO MAESTRO'!$D$6:$D$497,MATCH(B94,'UNIVERSO MAESTRO'!$A$6:$A$497,0)),""))</f>
        <v>V3</v>
      </c>
      <c r="E94" s="147" t="s">
        <v>1312</v>
      </c>
      <c r="F94" s="53" t="str">
        <f>IF(E94="","",IFERROR(INDEX('UNIVERSO MAESTRO'!$C$6:$C$497,MATCH(E94,'UNIVERSO MAESTRO'!$A$6:$A$497,0)),"⚠ ID no encontrado"))</f>
        <v>Selección Mexicana Femenil</v>
      </c>
      <c r="G94" s="54" t="str">
        <f>IF(E94="","",IFERROR(INDEX('UNIVERSO MAESTRO'!$D$6:$D$497,MATCH(E94,'UNIVERSO MAESTRO'!$A$6:$A$497,0)),""))</f>
        <v>V1</v>
      </c>
      <c r="H94" s="147" t="s">
        <v>1572</v>
      </c>
      <c r="I94" s="147" t="s">
        <v>1579</v>
      </c>
      <c r="J94" s="147" t="s">
        <v>1574</v>
      </c>
      <c r="K94" s="148" t="s">
        <v>1588</v>
      </c>
      <c r="L94" s="148" t="s">
        <v>1589</v>
      </c>
      <c r="M94" s="148" t="s">
        <v>1590</v>
      </c>
      <c r="N94" s="54" t="str">
        <f t="shared" si="2"/>
        <v>Sí</v>
      </c>
      <c r="O94" s="54" t="str">
        <f t="shared" si="3"/>
        <v>Sí</v>
      </c>
    </row>
    <row r="95" spans="1:15" ht="60" customHeight="1" x14ac:dyDescent="0.2">
      <c r="A95" s="146" t="s">
        <v>1596</v>
      </c>
      <c r="B95" s="147" t="s">
        <v>226</v>
      </c>
      <c r="C95" s="147" t="str">
        <f>IF(B95="","",IFERROR(INDEX('UNIVERSO MAESTRO'!$C$6:$C$497,MATCH(B95,'UNIVERSO MAESTRO'!$A$6:$A$497,0)),"⚠ ID no encontrado"))</f>
        <v>Amazon / AWS</v>
      </c>
      <c r="D95" s="54" t="str">
        <f>IF(B95="","",IFERROR(INDEX('UNIVERSO MAESTRO'!$D$6:$D$497,MATCH(B95,'UNIVERSO MAESTRO'!$A$6:$A$497,0)),""))</f>
        <v>V3</v>
      </c>
      <c r="E95" s="147" t="s">
        <v>1303</v>
      </c>
      <c r="F95" s="53" t="str">
        <f>IF(E95="","",IFERROR(INDEX('UNIVERSO MAESTRO'!$C$6:$C$497,MATCH(E95,'UNIVERSO MAESTRO'!$A$6:$A$497,0)),"⚠ ID no encontrado"))</f>
        <v>Selección Mexicana de Fútbol</v>
      </c>
      <c r="G95" s="54" t="str">
        <f>IF(E95="","",IFERROR(INDEX('UNIVERSO MAESTRO'!$D$6:$D$497,MATCH(E95,'UNIVERSO MAESTRO'!$A$6:$A$497,0)),""))</f>
        <v>V1</v>
      </c>
      <c r="H95" s="147" t="s">
        <v>1572</v>
      </c>
      <c r="I95" s="147" t="s">
        <v>1579</v>
      </c>
      <c r="J95" s="147" t="s">
        <v>1574</v>
      </c>
      <c r="K95" s="148" t="s">
        <v>1597</v>
      </c>
      <c r="L95" s="148" t="s">
        <v>1598</v>
      </c>
      <c r="M95" s="148" t="s">
        <v>1599</v>
      </c>
      <c r="N95" s="54" t="str">
        <f t="shared" si="2"/>
        <v>Sí</v>
      </c>
      <c r="O95" s="54" t="str">
        <f t="shared" si="3"/>
        <v>Sí</v>
      </c>
    </row>
    <row r="96" spans="1:15" ht="60" customHeight="1" x14ac:dyDescent="0.2">
      <c r="A96" s="146" t="s">
        <v>1600</v>
      </c>
      <c r="B96" s="147" t="s">
        <v>226</v>
      </c>
      <c r="C96" s="147" t="str">
        <f>IF(B96="","",IFERROR(INDEX('UNIVERSO MAESTRO'!$C$6:$C$497,MATCH(B96,'UNIVERSO MAESTRO'!$A$6:$A$497,0)),"⚠ ID no encontrado"))</f>
        <v>Amazon / AWS</v>
      </c>
      <c r="D96" s="54" t="str">
        <f>IF(B96="","",IFERROR(INDEX('UNIVERSO MAESTRO'!$D$6:$D$497,MATCH(B96,'UNIVERSO MAESTRO'!$A$6:$A$497,0)),""))</f>
        <v>V3</v>
      </c>
      <c r="E96" s="147" t="s">
        <v>1312</v>
      </c>
      <c r="F96" s="53" t="str">
        <f>IF(E96="","",IFERROR(INDEX('UNIVERSO MAESTRO'!$C$6:$C$497,MATCH(E96,'UNIVERSO MAESTRO'!$A$6:$A$497,0)),"⚠ ID no encontrado"))</f>
        <v>Selección Mexicana Femenil</v>
      </c>
      <c r="G96" s="54" t="str">
        <f>IF(E96="","",IFERROR(INDEX('UNIVERSO MAESTRO'!$D$6:$D$497,MATCH(E96,'UNIVERSO MAESTRO'!$A$6:$A$497,0)),""))</f>
        <v>V1</v>
      </c>
      <c r="H96" s="147" t="s">
        <v>1572</v>
      </c>
      <c r="I96" s="147" t="s">
        <v>1579</v>
      </c>
      <c r="J96" s="147" t="s">
        <v>1574</v>
      </c>
      <c r="K96" s="148" t="s">
        <v>1601</v>
      </c>
      <c r="L96" s="148" t="s">
        <v>1602</v>
      </c>
      <c r="M96" s="148" t="s">
        <v>1603</v>
      </c>
      <c r="N96" s="54" t="str">
        <f t="shared" si="2"/>
        <v>Sí</v>
      </c>
      <c r="O96" s="54" t="str">
        <f t="shared" si="3"/>
        <v>Sí</v>
      </c>
    </row>
    <row r="97" spans="1:15" ht="60" customHeight="1" x14ac:dyDescent="0.2">
      <c r="A97" s="146" t="s">
        <v>1636</v>
      </c>
      <c r="B97" s="147" t="s">
        <v>279</v>
      </c>
      <c r="C97" s="147" t="str">
        <f>IF(B97="","",IFERROR(INDEX('UNIVERSO MAESTRO'!$C$6:$C$497,MATCH(B97,'UNIVERSO MAESTRO'!$A$6:$A$497,0)),"⚠ ID no encontrado"))</f>
        <v>AT&amp;T México</v>
      </c>
      <c r="D97" s="54" t="str">
        <f>IF(B97="","",IFERROR(INDEX('UNIVERSO MAESTRO'!$D$6:$D$497,MATCH(B97,'UNIVERSO MAESTRO'!$A$6:$A$497,0)),""))</f>
        <v>V3</v>
      </c>
      <c r="E97" s="147" t="s">
        <v>592</v>
      </c>
      <c r="F97" s="53" t="str">
        <f>IF(E97="","",IFERROR(INDEX('UNIVERSO MAESTRO'!$C$6:$C$497,MATCH(E97,'UNIVERSO MAESTRO'!$A$6:$A$497,0)),"⚠ ID no encontrado"))</f>
        <v>Familia Slim / Grupo Carso</v>
      </c>
      <c r="G97" s="54" t="str">
        <f>IF(E97="","",IFERROR(INDEX('UNIVERSO MAESTRO'!$D$6:$D$497,MATCH(E97,'UNIVERSO MAESTRO'!$A$6:$A$497,0)),""))</f>
        <v>V9</v>
      </c>
      <c r="H97" s="147" t="s">
        <v>1592</v>
      </c>
      <c r="I97" s="147" t="s">
        <v>1611</v>
      </c>
      <c r="J97" s="147" t="s">
        <v>1574</v>
      </c>
      <c r="K97" s="148" t="s">
        <v>1637</v>
      </c>
      <c r="L97" s="148"/>
      <c r="M97" s="148" t="s">
        <v>1638</v>
      </c>
      <c r="N97" s="54" t="str">
        <f t="shared" si="2"/>
        <v>Sí</v>
      </c>
      <c r="O97" s="54" t="str">
        <f t="shared" si="3"/>
        <v>No</v>
      </c>
    </row>
    <row r="98" spans="1:15" ht="60" customHeight="1" x14ac:dyDescent="0.2">
      <c r="A98" s="146" t="s">
        <v>1639</v>
      </c>
      <c r="B98" s="147" t="s">
        <v>279</v>
      </c>
      <c r="C98" s="147" t="str">
        <f>IF(B98="","",IFERROR(INDEX('UNIVERSO MAESTRO'!$C$6:$C$497,MATCH(B98,'UNIVERSO MAESTRO'!$A$6:$A$497,0)),"⚠ ID no encontrado"))</f>
        <v>AT&amp;T México</v>
      </c>
      <c r="D98" s="54" t="str">
        <f>IF(B98="","",IFERROR(INDEX('UNIVERSO MAESTRO'!$D$6:$D$497,MATCH(B98,'UNIVERSO MAESTRO'!$A$6:$A$497,0)),""))</f>
        <v>V3</v>
      </c>
      <c r="E98" s="147" t="s">
        <v>1303</v>
      </c>
      <c r="F98" s="53" t="str">
        <f>IF(E98="","",IFERROR(INDEX('UNIVERSO MAESTRO'!$C$6:$C$497,MATCH(E98,'UNIVERSO MAESTRO'!$A$6:$A$497,0)),"⚠ ID no encontrado"))</f>
        <v>Selección Mexicana de Fútbol</v>
      </c>
      <c r="G98" s="54" t="str">
        <f>IF(E98="","",IFERROR(INDEX('UNIVERSO MAESTRO'!$D$6:$D$497,MATCH(E98,'UNIVERSO MAESTRO'!$A$6:$A$497,0)),""))</f>
        <v>V1</v>
      </c>
      <c r="H98" s="147" t="s">
        <v>1572</v>
      </c>
      <c r="I98" s="147" t="s">
        <v>1579</v>
      </c>
      <c r="J98" s="147" t="s">
        <v>1574</v>
      </c>
      <c r="K98" s="148" t="s">
        <v>1640</v>
      </c>
      <c r="L98" s="148" t="s">
        <v>1641</v>
      </c>
      <c r="M98" s="148" t="s">
        <v>1642</v>
      </c>
      <c r="N98" s="54" t="str">
        <f t="shared" si="2"/>
        <v>Sí</v>
      </c>
      <c r="O98" s="54" t="str">
        <f t="shared" si="3"/>
        <v>Sí</v>
      </c>
    </row>
    <row r="99" spans="1:15" ht="60" customHeight="1" x14ac:dyDescent="0.2">
      <c r="A99" s="146" t="s">
        <v>1643</v>
      </c>
      <c r="B99" s="147" t="s">
        <v>279</v>
      </c>
      <c r="C99" s="147" t="str">
        <f>IF(B99="","",IFERROR(INDEX('UNIVERSO MAESTRO'!$C$6:$C$497,MATCH(B99,'UNIVERSO MAESTRO'!$A$6:$A$497,0)),"⚠ ID no encontrado"))</f>
        <v>AT&amp;T México</v>
      </c>
      <c r="D99" s="54" t="str">
        <f>IF(B99="","",IFERROR(INDEX('UNIVERSO MAESTRO'!$D$6:$D$497,MATCH(B99,'UNIVERSO MAESTRO'!$A$6:$A$497,0)),""))</f>
        <v>V3</v>
      </c>
      <c r="E99" s="147" t="s">
        <v>1312</v>
      </c>
      <c r="F99" s="53" t="str">
        <f>IF(E99="","",IFERROR(INDEX('UNIVERSO MAESTRO'!$C$6:$C$497,MATCH(E99,'UNIVERSO MAESTRO'!$A$6:$A$497,0)),"⚠ ID no encontrado"))</f>
        <v>Selección Mexicana Femenil</v>
      </c>
      <c r="G99" s="54" t="str">
        <f>IF(E99="","",IFERROR(INDEX('UNIVERSO MAESTRO'!$D$6:$D$497,MATCH(E99,'UNIVERSO MAESTRO'!$A$6:$A$497,0)),""))</f>
        <v>V1</v>
      </c>
      <c r="H99" s="147" t="s">
        <v>1572</v>
      </c>
      <c r="I99" s="147" t="s">
        <v>1573</v>
      </c>
      <c r="J99" s="147" t="s">
        <v>1574</v>
      </c>
      <c r="K99" s="148" t="s">
        <v>1644</v>
      </c>
      <c r="L99" s="148"/>
      <c r="M99" s="148" t="s">
        <v>1645</v>
      </c>
      <c r="N99" s="54" t="str">
        <f t="shared" si="2"/>
        <v>Sí</v>
      </c>
      <c r="O99" s="54" t="str">
        <f t="shared" si="3"/>
        <v>Sí</v>
      </c>
    </row>
    <row r="100" spans="1:15" ht="60" customHeight="1" x14ac:dyDescent="0.2">
      <c r="A100" s="146" t="s">
        <v>1646</v>
      </c>
      <c r="B100" s="147" t="s">
        <v>288</v>
      </c>
      <c r="C100" s="147" t="str">
        <f>IF(B100="","",IFERROR(INDEX('UNIVERSO MAESTRO'!$C$6:$C$497,MATCH(B100,'UNIVERSO MAESTRO'!$A$6:$A$497,0)),"⚠ ID no encontrado"))</f>
        <v>Banorte / Grupo Financiero Banorte</v>
      </c>
      <c r="D100" s="54" t="str">
        <f>IF(B100="","",IFERROR(INDEX('UNIVERSO MAESTRO'!$D$6:$D$497,MATCH(B100,'UNIVERSO MAESTRO'!$A$6:$A$497,0)),""))</f>
        <v>V3</v>
      </c>
      <c r="E100" s="147" t="s">
        <v>1123</v>
      </c>
      <c r="F100" s="53" t="str">
        <f>IF(E100="","",IFERROR(INDEX('UNIVERSO MAESTRO'!$C$6:$C$497,MATCH(E100,'UNIVERSO MAESTRO'!$A$6:$A$497,0)),"⚠ ID no encontrado"))</f>
        <v>NFL México City Games</v>
      </c>
      <c r="G100" s="54" t="str">
        <f>IF(E100="","",IFERROR(INDEX('UNIVERSO MAESTRO'!$D$6:$D$497,MATCH(E100,'UNIVERSO MAESTRO'!$A$6:$A$497,0)),""))</f>
        <v>V1</v>
      </c>
      <c r="H100" s="147" t="s">
        <v>1572</v>
      </c>
      <c r="I100" s="147" t="s">
        <v>1573</v>
      </c>
      <c r="J100" s="147" t="s">
        <v>1574</v>
      </c>
      <c r="K100" s="148" t="s">
        <v>1647</v>
      </c>
      <c r="L100" s="148" t="s">
        <v>1648</v>
      </c>
      <c r="M100" s="148" t="s">
        <v>1649</v>
      </c>
      <c r="N100" s="54" t="str">
        <f t="shared" si="2"/>
        <v>Sí</v>
      </c>
      <c r="O100" s="54" t="str">
        <f t="shared" si="3"/>
        <v>Sí</v>
      </c>
    </row>
    <row r="101" spans="1:15" ht="60" customHeight="1" x14ac:dyDescent="0.2">
      <c r="A101" s="146" t="s">
        <v>1650</v>
      </c>
      <c r="B101" s="147" t="s">
        <v>288</v>
      </c>
      <c r="C101" s="147" t="str">
        <f>IF(B101="","",IFERROR(INDEX('UNIVERSO MAESTRO'!$C$6:$C$497,MATCH(B101,'UNIVERSO MAESTRO'!$A$6:$A$497,0)),"⚠ ID no encontrado"))</f>
        <v>Banorte / Grupo Financiero Banorte</v>
      </c>
      <c r="D101" s="54" t="str">
        <f>IF(B101="","",IFERROR(INDEX('UNIVERSO MAESTRO'!$D$6:$D$497,MATCH(B101,'UNIVERSO MAESTRO'!$A$6:$A$497,0)),""))</f>
        <v>V3</v>
      </c>
      <c r="E101" s="147" t="s">
        <v>1149</v>
      </c>
      <c r="F101" s="53" t="str">
        <f>IF(E101="","",IFERROR(INDEX('UNIVERSO MAESTRO'!$C$6:$C$497,MATCH(E101,'UNIVERSO MAESTRO'!$A$6:$A$497,0)),"⚠ ID no encontrado"))</f>
        <v>Ollamani, S.A.B. / Grupo Águilas (Club América + Estadio Banorte)</v>
      </c>
      <c r="G101" s="54" t="str">
        <f>IF(E101="","",IFERROR(INDEX('UNIVERSO MAESTRO'!$D$6:$D$497,MATCH(E101,'UNIVERSO MAESTRO'!$A$6:$A$497,0)),""))</f>
        <v>V9</v>
      </c>
      <c r="H101" s="147" t="s">
        <v>1572</v>
      </c>
      <c r="I101" s="147" t="s">
        <v>1579</v>
      </c>
      <c r="J101" s="147" t="s">
        <v>1574</v>
      </c>
      <c r="K101" s="148" t="s">
        <v>1651</v>
      </c>
      <c r="L101" s="148" t="s">
        <v>1652</v>
      </c>
      <c r="M101" s="148" t="s">
        <v>1653</v>
      </c>
      <c r="N101" s="54" t="str">
        <f t="shared" si="2"/>
        <v>Sí</v>
      </c>
      <c r="O101" s="54" t="str">
        <f t="shared" si="3"/>
        <v>Sí</v>
      </c>
    </row>
    <row r="102" spans="1:15" ht="60" customHeight="1" x14ac:dyDescent="0.2">
      <c r="A102" s="146" t="s">
        <v>1654</v>
      </c>
      <c r="B102" s="147" t="s">
        <v>299</v>
      </c>
      <c r="C102" s="147" t="str">
        <f>IF(B102="","",IFERROR(INDEX('UNIVERSO MAESTRO'!$C$6:$C$497,MATCH(B102,'UNIVERSO MAESTRO'!$A$6:$A$497,0)),"⚠ ID no encontrado"))</f>
        <v>BBVA México</v>
      </c>
      <c r="D102" s="54" t="str">
        <f>IF(B102="","",IFERROR(INDEX('UNIVERSO MAESTRO'!$D$6:$D$497,MATCH(B102,'UNIVERSO MAESTRO'!$A$6:$A$497,0)),""))</f>
        <v>V3</v>
      </c>
      <c r="E102" s="147" t="s">
        <v>622</v>
      </c>
      <c r="F102" s="53" t="str">
        <f>IF(E102="","",IFERROR(INDEX('UNIVERSO MAESTRO'!$C$6:$C$497,MATCH(E102,'UNIVERSO MAESTRO'!$A$6:$A$497,0)),"⚠ ID no encontrado"))</f>
        <v>FEMSA / Club de Fútbol Monterrey Rayados</v>
      </c>
      <c r="G102" s="54" t="str">
        <f>IF(E102="","",IFERROR(INDEX('UNIVERSO MAESTRO'!$D$6:$D$497,MATCH(E102,'UNIVERSO MAESTRO'!$A$6:$A$497,0)),""))</f>
        <v>V9</v>
      </c>
      <c r="H102" s="147" t="s">
        <v>1572</v>
      </c>
      <c r="I102" s="147" t="s">
        <v>1579</v>
      </c>
      <c r="J102" s="147" t="s">
        <v>1574</v>
      </c>
      <c r="K102" s="148" t="s">
        <v>1655</v>
      </c>
      <c r="L102" s="148" t="s">
        <v>1656</v>
      </c>
      <c r="M102" s="148" t="s">
        <v>1657</v>
      </c>
      <c r="N102" s="54" t="str">
        <f t="shared" si="2"/>
        <v>Sí</v>
      </c>
      <c r="O102" s="54" t="str">
        <f t="shared" si="3"/>
        <v>Sí</v>
      </c>
    </row>
    <row r="103" spans="1:15" ht="60" customHeight="1" x14ac:dyDescent="0.2">
      <c r="A103" s="146" t="s">
        <v>1658</v>
      </c>
      <c r="B103" s="147" t="s">
        <v>299</v>
      </c>
      <c r="C103" s="147" t="str">
        <f>IF(B103="","",IFERROR(INDEX('UNIVERSO MAESTRO'!$C$6:$C$497,MATCH(B103,'UNIVERSO MAESTRO'!$A$6:$A$497,0)),"⚠ ID no encontrado"))</f>
        <v>BBVA México</v>
      </c>
      <c r="D103" s="54" t="str">
        <f>IF(B103="","",IFERROR(INDEX('UNIVERSO MAESTRO'!$D$6:$D$497,MATCH(B103,'UNIVERSO MAESTRO'!$A$6:$A$497,0)),""))</f>
        <v>V3</v>
      </c>
      <c r="E103" s="147" t="s">
        <v>969</v>
      </c>
      <c r="F103" s="53" t="str">
        <f>IF(E103="","",IFERROR(INDEX('UNIVERSO MAESTRO'!$C$6:$C$497,MATCH(E103,'UNIVERSO MAESTRO'!$A$6:$A$497,0)),"⚠ ID no encontrado"))</f>
        <v>Liga MX</v>
      </c>
      <c r="G103" s="54" t="str">
        <f>IF(E103="","",IFERROR(INDEX('UNIVERSO MAESTRO'!$D$6:$D$497,MATCH(E103,'UNIVERSO MAESTRO'!$A$6:$A$497,0)),""))</f>
        <v>V1</v>
      </c>
      <c r="H103" s="147" t="s">
        <v>1572</v>
      </c>
      <c r="I103" s="147" t="s">
        <v>1579</v>
      </c>
      <c r="J103" s="147" t="s">
        <v>1574</v>
      </c>
      <c r="K103" s="148" t="s">
        <v>1659</v>
      </c>
      <c r="L103" s="148" t="s">
        <v>1660</v>
      </c>
      <c r="M103" s="148" t="s">
        <v>1661</v>
      </c>
      <c r="N103" s="54" t="str">
        <f t="shared" si="2"/>
        <v>Sí</v>
      </c>
      <c r="O103" s="54" t="str">
        <f t="shared" si="3"/>
        <v>Sí</v>
      </c>
    </row>
    <row r="104" spans="1:15" ht="60" customHeight="1" x14ac:dyDescent="0.2">
      <c r="A104" s="146" t="s">
        <v>1662</v>
      </c>
      <c r="B104" s="147" t="s">
        <v>299</v>
      </c>
      <c r="C104" s="147" t="str">
        <f>IF(B104="","",IFERROR(INDEX('UNIVERSO MAESTRO'!$C$6:$C$497,MATCH(B104,'UNIVERSO MAESTRO'!$A$6:$A$497,0)),"⚠ ID no encontrado"))</f>
        <v>BBVA México</v>
      </c>
      <c r="D104" s="54" t="str">
        <f>IF(B104="","",IFERROR(INDEX('UNIVERSO MAESTRO'!$D$6:$D$497,MATCH(B104,'UNIVERSO MAESTRO'!$A$6:$A$497,0)),""))</f>
        <v>V3</v>
      </c>
      <c r="E104" s="147" t="s">
        <v>1039</v>
      </c>
      <c r="F104" s="53" t="str">
        <f>IF(E104="","",IFERROR(INDEX('UNIVERSO MAESTRO'!$C$6:$C$497,MATCH(E104,'UNIVERSO MAESTRO'!$A$6:$A$497,0)),"⚠ ID no encontrado"))</f>
        <v>Medio Maratón de la Ciudad de México BBVA</v>
      </c>
      <c r="G104" s="54" t="str">
        <f>IF(E104="","",IFERROR(INDEX('UNIVERSO MAESTRO'!$D$6:$D$497,MATCH(E104,'UNIVERSO MAESTRO'!$A$6:$A$497,0)),""))</f>
        <v>V1</v>
      </c>
      <c r="H104" s="147" t="s">
        <v>1572</v>
      </c>
      <c r="I104" s="147" t="s">
        <v>1579</v>
      </c>
      <c r="J104" s="147" t="s">
        <v>1574</v>
      </c>
      <c r="K104" s="148" t="s">
        <v>1663</v>
      </c>
      <c r="L104" s="148" t="s">
        <v>1664</v>
      </c>
      <c r="M104" s="148" t="s">
        <v>1665</v>
      </c>
      <c r="N104" s="54" t="str">
        <f t="shared" si="2"/>
        <v>Sí</v>
      </c>
      <c r="O104" s="54" t="str">
        <f t="shared" si="3"/>
        <v>Sí</v>
      </c>
    </row>
    <row r="105" spans="1:15" ht="60" customHeight="1" x14ac:dyDescent="0.2">
      <c r="A105" s="146" t="s">
        <v>1666</v>
      </c>
      <c r="B105" s="147" t="s">
        <v>319</v>
      </c>
      <c r="C105" s="147" t="str">
        <f>IF(B105="","",IFERROR(INDEX('UNIVERSO MAESTRO'!$C$6:$C$497,MATCH(B105,'UNIVERSO MAESTRO'!$A$6:$A$497,0)),"⚠ ID no encontrado"))</f>
        <v>Bimbo</v>
      </c>
      <c r="D105" s="54" t="str">
        <f>IF(B105="","",IFERROR(INDEX('UNIVERSO MAESTRO'!$D$6:$D$497,MATCH(B105,'UNIVERSO MAESTRO'!$A$6:$A$497,0)),""))</f>
        <v>V3</v>
      </c>
      <c r="E105" s="147" t="s">
        <v>1149</v>
      </c>
      <c r="F105" s="53" t="str">
        <f>IF(E105="","",IFERROR(INDEX('UNIVERSO MAESTRO'!$C$6:$C$497,MATCH(E105,'UNIVERSO MAESTRO'!$A$6:$A$497,0)),"⚠ ID no encontrado"))</f>
        <v>Ollamani, S.A.B. / Grupo Águilas (Club América + Estadio Banorte)</v>
      </c>
      <c r="G105" s="54" t="str">
        <f>IF(E105="","",IFERROR(INDEX('UNIVERSO MAESTRO'!$D$6:$D$497,MATCH(E105,'UNIVERSO MAESTRO'!$A$6:$A$497,0)),""))</f>
        <v>V9</v>
      </c>
      <c r="H105" s="147" t="s">
        <v>1572</v>
      </c>
      <c r="I105" s="147" t="s">
        <v>1573</v>
      </c>
      <c r="J105" s="147" t="s">
        <v>1574</v>
      </c>
      <c r="K105" s="148" t="s">
        <v>1667</v>
      </c>
      <c r="L105" s="148" t="s">
        <v>1668</v>
      </c>
      <c r="M105" s="148" t="s">
        <v>1669</v>
      </c>
      <c r="N105" s="54" t="str">
        <f t="shared" si="2"/>
        <v>Sí</v>
      </c>
      <c r="O105" s="54" t="str">
        <f t="shared" si="3"/>
        <v>Sí</v>
      </c>
    </row>
    <row r="106" spans="1:15" ht="60" customHeight="1" x14ac:dyDescent="0.2">
      <c r="A106" s="146" t="s">
        <v>1715</v>
      </c>
      <c r="B106" s="147" t="s">
        <v>433</v>
      </c>
      <c r="C106" s="147" t="str">
        <f>IF(B106="","",IFERROR(INDEX('UNIVERSO MAESTRO'!$C$6:$C$497,MATCH(B106,'UNIVERSO MAESTRO'!$A$6:$A$497,0)),"⚠ ID no encontrado"))</f>
        <v>Coca-Cola México / Coca-Cola FEMSA</v>
      </c>
      <c r="D106" s="54" t="str">
        <f>IF(B106="","",IFERROR(INDEX('UNIVERSO MAESTRO'!$D$6:$D$497,MATCH(B106,'UNIVERSO MAESTRO'!$A$6:$A$497,0)),""))</f>
        <v>V3</v>
      </c>
      <c r="E106" s="147" t="s">
        <v>471</v>
      </c>
      <c r="F106" s="53" t="str">
        <f>IF(E106="","",IFERROR(INDEX('UNIVERSO MAESTRO'!$C$6:$C$497,MATCH(E106,'UNIVERSO MAESTRO'!$A$6:$A$497,0)),"⚠ ID no encontrado"))</f>
        <v>Copa Mundial FIFA 2026 en México</v>
      </c>
      <c r="G106" s="54" t="str">
        <f>IF(E106="","",IFERROR(INDEX('UNIVERSO MAESTRO'!$D$6:$D$497,MATCH(E106,'UNIVERSO MAESTRO'!$A$6:$A$497,0)),""))</f>
        <v>V1</v>
      </c>
      <c r="H106" s="147" t="s">
        <v>1572</v>
      </c>
      <c r="I106" s="147" t="s">
        <v>1573</v>
      </c>
      <c r="J106" s="147" t="s">
        <v>1574</v>
      </c>
      <c r="K106" s="148" t="s">
        <v>1716</v>
      </c>
      <c r="L106" s="148" t="s">
        <v>1717</v>
      </c>
      <c r="M106" s="148" t="s">
        <v>1718</v>
      </c>
      <c r="N106" s="54" t="str">
        <f t="shared" si="2"/>
        <v>Sí</v>
      </c>
      <c r="O106" s="54" t="str">
        <f t="shared" si="3"/>
        <v>Sí</v>
      </c>
    </row>
    <row r="107" spans="1:15" ht="60" customHeight="1" x14ac:dyDescent="0.2">
      <c r="A107" s="146" t="s">
        <v>1719</v>
      </c>
      <c r="B107" s="147" t="s">
        <v>433</v>
      </c>
      <c r="C107" s="147" t="str">
        <f>IF(B107="","",IFERROR(INDEX('UNIVERSO MAESTRO'!$C$6:$C$497,MATCH(B107,'UNIVERSO MAESTRO'!$A$6:$A$497,0)),"⚠ ID no encontrado"))</f>
        <v>Coca-Cola México / Coca-Cola FEMSA</v>
      </c>
      <c r="D107" s="54" t="str">
        <f>IF(B107="","",IFERROR(INDEX('UNIVERSO MAESTRO'!$D$6:$D$497,MATCH(B107,'UNIVERSO MAESTRO'!$A$6:$A$497,0)),""))</f>
        <v>V3</v>
      </c>
      <c r="E107" s="147" t="s">
        <v>614</v>
      </c>
      <c r="F107" s="53" t="str">
        <f>IF(E107="","",IFERROR(INDEX('UNIVERSO MAESTRO'!$C$6:$C$497,MATCH(E107,'UNIVERSO MAESTRO'!$A$6:$A$497,0)),"⚠ ID no encontrado"))</f>
        <v>Federación Mexicana de Fútbol</v>
      </c>
      <c r="G107" s="54" t="str">
        <f>IF(E107="","",IFERROR(INDEX('UNIVERSO MAESTRO'!$D$6:$D$497,MATCH(E107,'UNIVERSO MAESTRO'!$A$6:$A$497,0)),""))</f>
        <v>V1</v>
      </c>
      <c r="H107" s="147" t="s">
        <v>1572</v>
      </c>
      <c r="I107" s="147" t="s">
        <v>1579</v>
      </c>
      <c r="J107" s="147" t="s">
        <v>1574</v>
      </c>
      <c r="K107" s="148" t="s">
        <v>1720</v>
      </c>
      <c r="L107" s="148" t="s">
        <v>1721</v>
      </c>
      <c r="M107" s="148" t="s">
        <v>1722</v>
      </c>
      <c r="N107" s="54" t="str">
        <f t="shared" si="2"/>
        <v>Sí</v>
      </c>
      <c r="O107" s="54" t="str">
        <f t="shared" si="3"/>
        <v>Sí</v>
      </c>
    </row>
    <row r="108" spans="1:15" ht="60" customHeight="1" x14ac:dyDescent="0.2">
      <c r="A108" s="146" t="s">
        <v>1723</v>
      </c>
      <c r="B108" s="147" t="s">
        <v>433</v>
      </c>
      <c r="C108" s="147" t="str">
        <f>IF(B108="","",IFERROR(INDEX('UNIVERSO MAESTRO'!$C$6:$C$497,MATCH(B108,'UNIVERSO MAESTRO'!$A$6:$A$497,0)),"⚠ ID no encontrado"))</f>
        <v>Coca-Cola México / Coca-Cola FEMSA</v>
      </c>
      <c r="D108" s="54" t="str">
        <f>IF(B108="","",IFERROR(INDEX('UNIVERSO MAESTRO'!$D$6:$D$497,MATCH(B108,'UNIVERSO MAESTRO'!$A$6:$A$497,0)),""))</f>
        <v>V3</v>
      </c>
      <c r="E108" s="147" t="s">
        <v>1216</v>
      </c>
      <c r="F108" s="53" t="str">
        <f>IF(E108="","",IFERROR(INDEX('UNIVERSO MAESTRO'!$C$6:$C$497,MATCH(E108,'UNIVERSO MAESTRO'!$A$6:$A$497,0)),"⚠ ID no encontrado"))</f>
        <v>Promofut S.A. de C.V.</v>
      </c>
      <c r="G108" s="54" t="str">
        <f>IF(E108="","",IFERROR(INDEX('UNIVERSO MAESTRO'!$D$6:$D$497,MATCH(E108,'UNIVERSO MAESTRO'!$A$6:$A$497,0)),""))</f>
        <v>V4</v>
      </c>
      <c r="H108" s="147" t="s">
        <v>1610</v>
      </c>
      <c r="I108" s="147" t="s">
        <v>1579</v>
      </c>
      <c r="J108" s="147" t="s">
        <v>1574</v>
      </c>
      <c r="K108" s="148" t="s">
        <v>1724</v>
      </c>
      <c r="L108" s="148"/>
      <c r="M108" s="148" t="s">
        <v>1725</v>
      </c>
      <c r="N108" s="54" t="str">
        <f t="shared" si="2"/>
        <v>Sí</v>
      </c>
      <c r="O108" s="54" t="str">
        <f t="shared" si="3"/>
        <v>Sí</v>
      </c>
    </row>
    <row r="109" spans="1:15" ht="60" customHeight="1" x14ac:dyDescent="0.2">
      <c r="A109" s="146" t="s">
        <v>1726</v>
      </c>
      <c r="B109" s="147" t="s">
        <v>442</v>
      </c>
      <c r="C109" s="147" t="str">
        <f>IF(B109="","",IFERROR(INDEX('UNIVERSO MAESTRO'!$C$6:$C$497,MATCH(B109,'UNIVERSO MAESTRO'!$A$6:$A$497,0)),"⚠ ID no encontrado"))</f>
        <v>Codere Online</v>
      </c>
      <c r="D109" s="54" t="str">
        <f>IF(B109="","",IFERROR(INDEX('UNIVERSO MAESTRO'!$D$6:$D$497,MATCH(B109,'UNIVERSO MAESTRO'!$A$6:$A$497,0)),""))</f>
        <v>V3</v>
      </c>
      <c r="E109" s="147" t="s">
        <v>622</v>
      </c>
      <c r="F109" s="53" t="str">
        <f>IF(E109="","",IFERROR(INDEX('UNIVERSO MAESTRO'!$C$6:$C$497,MATCH(E109,'UNIVERSO MAESTRO'!$A$6:$A$497,0)),"⚠ ID no encontrado"))</f>
        <v>FEMSA / Club de Fútbol Monterrey Rayados</v>
      </c>
      <c r="G109" s="54" t="str">
        <f>IF(E109="","",IFERROR(INDEX('UNIVERSO MAESTRO'!$D$6:$D$497,MATCH(E109,'UNIVERSO MAESTRO'!$A$6:$A$497,0)),""))</f>
        <v>V9</v>
      </c>
      <c r="H109" s="147" t="s">
        <v>1572</v>
      </c>
      <c r="I109" s="147" t="s">
        <v>1573</v>
      </c>
      <c r="J109" s="147" t="s">
        <v>1574</v>
      </c>
      <c r="K109" s="148" t="s">
        <v>1727</v>
      </c>
      <c r="L109" s="148" t="s">
        <v>1728</v>
      </c>
      <c r="M109" s="148" t="s">
        <v>1729</v>
      </c>
      <c r="N109" s="54" t="str">
        <f t="shared" si="2"/>
        <v>Sí</v>
      </c>
      <c r="O109" s="54" t="str">
        <f t="shared" si="3"/>
        <v>Sí</v>
      </c>
    </row>
    <row r="110" spans="1:15" ht="60" customHeight="1" x14ac:dyDescent="0.2">
      <c r="A110" s="146" t="s">
        <v>1760</v>
      </c>
      <c r="B110" s="147" t="s">
        <v>482</v>
      </c>
      <c r="C110" s="147" t="str">
        <f>IF(B110="","",IFERROR(INDEX('UNIVERSO MAESTRO'!$C$6:$C$497,MATCH(B110,'UNIVERSO MAESTRO'!$A$6:$A$497,0)),"⚠ ID no encontrado"))</f>
        <v>Corona / Grupo Modelo — AB InBev</v>
      </c>
      <c r="D110" s="54" t="str">
        <f>IF(B110="","",IFERROR(INDEX('UNIVERSO MAESTRO'!$D$6:$D$497,MATCH(B110,'UNIVERSO MAESTRO'!$A$6:$A$497,0)),""))</f>
        <v>V3</v>
      </c>
      <c r="E110" s="147" t="s">
        <v>1303</v>
      </c>
      <c r="F110" s="53" t="str">
        <f>IF(E110="","",IFERROR(INDEX('UNIVERSO MAESTRO'!$C$6:$C$497,MATCH(E110,'UNIVERSO MAESTRO'!$A$6:$A$497,0)),"⚠ ID no encontrado"))</f>
        <v>Selección Mexicana de Fútbol</v>
      </c>
      <c r="G110" s="54" t="str">
        <f>IF(E110="","",IFERROR(INDEX('UNIVERSO MAESTRO'!$D$6:$D$497,MATCH(E110,'UNIVERSO MAESTRO'!$A$6:$A$497,0)),""))</f>
        <v>V1</v>
      </c>
      <c r="H110" s="147" t="s">
        <v>1572</v>
      </c>
      <c r="I110" s="147" t="s">
        <v>1573</v>
      </c>
      <c r="J110" s="147" t="s">
        <v>1574</v>
      </c>
      <c r="K110" s="148" t="s">
        <v>1761</v>
      </c>
      <c r="L110" s="148" t="s">
        <v>1762</v>
      </c>
      <c r="M110" s="148" t="s">
        <v>1763</v>
      </c>
      <c r="N110" s="54" t="str">
        <f t="shared" si="2"/>
        <v>Sí</v>
      </c>
      <c r="O110" s="54" t="str">
        <f t="shared" si="3"/>
        <v>Sí</v>
      </c>
    </row>
    <row r="111" spans="1:15" ht="60" customHeight="1" x14ac:dyDescent="0.2">
      <c r="A111" s="146" t="s">
        <v>1768</v>
      </c>
      <c r="B111" s="147" t="s">
        <v>696</v>
      </c>
      <c r="C111" s="147" t="str">
        <f>IF(B111="","",IFERROR(INDEX('UNIVERSO MAESTRO'!$C$6:$C$497,MATCH(B111,'UNIVERSO MAESTRO'!$A$6:$A$497,0)),"⚠ ID no encontrado"))</f>
        <v>GNP Seguros / Grupo BAL</v>
      </c>
      <c r="D111" s="54" t="str">
        <f>IF(B111="","",IFERROR(INDEX('UNIVERSO MAESTRO'!$D$6:$D$497,MATCH(B111,'UNIVERSO MAESTRO'!$A$6:$A$497,0)),""))</f>
        <v>V3</v>
      </c>
      <c r="E111" s="147" t="s">
        <v>1519</v>
      </c>
      <c r="F111" s="53" t="str">
        <f>IF(E111="","",IFERROR(INDEX('UNIVERSO MAESTRO'!$C$6:$C$497,MATCH(E111,'UNIVERSO MAESTRO'!$A$6:$A$497,0)),"⚠ ID no encontrado"))</f>
        <v>Coliseo GNP Seguros (Zapopan, Jalisco)</v>
      </c>
      <c r="G111" s="54" t="str">
        <f>IF(E111="","",IFERROR(INDEX('UNIVERSO MAESTRO'!$D$6:$D$497,MATCH(E111,'UNIVERSO MAESTRO'!$A$6:$A$497,0)),""))</f>
        <v>V7</v>
      </c>
      <c r="H111" s="147" t="s">
        <v>1572</v>
      </c>
      <c r="I111" s="147" t="s">
        <v>1579</v>
      </c>
      <c r="J111" s="147" t="s">
        <v>1574</v>
      </c>
      <c r="K111" s="148" t="s">
        <v>1769</v>
      </c>
      <c r="L111" s="148" t="s">
        <v>1770</v>
      </c>
      <c r="M111" s="148" t="s">
        <v>1771</v>
      </c>
      <c r="N111" s="54" t="str">
        <f t="shared" si="2"/>
        <v>Sí</v>
      </c>
      <c r="O111" s="54" t="str">
        <f t="shared" si="3"/>
        <v>Sí</v>
      </c>
    </row>
    <row r="112" spans="1:15" ht="60" customHeight="1" x14ac:dyDescent="0.2">
      <c r="A112" s="146" t="s">
        <v>1783</v>
      </c>
      <c r="B112" s="147" t="s">
        <v>521</v>
      </c>
      <c r="C112" s="147" t="str">
        <f>IF(B112="","",IFERROR(INDEX('UNIVERSO MAESTRO'!$C$6:$C$497,MATCH(B112,'UNIVERSO MAESTRO'!$A$6:$A$497,0)),"⚠ ID no encontrado"))</f>
        <v>Electrolit / Grupo PiSA</v>
      </c>
      <c r="D112" s="54" t="str">
        <f>IF(B112="","",IFERROR(INDEX('UNIVERSO MAESTRO'!$D$6:$D$497,MATCH(B112,'UNIVERSO MAESTRO'!$A$6:$A$497,0)),""))</f>
        <v>V3</v>
      </c>
      <c r="E112" s="147" t="s">
        <v>622</v>
      </c>
      <c r="F112" s="53" t="str">
        <f>IF(E112="","",IFERROR(INDEX('UNIVERSO MAESTRO'!$C$6:$C$497,MATCH(E112,'UNIVERSO MAESTRO'!$A$6:$A$497,0)),"⚠ ID no encontrado"))</f>
        <v>FEMSA / Club de Fútbol Monterrey Rayados</v>
      </c>
      <c r="G112" s="54" t="str">
        <f>IF(E112="","",IFERROR(INDEX('UNIVERSO MAESTRO'!$D$6:$D$497,MATCH(E112,'UNIVERSO MAESTRO'!$A$6:$A$497,0)),""))</f>
        <v>V9</v>
      </c>
      <c r="H112" s="147" t="s">
        <v>1572</v>
      </c>
      <c r="I112" s="147" t="s">
        <v>1573</v>
      </c>
      <c r="J112" s="147" t="s">
        <v>1574</v>
      </c>
      <c r="K112" s="148" t="s">
        <v>1784</v>
      </c>
      <c r="L112" s="148"/>
      <c r="M112" s="148" t="s">
        <v>1785</v>
      </c>
      <c r="N112" s="54" t="str">
        <f t="shared" si="2"/>
        <v>Sí</v>
      </c>
      <c r="O112" s="54" t="str">
        <f t="shared" si="3"/>
        <v>Sí</v>
      </c>
    </row>
    <row r="113" spans="1:15" ht="60" customHeight="1" x14ac:dyDescent="0.2">
      <c r="A113" s="146" t="s">
        <v>1786</v>
      </c>
      <c r="B113" s="147" t="s">
        <v>521</v>
      </c>
      <c r="C113" s="147" t="str">
        <f>IF(B113="","",IFERROR(INDEX('UNIVERSO MAESTRO'!$C$6:$C$497,MATCH(B113,'UNIVERSO MAESTRO'!$A$6:$A$497,0)),"⚠ ID no encontrado"))</f>
        <v>Electrolit / Grupo PiSA</v>
      </c>
      <c r="D113" s="54" t="str">
        <f>IF(B113="","",IFERROR(INDEX('UNIVERSO MAESTRO'!$D$6:$D$497,MATCH(B113,'UNIVERSO MAESTRO'!$A$6:$A$497,0)),""))</f>
        <v>V3</v>
      </c>
      <c r="E113" s="147" t="s">
        <v>969</v>
      </c>
      <c r="F113" s="53" t="str">
        <f>IF(E113="","",IFERROR(INDEX('UNIVERSO MAESTRO'!$C$6:$C$497,MATCH(E113,'UNIVERSO MAESTRO'!$A$6:$A$497,0)),"⚠ ID no encontrado"))</f>
        <v>Liga MX</v>
      </c>
      <c r="G113" s="54" t="str">
        <f>IF(E113="","",IFERROR(INDEX('UNIVERSO MAESTRO'!$D$6:$D$497,MATCH(E113,'UNIVERSO MAESTRO'!$A$6:$A$497,0)),""))</f>
        <v>V1</v>
      </c>
      <c r="H113" s="147" t="s">
        <v>1572</v>
      </c>
      <c r="I113" s="147" t="s">
        <v>1573</v>
      </c>
      <c r="J113" s="147" t="s">
        <v>1574</v>
      </c>
      <c r="K113" s="148" t="s">
        <v>1787</v>
      </c>
      <c r="L113" s="148" t="s">
        <v>1788</v>
      </c>
      <c r="M113" s="148" t="s">
        <v>1789</v>
      </c>
      <c r="N113" s="54" t="str">
        <f t="shared" si="2"/>
        <v>Sí</v>
      </c>
      <c r="O113" s="54" t="str">
        <f t="shared" si="3"/>
        <v>Sí</v>
      </c>
    </row>
    <row r="114" spans="1:15" ht="60" customHeight="1" x14ac:dyDescent="0.2">
      <c r="A114" s="146" t="s">
        <v>1790</v>
      </c>
      <c r="B114" s="147" t="s">
        <v>521</v>
      </c>
      <c r="C114" s="147" t="str">
        <f>IF(B114="","",IFERROR(INDEX('UNIVERSO MAESTRO'!$C$6:$C$497,MATCH(B114,'UNIVERSO MAESTRO'!$A$6:$A$497,0)),"⚠ ID no encontrado"))</f>
        <v>Electrolit / Grupo PiSA</v>
      </c>
      <c r="D114" s="54" t="str">
        <f>IF(B114="","",IFERROR(INDEX('UNIVERSO MAESTRO'!$D$6:$D$497,MATCH(B114,'UNIVERSO MAESTRO'!$A$6:$A$497,0)),""))</f>
        <v>V3</v>
      </c>
      <c r="E114" s="147" t="s">
        <v>1039</v>
      </c>
      <c r="F114" s="53" t="str">
        <f>IF(E114="","",IFERROR(INDEX('UNIVERSO MAESTRO'!$C$6:$C$497,MATCH(E114,'UNIVERSO MAESTRO'!$A$6:$A$497,0)),"⚠ ID no encontrado"))</f>
        <v>Medio Maratón de la Ciudad de México BBVA</v>
      </c>
      <c r="G114" s="54" t="str">
        <f>IF(E114="","",IFERROR(INDEX('UNIVERSO MAESTRO'!$D$6:$D$497,MATCH(E114,'UNIVERSO MAESTRO'!$A$6:$A$497,0)),""))</f>
        <v>V1</v>
      </c>
      <c r="H114" s="147" t="s">
        <v>1572</v>
      </c>
      <c r="I114" s="147" t="s">
        <v>1573</v>
      </c>
      <c r="J114" s="147" t="s">
        <v>1574</v>
      </c>
      <c r="K114" s="148" t="s">
        <v>1791</v>
      </c>
      <c r="L114" s="148" t="s">
        <v>1792</v>
      </c>
      <c r="M114" s="148" t="s">
        <v>1793</v>
      </c>
      <c r="N114" s="54" t="str">
        <f t="shared" si="2"/>
        <v>Sí</v>
      </c>
      <c r="O114" s="54" t="str">
        <f t="shared" si="3"/>
        <v>Sí</v>
      </c>
    </row>
    <row r="115" spans="1:15" ht="60" customHeight="1" x14ac:dyDescent="0.2">
      <c r="A115" s="146" t="s">
        <v>1794</v>
      </c>
      <c r="B115" s="147" t="s">
        <v>521</v>
      </c>
      <c r="C115" s="147" t="str">
        <f>IF(B115="","",IFERROR(INDEX('UNIVERSO MAESTRO'!$C$6:$C$497,MATCH(B115,'UNIVERSO MAESTRO'!$A$6:$A$497,0)),"⚠ ID no encontrado"))</f>
        <v>Electrolit / Grupo PiSA</v>
      </c>
      <c r="D115" s="54" t="str">
        <f>IF(B115="","",IFERROR(INDEX('UNIVERSO MAESTRO'!$D$6:$D$497,MATCH(B115,'UNIVERSO MAESTRO'!$A$6:$A$497,0)),""))</f>
        <v>V3</v>
      </c>
      <c r="E115" s="147" t="s">
        <v>1049</v>
      </c>
      <c r="F115" s="53" t="str">
        <f>IF(E115="","",IFERROR(INDEX('UNIVERSO MAESTRO'!$C$6:$C$497,MATCH(E115,'UNIVERSO MAESTRO'!$A$6:$A$497,0)),"⚠ ID no encontrado"))</f>
        <v>Medio Maratón Internacional Guadalajara Electrolit</v>
      </c>
      <c r="G115" s="54" t="str">
        <f>IF(E115="","",IFERROR(INDEX('UNIVERSO MAESTRO'!$D$6:$D$497,MATCH(E115,'UNIVERSO MAESTRO'!$A$6:$A$497,0)),""))</f>
        <v>V1</v>
      </c>
      <c r="H115" s="147" t="s">
        <v>1572</v>
      </c>
      <c r="I115" s="147" t="s">
        <v>1579</v>
      </c>
      <c r="J115" s="147" t="s">
        <v>1574</v>
      </c>
      <c r="K115" s="148" t="s">
        <v>1795</v>
      </c>
      <c r="L115" s="148" t="s">
        <v>1796</v>
      </c>
      <c r="M115" s="148" t="s">
        <v>1797</v>
      </c>
      <c r="N115" s="54" t="str">
        <f t="shared" si="2"/>
        <v>Sí</v>
      </c>
      <c r="O115" s="54" t="str">
        <f t="shared" si="3"/>
        <v>Sí</v>
      </c>
    </row>
    <row r="116" spans="1:15" ht="60" customHeight="1" x14ac:dyDescent="0.2">
      <c r="A116" s="146" t="s">
        <v>1798</v>
      </c>
      <c r="B116" s="147" t="s">
        <v>521</v>
      </c>
      <c r="C116" s="147" t="str">
        <f>IF(B116="","",IFERROR(INDEX('UNIVERSO MAESTRO'!$C$6:$C$497,MATCH(B116,'UNIVERSO MAESTRO'!$A$6:$A$497,0)),"⚠ ID no encontrado"))</f>
        <v>Electrolit / Grupo PiSA</v>
      </c>
      <c r="D116" s="54" t="str">
        <f>IF(B116="","",IFERROR(INDEX('UNIVERSO MAESTRO'!$D$6:$D$497,MATCH(B116,'UNIVERSO MAESTRO'!$A$6:$A$497,0)),""))</f>
        <v>V3</v>
      </c>
      <c r="E116" s="147" t="s">
        <v>1149</v>
      </c>
      <c r="F116" s="53" t="str">
        <f>IF(E116="","",IFERROR(INDEX('UNIVERSO MAESTRO'!$C$6:$C$497,MATCH(E116,'UNIVERSO MAESTRO'!$A$6:$A$497,0)),"⚠ ID no encontrado"))</f>
        <v>Ollamani, S.A.B. / Grupo Águilas (Club América + Estadio Banorte)</v>
      </c>
      <c r="G116" s="54" t="str">
        <f>IF(E116="","",IFERROR(INDEX('UNIVERSO MAESTRO'!$D$6:$D$497,MATCH(E116,'UNIVERSO MAESTRO'!$A$6:$A$497,0)),""))</f>
        <v>V9</v>
      </c>
      <c r="H116" s="147" t="s">
        <v>1572</v>
      </c>
      <c r="I116" s="147" t="s">
        <v>1573</v>
      </c>
      <c r="J116" s="147" t="s">
        <v>1574</v>
      </c>
      <c r="K116" s="148" t="s">
        <v>1799</v>
      </c>
      <c r="L116" s="148" t="s">
        <v>1800</v>
      </c>
      <c r="M116" s="148" t="s">
        <v>1801</v>
      </c>
      <c r="N116" s="54" t="str">
        <f t="shared" si="2"/>
        <v>Sí</v>
      </c>
      <c r="O116" s="54" t="str">
        <f t="shared" si="3"/>
        <v>Sí</v>
      </c>
    </row>
    <row r="117" spans="1:15" ht="60" customHeight="1" x14ac:dyDescent="0.2">
      <c r="A117" s="146" t="s">
        <v>1956</v>
      </c>
      <c r="B117" s="147" t="s">
        <v>696</v>
      </c>
      <c r="C117" s="147" t="str">
        <f>IF(B117="","",IFERROR(INDEX('UNIVERSO MAESTRO'!$C$6:$C$497,MATCH(B117,'UNIVERSO MAESTRO'!$A$6:$A$497,0)),"⚠ ID no encontrado"))</f>
        <v>GNP Seguros / Grupo BAL</v>
      </c>
      <c r="D117" s="54" t="str">
        <f>IF(B117="","",IFERROR(INDEX('UNIVERSO MAESTRO'!$D$6:$D$497,MATCH(B117,'UNIVERSO MAESTRO'!$A$6:$A$497,0)),""))</f>
        <v>V3</v>
      </c>
      <c r="E117" s="147" t="s">
        <v>1073</v>
      </c>
      <c r="F117" s="53" t="str">
        <f>IF(E117="","",IFERROR(INDEX('UNIVERSO MAESTRO'!$C$6:$C$497,MATCH(E117,'UNIVERSO MAESTRO'!$A$6:$A$497,0)),"⚠ ID no encontrado"))</f>
        <v>Mextenis S.A. de C.V. (Grupo Pegaso)</v>
      </c>
      <c r="G117" s="54" t="str">
        <f>IF(E117="","",IFERROR(INDEX('UNIVERSO MAESTRO'!$D$6:$D$497,MATCH(E117,'UNIVERSO MAESTRO'!$A$6:$A$497,0)),""))</f>
        <v>V5</v>
      </c>
      <c r="H117" s="147" t="s">
        <v>1572</v>
      </c>
      <c r="I117" s="147" t="s">
        <v>1573</v>
      </c>
      <c r="J117" s="147" t="s">
        <v>1574</v>
      </c>
      <c r="K117" s="148" t="s">
        <v>1957</v>
      </c>
      <c r="L117" s="148" t="s">
        <v>1958</v>
      </c>
      <c r="M117" s="148" t="s">
        <v>1959</v>
      </c>
      <c r="N117" s="54" t="str">
        <f t="shared" si="2"/>
        <v>Sí</v>
      </c>
      <c r="O117" s="54" t="str">
        <f t="shared" si="3"/>
        <v>Sí</v>
      </c>
    </row>
    <row r="118" spans="1:15" ht="60" customHeight="1" x14ac:dyDescent="0.2">
      <c r="A118" s="146" t="s">
        <v>1960</v>
      </c>
      <c r="B118" s="147" t="s">
        <v>696</v>
      </c>
      <c r="C118" s="147" t="str">
        <f>IF(B118="","",IFERROR(INDEX('UNIVERSO MAESTRO'!$C$6:$C$497,MATCH(B118,'UNIVERSO MAESTRO'!$A$6:$A$497,0)),"⚠ ID no encontrado"))</f>
        <v>GNP Seguros / Grupo BAL</v>
      </c>
      <c r="D118" s="54" t="str">
        <f>IF(B118="","",IFERROR(INDEX('UNIVERSO MAESTRO'!$D$6:$D$497,MATCH(B118,'UNIVERSO MAESTRO'!$A$6:$A$497,0)),""))</f>
        <v>V3</v>
      </c>
      <c r="E118" s="147" t="s">
        <v>400</v>
      </c>
      <c r="F118" s="53" t="str">
        <f>IF(E118="","",IFERROR(INDEX('UNIVERSO MAESTRO'!$C$6:$C$497,MATCH(E118,'UNIVERSO MAESTRO'!$A$6:$A$497,0)),"⚠ ID no encontrado"))</f>
        <v>CIE / OCESA (V5 Experiencias)</v>
      </c>
      <c r="G118" s="54" t="str">
        <f>IF(E118="","",IFERROR(INDEX('UNIVERSO MAESTRO'!$D$6:$D$497,MATCH(E118,'UNIVERSO MAESTRO'!$A$6:$A$497,0)),""))</f>
        <v>V5</v>
      </c>
      <c r="H118" s="147" t="s">
        <v>1572</v>
      </c>
      <c r="I118" s="147" t="s">
        <v>1573</v>
      </c>
      <c r="J118" s="147" t="s">
        <v>1574</v>
      </c>
      <c r="K118" s="148" t="s">
        <v>1961</v>
      </c>
      <c r="L118" s="148" t="s">
        <v>1962</v>
      </c>
      <c r="M118" s="148" t="s">
        <v>1963</v>
      </c>
      <c r="N118" s="54" t="str">
        <f t="shared" si="2"/>
        <v>Sí</v>
      </c>
      <c r="O118" s="54" t="str">
        <f t="shared" si="3"/>
        <v>Sí</v>
      </c>
    </row>
    <row r="119" spans="1:15" ht="60" customHeight="1" x14ac:dyDescent="0.2">
      <c r="A119" s="146" t="s">
        <v>1964</v>
      </c>
      <c r="B119" s="147" t="s">
        <v>696</v>
      </c>
      <c r="C119" s="147" t="str">
        <f>IF(B119="","",IFERROR(INDEX('UNIVERSO MAESTRO'!$C$6:$C$497,MATCH(B119,'UNIVERSO MAESTRO'!$A$6:$A$497,0)),"⚠ ID no encontrado"))</f>
        <v>GNP Seguros / Grupo BAL</v>
      </c>
      <c r="D119" s="54" t="str">
        <f>IF(B119="","",IFERROR(INDEX('UNIVERSO MAESTRO'!$D$6:$D$497,MATCH(B119,'UNIVERSO MAESTRO'!$A$6:$A$497,0)),""))</f>
        <v>V3</v>
      </c>
      <c r="E119" s="147" t="s">
        <v>688</v>
      </c>
      <c r="F119" s="53" t="str">
        <f>IF(E119="","",IFERROR(INDEX('UNIVERSO MAESTRO'!$C$6:$C$497,MATCH(E119,'UNIVERSO MAESTRO'!$A$6:$A$497,0)),"⚠ ID no encontrado"))</f>
        <v>Global Champions Tour — LGCT México</v>
      </c>
      <c r="G119" s="54" t="str">
        <f>IF(E119="","",IFERROR(INDEX('UNIVERSO MAESTRO'!$D$6:$D$497,MATCH(E119,'UNIVERSO MAESTRO'!$A$6:$A$497,0)),""))</f>
        <v>V1</v>
      </c>
      <c r="H119" s="147" t="s">
        <v>1572</v>
      </c>
      <c r="I119" s="147" t="s">
        <v>1573</v>
      </c>
      <c r="J119" s="147" t="s">
        <v>1574</v>
      </c>
      <c r="K119" s="148" t="s">
        <v>1965</v>
      </c>
      <c r="L119" s="148" t="s">
        <v>1966</v>
      </c>
      <c r="M119" s="148" t="s">
        <v>1967</v>
      </c>
      <c r="N119" s="54" t="str">
        <f t="shared" si="2"/>
        <v>Sí</v>
      </c>
      <c r="O119" s="54" t="str">
        <f t="shared" si="3"/>
        <v>Sí</v>
      </c>
    </row>
    <row r="120" spans="1:15" ht="60" customHeight="1" x14ac:dyDescent="0.2">
      <c r="A120" s="146" t="s">
        <v>2041</v>
      </c>
      <c r="B120" s="147" t="s">
        <v>855</v>
      </c>
      <c r="C120" s="147" t="str">
        <f>IF(B120="","",IFERROR(INDEX('UNIVERSO MAESTRO'!$C$6:$C$497,MATCH(B120,'UNIVERSO MAESTRO'!$A$6:$A$497,0)),"⚠ ID no encontrado"))</f>
        <v>Heineken México</v>
      </c>
      <c r="D120" s="54" t="str">
        <f>IF(B120="","",IFERROR(INDEX('UNIVERSO MAESTRO'!$D$6:$D$497,MATCH(B120,'UNIVERSO MAESTRO'!$A$6:$A$497,0)),""))</f>
        <v>V3</v>
      </c>
      <c r="E120" s="147" t="s">
        <v>712</v>
      </c>
      <c r="F120" s="53" t="str">
        <f>IF(E120="","",IFERROR(INDEX('UNIVERSO MAESTRO'!$C$6:$C$497,MATCH(E120,'UNIVERSO MAESTRO'!$A$6:$A$497,0)),"⚠ ID no encontrado"))</f>
        <v>Gran Premio de México — Fórmula 1</v>
      </c>
      <c r="G120" s="54" t="str">
        <f>IF(E120="","",IFERROR(INDEX('UNIVERSO MAESTRO'!$D$6:$D$497,MATCH(E120,'UNIVERSO MAESTRO'!$A$6:$A$497,0)),""))</f>
        <v>V1</v>
      </c>
      <c r="H120" s="147" t="s">
        <v>1572</v>
      </c>
      <c r="I120" s="147" t="s">
        <v>1579</v>
      </c>
      <c r="J120" s="147" t="s">
        <v>1574</v>
      </c>
      <c r="K120" s="148" t="s">
        <v>2042</v>
      </c>
      <c r="L120" s="148" t="s">
        <v>2043</v>
      </c>
      <c r="M120" s="148" t="s">
        <v>2044</v>
      </c>
      <c r="N120" s="54" t="str">
        <f t="shared" si="2"/>
        <v>Sí</v>
      </c>
      <c r="O120" s="54" t="str">
        <f t="shared" si="3"/>
        <v>Sí</v>
      </c>
    </row>
    <row r="121" spans="1:15" ht="60" customHeight="1" x14ac:dyDescent="0.2">
      <c r="A121" s="146" t="s">
        <v>2045</v>
      </c>
      <c r="B121" s="147" t="s">
        <v>855</v>
      </c>
      <c r="C121" s="147" t="str">
        <f>IF(B121="","",IFERROR(INDEX('UNIVERSO MAESTRO'!$C$6:$C$497,MATCH(B121,'UNIVERSO MAESTRO'!$A$6:$A$497,0)),"⚠ ID no encontrado"))</f>
        <v>Heineken México</v>
      </c>
      <c r="D121" s="54" t="str">
        <f>IF(B121="","",IFERROR(INDEX('UNIVERSO MAESTRO'!$D$6:$D$497,MATCH(B121,'UNIVERSO MAESTRO'!$A$6:$A$497,0)),""))</f>
        <v>V3</v>
      </c>
      <c r="E121" s="147" t="s">
        <v>969</v>
      </c>
      <c r="F121" s="53" t="str">
        <f>IF(E121="","",IFERROR(INDEX('UNIVERSO MAESTRO'!$C$6:$C$497,MATCH(E121,'UNIVERSO MAESTRO'!$A$6:$A$497,0)),"⚠ ID no encontrado"))</f>
        <v>Liga MX</v>
      </c>
      <c r="G121" s="54" t="str">
        <f>IF(E121="","",IFERROR(INDEX('UNIVERSO MAESTRO'!$D$6:$D$497,MATCH(E121,'UNIVERSO MAESTRO'!$A$6:$A$497,0)),""))</f>
        <v>V1</v>
      </c>
      <c r="H121" s="147" t="s">
        <v>1572</v>
      </c>
      <c r="I121" s="147" t="s">
        <v>1573</v>
      </c>
      <c r="J121" s="147" t="s">
        <v>1574</v>
      </c>
      <c r="K121" s="148" t="s">
        <v>2046</v>
      </c>
      <c r="L121" s="148"/>
      <c r="M121" s="148" t="s">
        <v>2047</v>
      </c>
      <c r="N121" s="54" t="str">
        <f t="shared" si="2"/>
        <v>Sí</v>
      </c>
      <c r="O121" s="54" t="str">
        <f t="shared" si="3"/>
        <v>Sí</v>
      </c>
    </row>
    <row r="122" spans="1:15" ht="60" customHeight="1" x14ac:dyDescent="0.2">
      <c r="A122" s="146" t="s">
        <v>2048</v>
      </c>
      <c r="B122" s="147" t="s">
        <v>869</v>
      </c>
      <c r="C122" s="147" t="str">
        <f>IF(B122="","",IFERROR(INDEX('UNIVERSO MAESTRO'!$C$6:$C$497,MATCH(B122,'UNIVERSO MAESTRO'!$A$6:$A$497,0)),"⚠ ID no encontrado"))</f>
        <v>Hisense</v>
      </c>
      <c r="D122" s="54" t="str">
        <f>IF(B122="","",IFERROR(INDEX('UNIVERSO MAESTRO'!$D$6:$D$497,MATCH(B122,'UNIVERSO MAESTRO'!$A$6:$A$497,0)),""))</f>
        <v>V3</v>
      </c>
      <c r="E122" s="147" t="s">
        <v>471</v>
      </c>
      <c r="F122" s="53" t="str">
        <f>IF(E122="","",IFERROR(INDEX('UNIVERSO MAESTRO'!$C$6:$C$497,MATCH(E122,'UNIVERSO MAESTRO'!$A$6:$A$497,0)),"⚠ ID no encontrado"))</f>
        <v>Copa Mundial FIFA 2026 en México</v>
      </c>
      <c r="G122" s="54" t="str">
        <f>IF(E122="","",IFERROR(INDEX('UNIVERSO MAESTRO'!$D$6:$D$497,MATCH(E122,'UNIVERSO MAESTRO'!$A$6:$A$497,0)),""))</f>
        <v>V1</v>
      </c>
      <c r="H122" s="147" t="s">
        <v>1572</v>
      </c>
      <c r="I122" s="147" t="s">
        <v>1573</v>
      </c>
      <c r="J122" s="147" t="s">
        <v>1574</v>
      </c>
      <c r="K122" s="148" t="s">
        <v>2049</v>
      </c>
      <c r="L122" s="148" t="s">
        <v>2050</v>
      </c>
      <c r="M122" s="148" t="s">
        <v>2051</v>
      </c>
      <c r="N122" s="54" t="str">
        <f t="shared" si="2"/>
        <v>Sí</v>
      </c>
      <c r="O122" s="54" t="str">
        <f t="shared" si="3"/>
        <v>Sí</v>
      </c>
    </row>
    <row r="123" spans="1:15" ht="60" customHeight="1" x14ac:dyDescent="0.2">
      <c r="A123" s="146" t="s">
        <v>2100</v>
      </c>
      <c r="B123" s="147" t="s">
        <v>951</v>
      </c>
      <c r="C123" s="147" t="str">
        <f>IF(B123="","",IFERROR(INDEX('UNIVERSO MAESTRO'!$C$6:$C$497,MATCH(B123,'UNIVERSO MAESTRO'!$A$6:$A$497,0)),"⚠ ID no encontrado"))</f>
        <v>Libertad Financiera</v>
      </c>
      <c r="D123" s="54" t="str">
        <f>IF(B123="","",IFERROR(INDEX('UNIVERSO MAESTRO'!$D$6:$D$497,MATCH(B123,'UNIVERSO MAESTRO'!$A$6:$A$497,0)),""))</f>
        <v>V3</v>
      </c>
      <c r="E123" s="147" t="s">
        <v>244</v>
      </c>
      <c r="F123" s="53" t="str">
        <f>IF(E123="","",IFERROR(INDEX('UNIVERSO MAESTRO'!$C$6:$C$497,MATCH(E123,'UNIVERSO MAESTRO'!$A$6:$A$497,0)),"⚠ ID no encontrado"))</f>
        <v>Apollo Sports Capital</v>
      </c>
      <c r="G123" s="54" t="str">
        <f>IF(E123="","",IFERROR(INDEX('UNIVERSO MAESTRO'!$D$6:$D$497,MATCH(E123,'UNIVERSO MAESTRO'!$A$6:$A$497,0)),""))</f>
        <v>V9</v>
      </c>
      <c r="H123" s="147" t="s">
        <v>1572</v>
      </c>
      <c r="I123" s="147" t="s">
        <v>1611</v>
      </c>
      <c r="J123" s="147" t="s">
        <v>1574</v>
      </c>
      <c r="K123" s="148" t="s">
        <v>2101</v>
      </c>
      <c r="L123" s="148"/>
      <c r="M123" s="148" t="s">
        <v>2102</v>
      </c>
      <c r="N123" s="54" t="str">
        <f t="shared" si="2"/>
        <v>Sí</v>
      </c>
      <c r="O123" s="54" t="str">
        <f t="shared" si="3"/>
        <v>No</v>
      </c>
    </row>
    <row r="124" spans="1:15" ht="60" customHeight="1" x14ac:dyDescent="0.2">
      <c r="A124" s="146" t="s">
        <v>2140</v>
      </c>
      <c r="B124" s="147" t="s">
        <v>990</v>
      </c>
      <c r="C124" s="147" t="str">
        <f>IF(B124="","",IFERROR(INDEX('UNIVERSO MAESTRO'!$C$6:$C$497,MATCH(B124,'UNIVERSO MAESTRO'!$A$6:$A$497,0)),"⚠ ID no encontrado"))</f>
        <v>Maggi / Nestlé</v>
      </c>
      <c r="D124" s="54" t="str">
        <f>IF(B124="","",IFERROR(INDEX('UNIVERSO MAESTRO'!$D$6:$D$497,MATCH(B124,'UNIVERSO MAESTRO'!$A$6:$A$497,0)),""))</f>
        <v>V3</v>
      </c>
      <c r="E124" s="147" t="s">
        <v>614</v>
      </c>
      <c r="F124" s="53" t="str">
        <f>IF(E124="","",IFERROR(INDEX('UNIVERSO MAESTRO'!$C$6:$C$497,MATCH(E124,'UNIVERSO MAESTRO'!$A$6:$A$497,0)),"⚠ ID no encontrado"))</f>
        <v>Federación Mexicana de Fútbol</v>
      </c>
      <c r="G124" s="54" t="str">
        <f>IF(E124="","",IFERROR(INDEX('UNIVERSO MAESTRO'!$D$6:$D$497,MATCH(E124,'UNIVERSO MAESTRO'!$A$6:$A$497,0)),""))</f>
        <v>V1</v>
      </c>
      <c r="H124" s="147" t="s">
        <v>1572</v>
      </c>
      <c r="I124" s="147" t="s">
        <v>1611</v>
      </c>
      <c r="J124" s="147" t="s">
        <v>1574</v>
      </c>
      <c r="K124" s="148" t="s">
        <v>2141</v>
      </c>
      <c r="L124" s="148"/>
      <c r="M124" s="148" t="s">
        <v>2142</v>
      </c>
      <c r="N124" s="54" t="str">
        <f t="shared" si="2"/>
        <v>Sí</v>
      </c>
      <c r="O124" s="54" t="str">
        <f t="shared" si="3"/>
        <v>No</v>
      </c>
    </row>
    <row r="125" spans="1:15" ht="60" customHeight="1" x14ac:dyDescent="0.2">
      <c r="A125" s="146" t="s">
        <v>2143</v>
      </c>
      <c r="B125" s="147" t="s">
        <v>1017</v>
      </c>
      <c r="C125" s="147" t="str">
        <f>IF(B125="","",IFERROR(INDEX('UNIVERSO MAESTRO'!$C$6:$C$497,MATCH(B125,'UNIVERSO MAESTRO'!$A$6:$A$497,0)),"⚠ ID no encontrado"))</f>
        <v>Mattel de México SA de CV</v>
      </c>
      <c r="D125" s="54" t="str">
        <f>IF(B125="","",IFERROR(INDEX('UNIVERSO MAESTRO'!$D$6:$D$497,MATCH(B125,'UNIVERSO MAESTRO'!$A$6:$A$497,0)),""))</f>
        <v>V3</v>
      </c>
      <c r="E125" s="147" t="s">
        <v>264</v>
      </c>
      <c r="F125" s="53" t="str">
        <f>IF(E125="","",IFERROR(INDEX('UNIVERSO MAESTRO'!$C$6:$C$497,MATCH(E125,'UNIVERSO MAESTRO'!$A$6:$A$497,0)),"⚠ ID no encontrado"))</f>
        <v>ASdeporte (Asdeporte SA de CV)</v>
      </c>
      <c r="G125" s="54" t="str">
        <f>IF(E125="","",IFERROR(INDEX('UNIVERSO MAESTRO'!$D$6:$D$497,MATCH(E125,'UNIVERSO MAESTRO'!$A$6:$A$497,0)),""))</f>
        <v>V5</v>
      </c>
      <c r="H125" s="147" t="s">
        <v>1572</v>
      </c>
      <c r="I125" s="147" t="s">
        <v>1579</v>
      </c>
      <c r="J125" s="147" t="s">
        <v>1574</v>
      </c>
      <c r="K125" s="148" t="s">
        <v>2144</v>
      </c>
      <c r="L125" s="148" t="s">
        <v>2145</v>
      </c>
      <c r="M125" s="148" t="s">
        <v>2146</v>
      </c>
      <c r="N125" s="54" t="str">
        <f t="shared" si="2"/>
        <v>Sí</v>
      </c>
      <c r="O125" s="54" t="str">
        <f t="shared" si="3"/>
        <v>Sí</v>
      </c>
    </row>
    <row r="126" spans="1:15" ht="60" customHeight="1" x14ac:dyDescent="0.2">
      <c r="A126" s="146" t="s">
        <v>2155</v>
      </c>
      <c r="B126" s="147" t="s">
        <v>1066</v>
      </c>
      <c r="C126" s="147" t="str">
        <f>IF(B126="","",IFERROR(INDEX('UNIVERSO MAESTRO'!$C$6:$C$497,MATCH(B126,'UNIVERSO MAESTRO'!$A$6:$A$497,0)),"⚠ ID no encontrado"))</f>
        <v>Mercado Pago / MercadoLibre</v>
      </c>
      <c r="D126" s="54" t="str">
        <f>IF(B126="","",IFERROR(INDEX('UNIVERSO MAESTRO'!$D$6:$D$497,MATCH(B126,'UNIVERSO MAESTRO'!$A$6:$A$497,0)),""))</f>
        <v>V3</v>
      </c>
      <c r="E126" s="147" t="s">
        <v>771</v>
      </c>
      <c r="F126" s="53" t="str">
        <f>IF(E126="","",IFERROR(INDEX('UNIVERSO MAESTRO'!$C$6:$C$497,MATCH(E126,'UNIVERSO MAESTRO'!$A$6:$A$497,0)),"⚠ ID no encontrado"))</f>
        <v>Grupo Omnilife / Amaury Vergara / Chivas</v>
      </c>
      <c r="G126" s="54" t="str">
        <f>IF(E126="","",IFERROR(INDEX('UNIVERSO MAESTRO'!$D$6:$D$497,MATCH(E126,'UNIVERSO MAESTRO'!$A$6:$A$497,0)),""))</f>
        <v>V9</v>
      </c>
      <c r="H126" s="147" t="s">
        <v>1572</v>
      </c>
      <c r="I126" s="147" t="s">
        <v>1573</v>
      </c>
      <c r="J126" s="147" t="s">
        <v>1574</v>
      </c>
      <c r="K126" s="148" t="s">
        <v>2156</v>
      </c>
      <c r="L126" s="148"/>
      <c r="M126" s="148" t="s">
        <v>1669</v>
      </c>
      <c r="N126" s="54" t="str">
        <f t="shared" si="2"/>
        <v>Sí</v>
      </c>
      <c r="O126" s="54" t="str">
        <f t="shared" si="3"/>
        <v>Sí</v>
      </c>
    </row>
    <row r="127" spans="1:15" ht="60" customHeight="1" x14ac:dyDescent="0.2">
      <c r="A127" s="146" t="s">
        <v>2176</v>
      </c>
      <c r="B127" s="147" t="s">
        <v>1116</v>
      </c>
      <c r="C127" s="147" t="str">
        <f>IF(B127="","",IFERROR(INDEX('UNIVERSO MAESTRO'!$C$6:$C$497,MATCH(B127,'UNIVERSO MAESTRO'!$A$6:$A$497,0)),"⚠ ID no encontrado"))</f>
        <v>New Balance</v>
      </c>
      <c r="D127" s="54" t="str">
        <f>IF(B127="","",IFERROR(INDEX('UNIVERSO MAESTRO'!$D$6:$D$497,MATCH(B127,'UNIVERSO MAESTRO'!$A$6:$A$497,0)),""))</f>
        <v>V3</v>
      </c>
      <c r="E127" s="147" t="s">
        <v>424</v>
      </c>
      <c r="F127" s="53" t="str">
        <f>IF(E127="","",IFERROR(INDEX('UNIVERSO MAESTRO'!$C$6:$C$497,MATCH(E127,'UNIVERSO MAESTRO'!$A$6:$A$497,0)),"⚠ ID no encontrado"))</f>
        <v>Club Toluca</v>
      </c>
      <c r="G127" s="54" t="str">
        <f>IF(E127="","",IFERROR(INDEX('UNIVERSO MAESTRO'!$D$6:$D$497,MATCH(E127,'UNIVERSO MAESTRO'!$A$6:$A$497,0)),""))</f>
        <v>V1</v>
      </c>
      <c r="H127" s="147" t="s">
        <v>1572</v>
      </c>
      <c r="I127" s="147" t="s">
        <v>1573</v>
      </c>
      <c r="J127" s="147" t="s">
        <v>1574</v>
      </c>
      <c r="K127" s="148" t="s">
        <v>2177</v>
      </c>
      <c r="L127" s="148" t="s">
        <v>2178</v>
      </c>
      <c r="M127" s="148" t="s">
        <v>1669</v>
      </c>
      <c r="N127" s="54" t="str">
        <f t="shared" si="2"/>
        <v>Sí</v>
      </c>
      <c r="O127" s="54" t="str">
        <f t="shared" si="3"/>
        <v>Sí</v>
      </c>
    </row>
    <row r="128" spans="1:15" ht="60" customHeight="1" x14ac:dyDescent="0.2">
      <c r="A128" s="146" t="s">
        <v>2183</v>
      </c>
      <c r="B128" s="147" t="s">
        <v>1131</v>
      </c>
      <c r="C128" s="147" t="str">
        <f>IF(B128="","",IFERROR(INDEX('UNIVERSO MAESTRO'!$C$6:$C$497,MATCH(B128,'UNIVERSO MAESTRO'!$A$6:$A$497,0)),"⚠ ID no encontrado"))</f>
        <v>Nike</v>
      </c>
      <c r="D128" s="54" t="str">
        <f>IF(B128="","",IFERROR(INDEX('UNIVERSO MAESTRO'!$D$6:$D$497,MATCH(B128,'UNIVERSO MAESTRO'!$A$6:$A$497,0)),""))</f>
        <v>V3</v>
      </c>
      <c r="E128" s="147" t="s">
        <v>771</v>
      </c>
      <c r="F128" s="53" t="str">
        <f>IF(E128="","",IFERROR(INDEX('UNIVERSO MAESTRO'!$C$6:$C$497,MATCH(E128,'UNIVERSO MAESTRO'!$A$6:$A$497,0)),"⚠ ID no encontrado"))</f>
        <v>Grupo Omnilife / Amaury Vergara / Chivas</v>
      </c>
      <c r="G128" s="54" t="str">
        <f>IF(E128="","",IFERROR(INDEX('UNIVERSO MAESTRO'!$D$6:$D$497,MATCH(E128,'UNIVERSO MAESTRO'!$A$6:$A$497,0)),""))</f>
        <v>V9</v>
      </c>
      <c r="H128" s="147" t="s">
        <v>1572</v>
      </c>
      <c r="I128" s="147" t="s">
        <v>1579</v>
      </c>
      <c r="J128" s="147" t="s">
        <v>1574</v>
      </c>
      <c r="K128" s="148" t="s">
        <v>2184</v>
      </c>
      <c r="L128" s="148" t="s">
        <v>2185</v>
      </c>
      <c r="M128" s="148" t="s">
        <v>1669</v>
      </c>
      <c r="N128" s="54" t="str">
        <f t="shared" si="2"/>
        <v>Sí</v>
      </c>
      <c r="O128" s="54" t="str">
        <f t="shared" si="3"/>
        <v>Sí</v>
      </c>
    </row>
    <row r="129" spans="1:15" ht="60" customHeight="1" x14ac:dyDescent="0.2">
      <c r="A129" s="146" t="s">
        <v>2230</v>
      </c>
      <c r="B129" s="147" t="s">
        <v>1235</v>
      </c>
      <c r="C129" s="147" t="str">
        <f>IF(B129="","",IFERROR(INDEX('UNIVERSO MAESTRO'!$C$6:$C$497,MATCH(B129,'UNIVERSO MAESTRO'!$A$6:$A$497,0)),"⚠ ID no encontrado"))</f>
        <v>Puma</v>
      </c>
      <c r="D129" s="54" t="str">
        <f>IF(B129="","",IFERROR(INDEX('UNIVERSO MAESTRO'!$D$6:$D$497,MATCH(B129,'UNIVERSO MAESTRO'!$A$6:$A$497,0)),""))</f>
        <v>V3</v>
      </c>
      <c r="E129" s="147" t="s">
        <v>622</v>
      </c>
      <c r="F129" s="53" t="str">
        <f>IF(E129="","",IFERROR(INDEX('UNIVERSO MAESTRO'!$C$6:$C$497,MATCH(E129,'UNIVERSO MAESTRO'!$A$6:$A$497,0)),"⚠ ID no encontrado"))</f>
        <v>FEMSA / Club de Fútbol Monterrey Rayados</v>
      </c>
      <c r="G129" s="54" t="str">
        <f>IF(E129="","",IFERROR(INDEX('UNIVERSO MAESTRO'!$D$6:$D$497,MATCH(E129,'UNIVERSO MAESTRO'!$A$6:$A$497,0)),""))</f>
        <v>V9</v>
      </c>
      <c r="H129" s="147" t="s">
        <v>1572</v>
      </c>
      <c r="I129" s="147" t="s">
        <v>1573</v>
      </c>
      <c r="J129" s="147" t="s">
        <v>1574</v>
      </c>
      <c r="K129" s="148" t="s">
        <v>2231</v>
      </c>
      <c r="L129" s="148" t="s">
        <v>2232</v>
      </c>
      <c r="M129" s="148" t="s">
        <v>2233</v>
      </c>
      <c r="N129" s="54" t="str">
        <f t="shared" si="2"/>
        <v>Sí</v>
      </c>
      <c r="O129" s="54" t="str">
        <f t="shared" si="3"/>
        <v>Sí</v>
      </c>
    </row>
    <row r="130" spans="1:15" ht="60" customHeight="1" x14ac:dyDescent="0.2">
      <c r="A130" s="146" t="s">
        <v>2234</v>
      </c>
      <c r="B130" s="147" t="s">
        <v>1235</v>
      </c>
      <c r="C130" s="147" t="str">
        <f>IF(B130="","",IFERROR(INDEX('UNIVERSO MAESTRO'!$C$6:$C$497,MATCH(B130,'UNIVERSO MAESTRO'!$A$6:$A$497,0)),"⚠ ID no encontrado"))</f>
        <v>Puma</v>
      </c>
      <c r="D130" s="54" t="str">
        <f>IF(B130="","",IFERROR(INDEX('UNIVERSO MAESTRO'!$D$6:$D$497,MATCH(B130,'UNIVERSO MAESTRO'!$A$6:$A$497,0)),""))</f>
        <v>V3</v>
      </c>
      <c r="E130" s="147" t="s">
        <v>1242</v>
      </c>
      <c r="F130" s="53" t="str">
        <f>IF(E130="","",IFERROR(INDEX('UNIVERSO MAESTRO'!$C$6:$C$497,MATCH(E130,'UNIVERSO MAESTRO'!$A$6:$A$497,0)),"⚠ ID no encontrado"))</f>
        <v>Pumas UNAM</v>
      </c>
      <c r="G130" s="54" t="str">
        <f>IF(E130="","",IFERROR(INDEX('UNIVERSO MAESTRO'!$D$6:$D$497,MATCH(E130,'UNIVERSO MAESTRO'!$A$6:$A$497,0)),""))</f>
        <v>V1</v>
      </c>
      <c r="H130" s="147" t="s">
        <v>1572</v>
      </c>
      <c r="I130" s="147" t="s">
        <v>1573</v>
      </c>
      <c r="J130" s="147" t="s">
        <v>1574</v>
      </c>
      <c r="K130" s="148" t="s">
        <v>2235</v>
      </c>
      <c r="L130" s="148" t="s">
        <v>2236</v>
      </c>
      <c r="M130" s="148" t="s">
        <v>1669</v>
      </c>
      <c r="N130" s="54" t="str">
        <f t="shared" si="2"/>
        <v>Sí</v>
      </c>
      <c r="O130" s="54" t="str">
        <f t="shared" si="3"/>
        <v>Sí</v>
      </c>
    </row>
    <row r="131" spans="1:15" ht="60" customHeight="1" x14ac:dyDescent="0.2">
      <c r="A131" s="146" t="s">
        <v>2266</v>
      </c>
      <c r="B131" s="147" t="s">
        <v>1289</v>
      </c>
      <c r="C131" s="147" t="str">
        <f>IF(B131="","",IFERROR(INDEX('UNIVERSO MAESTRO'!$C$6:$C$497,MATCH(B131,'UNIVERSO MAESTRO'!$A$6:$A$497,0)),"⚠ ID no encontrado"))</f>
        <v>Scotiabank</v>
      </c>
      <c r="D131" s="54" t="str">
        <f>IF(B131="","",IFERROR(INDEX('UNIVERSO MAESTRO'!$D$6:$D$497,MATCH(B131,'UNIVERSO MAESTRO'!$A$6:$A$497,0)),""))</f>
        <v>V3</v>
      </c>
      <c r="E131" s="147" t="s">
        <v>771</v>
      </c>
      <c r="F131" s="53" t="str">
        <f>IF(E131="","",IFERROR(INDEX('UNIVERSO MAESTRO'!$C$6:$C$497,MATCH(E131,'UNIVERSO MAESTRO'!$A$6:$A$497,0)),"⚠ ID no encontrado"))</f>
        <v>Grupo Omnilife / Amaury Vergara / Chivas</v>
      </c>
      <c r="G131" s="54" t="str">
        <f>IF(E131="","",IFERROR(INDEX('UNIVERSO MAESTRO'!$D$6:$D$497,MATCH(E131,'UNIVERSO MAESTRO'!$A$6:$A$497,0)),""))</f>
        <v>V9</v>
      </c>
      <c r="H131" s="147" t="s">
        <v>1572</v>
      </c>
      <c r="I131" s="147" t="s">
        <v>1611</v>
      </c>
      <c r="J131" s="147" t="s">
        <v>1574</v>
      </c>
      <c r="K131" s="148" t="s">
        <v>2267</v>
      </c>
      <c r="L131" s="148"/>
      <c r="M131" s="148" t="s">
        <v>2268</v>
      </c>
      <c r="N131" s="54" t="str">
        <f t="shared" si="2"/>
        <v>Sí</v>
      </c>
      <c r="O131" s="54" t="str">
        <f t="shared" si="3"/>
        <v>No</v>
      </c>
    </row>
    <row r="132" spans="1:15" ht="60" customHeight="1" x14ac:dyDescent="0.2">
      <c r="A132" s="146" t="s">
        <v>2269</v>
      </c>
      <c r="B132" s="147" t="s">
        <v>1289</v>
      </c>
      <c r="C132" s="147" t="str">
        <f>IF(B132="","",IFERROR(INDEX('UNIVERSO MAESTRO'!$C$6:$C$497,MATCH(B132,'UNIVERSO MAESTRO'!$A$6:$A$497,0)),"⚠ ID no encontrado"))</f>
        <v>Scotiabank</v>
      </c>
      <c r="D132" s="54" t="str">
        <f>IF(B132="","",IFERROR(INDEX('UNIVERSO MAESTRO'!$D$6:$D$497,MATCH(B132,'UNIVERSO MAESTRO'!$A$6:$A$497,0)),""))</f>
        <v>V3</v>
      </c>
      <c r="E132" s="147" t="s">
        <v>1312</v>
      </c>
      <c r="F132" s="53" t="str">
        <f>IF(E132="","",IFERROR(INDEX('UNIVERSO MAESTRO'!$C$6:$C$497,MATCH(E132,'UNIVERSO MAESTRO'!$A$6:$A$497,0)),"⚠ ID no encontrado"))</f>
        <v>Selección Mexicana Femenil</v>
      </c>
      <c r="G132" s="54" t="str">
        <f>IF(E132="","",IFERROR(INDEX('UNIVERSO MAESTRO'!$D$6:$D$497,MATCH(E132,'UNIVERSO MAESTRO'!$A$6:$A$497,0)),""))</f>
        <v>V1</v>
      </c>
      <c r="H132" s="147" t="s">
        <v>1572</v>
      </c>
      <c r="I132" s="147" t="s">
        <v>1573</v>
      </c>
      <c r="J132" s="147" t="s">
        <v>1574</v>
      </c>
      <c r="K132" s="148" t="s">
        <v>2270</v>
      </c>
      <c r="L132" s="148" t="s">
        <v>2271</v>
      </c>
      <c r="M132" s="148" t="s">
        <v>2272</v>
      </c>
      <c r="N132" s="54" t="str">
        <f t="shared" si="2"/>
        <v>Sí</v>
      </c>
      <c r="O132" s="54" t="str">
        <f t="shared" si="3"/>
        <v>Sí</v>
      </c>
    </row>
    <row r="133" spans="1:15" ht="60" customHeight="1" x14ac:dyDescent="0.2">
      <c r="A133" s="146" t="s">
        <v>2286</v>
      </c>
      <c r="B133" s="147" t="s">
        <v>1326</v>
      </c>
      <c r="C133" s="147" t="str">
        <f>IF(B133="","",IFERROR(INDEX('UNIVERSO MAESTRO'!$C$6:$C$497,MATCH(B133,'UNIVERSO MAESTRO'!$A$6:$A$497,0)),"⚠ ID no encontrado"))</f>
        <v>Skechers</v>
      </c>
      <c r="D133" s="54" t="str">
        <f>IF(B133="","",IFERROR(INDEX('UNIVERSO MAESTRO'!$D$6:$D$497,MATCH(B133,'UNIVERSO MAESTRO'!$A$6:$A$497,0)),""))</f>
        <v>V3</v>
      </c>
      <c r="E133" s="147" t="s">
        <v>793</v>
      </c>
      <c r="F133" s="53" t="str">
        <f>IF(E133="","",IFERROR(INDEX('UNIVERSO MAESTRO'!$C$6:$C$497,MATCH(E133,'UNIVERSO MAESTRO'!$A$6:$A$497,0)),"⚠ ID no encontrado"))</f>
        <v>Grupo Pachuca</v>
      </c>
      <c r="G133" s="54" t="str">
        <f>IF(E133="","",IFERROR(INDEX('UNIVERSO MAESTRO'!$D$6:$D$497,MATCH(E133,'UNIVERSO MAESTRO'!$A$6:$A$497,0)),""))</f>
        <v>V9</v>
      </c>
      <c r="H133" s="147" t="s">
        <v>1572</v>
      </c>
      <c r="I133" s="147" t="s">
        <v>1611</v>
      </c>
      <c r="J133" s="147" t="s">
        <v>1574</v>
      </c>
      <c r="K133" s="148" t="s">
        <v>2287</v>
      </c>
      <c r="L133" s="148"/>
      <c r="M133" s="148" t="s">
        <v>2288</v>
      </c>
      <c r="N133" s="54" t="str">
        <f t="shared" si="2"/>
        <v>Sí</v>
      </c>
      <c r="O133" s="54" t="str">
        <f t="shared" si="3"/>
        <v>No</v>
      </c>
    </row>
    <row r="134" spans="1:15" ht="60" customHeight="1" x14ac:dyDescent="0.2">
      <c r="A134" s="146" t="s">
        <v>2293</v>
      </c>
      <c r="B134" s="147" t="s">
        <v>1340</v>
      </c>
      <c r="C134" s="147" t="str">
        <f>IF(B134="","",IFERROR(INDEX('UNIVERSO MAESTRO'!$C$6:$C$497,MATCH(B134,'UNIVERSO MAESTRO'!$A$6:$A$497,0)),"⚠ ID no encontrado"))</f>
        <v>Smart Fit México</v>
      </c>
      <c r="D134" s="54" t="str">
        <f>IF(B134="","",IFERROR(INDEX('UNIVERSO MAESTRO'!$D$6:$D$497,MATCH(B134,'UNIVERSO MAESTRO'!$A$6:$A$497,0)),""))</f>
        <v>V3</v>
      </c>
      <c r="E134" s="147" t="s">
        <v>1464</v>
      </c>
      <c r="F134" s="53" t="str">
        <f>IF(E134="","",IFERROR(INDEX('UNIVERSO MAESTRO'!$C$6:$C$497,MATCH(E134,'UNIVERSO MAESTRO'!$A$6:$A$497,0)),"⚠ ID no encontrado"))</f>
        <v>Victum Sports México (HYROX México)</v>
      </c>
      <c r="G134" s="54" t="str">
        <f>IF(E134="","",IFERROR(INDEX('UNIVERSO MAESTRO'!$D$6:$D$497,MATCH(E134,'UNIVERSO MAESTRO'!$A$6:$A$497,0)),""))</f>
        <v>V1</v>
      </c>
      <c r="H134" s="147" t="s">
        <v>1572</v>
      </c>
      <c r="I134" s="147" t="s">
        <v>1579</v>
      </c>
      <c r="J134" s="147" t="s">
        <v>1574</v>
      </c>
      <c r="K134" s="148" t="s">
        <v>2294</v>
      </c>
      <c r="L134" s="148" t="s">
        <v>2295</v>
      </c>
      <c r="M134" s="148" t="s">
        <v>2296</v>
      </c>
      <c r="N134" s="54" t="str">
        <f t="shared" ref="N134:N197" si="4">IF(OR(B134="",E134=""),"",IF(D134=G134,"No","Sí"))</f>
        <v>Sí</v>
      </c>
      <c r="O134" s="54" t="str">
        <f t="shared" ref="O134:O197" si="5">IF(I134="","",IF(I134="R3","No","Sí"))</f>
        <v>Sí</v>
      </c>
    </row>
    <row r="135" spans="1:15" ht="60" customHeight="1" x14ac:dyDescent="0.2">
      <c r="A135" s="146" t="s">
        <v>2314</v>
      </c>
      <c r="B135" s="147" t="s">
        <v>1409</v>
      </c>
      <c r="C135" s="147" t="str">
        <f>IF(B135="","",IFERROR(INDEX('UNIVERSO MAESTRO'!$C$6:$C$497,MATCH(B135,'UNIVERSO MAESTRO'!$A$6:$A$497,0)),"⚠ ID no encontrado"))</f>
        <v>Tecate / Cuauhtémoc Moctezuma</v>
      </c>
      <c r="D135" s="54" t="str">
        <f>IF(B135="","",IFERROR(INDEX('UNIVERSO MAESTRO'!$D$6:$D$497,MATCH(B135,'UNIVERSO MAESTRO'!$A$6:$A$497,0)),""))</f>
        <v>V3</v>
      </c>
      <c r="E135" s="147" t="s">
        <v>969</v>
      </c>
      <c r="F135" s="53" t="str">
        <f>IF(E135="","",IFERROR(INDEX('UNIVERSO MAESTRO'!$C$6:$C$497,MATCH(E135,'UNIVERSO MAESTRO'!$A$6:$A$497,0)),"⚠ ID no encontrado"))</f>
        <v>Liga MX</v>
      </c>
      <c r="G135" s="54" t="str">
        <f>IF(E135="","",IFERROR(INDEX('UNIVERSO MAESTRO'!$D$6:$D$497,MATCH(E135,'UNIVERSO MAESTRO'!$A$6:$A$497,0)),""))</f>
        <v>V1</v>
      </c>
      <c r="H135" s="147" t="s">
        <v>1572</v>
      </c>
      <c r="I135" s="147" t="s">
        <v>1573</v>
      </c>
      <c r="J135" s="147" t="s">
        <v>1574</v>
      </c>
      <c r="K135" s="148" t="s">
        <v>2315</v>
      </c>
      <c r="L135" s="148" t="s">
        <v>2316</v>
      </c>
      <c r="M135" s="148" t="s">
        <v>2317</v>
      </c>
      <c r="N135" s="54" t="str">
        <f t="shared" si="4"/>
        <v>Sí</v>
      </c>
      <c r="O135" s="54" t="str">
        <f t="shared" si="5"/>
        <v>Sí</v>
      </c>
    </row>
    <row r="136" spans="1:15" ht="60" customHeight="1" x14ac:dyDescent="0.2">
      <c r="A136" s="146" t="s">
        <v>2343</v>
      </c>
      <c r="B136" s="147" t="s">
        <v>1442</v>
      </c>
      <c r="C136" s="147" t="str">
        <f>IF(B136="","",IFERROR(INDEX('UNIVERSO MAESTRO'!$C$6:$C$497,MATCH(B136,'UNIVERSO MAESTRO'!$A$6:$A$497,0)),"⚠ ID no encontrado"))</f>
        <v>Uber / Uber Eats</v>
      </c>
      <c r="D136" s="54" t="str">
        <f>IF(B136="","",IFERROR(INDEX('UNIVERSO MAESTRO'!$D$6:$D$497,MATCH(B136,'UNIVERSO MAESTRO'!$A$6:$A$497,0)),""))</f>
        <v>V3</v>
      </c>
      <c r="E136" s="147" t="s">
        <v>969</v>
      </c>
      <c r="F136" s="53" t="str">
        <f>IF(E136="","",IFERROR(INDEX('UNIVERSO MAESTRO'!$C$6:$C$497,MATCH(E136,'UNIVERSO MAESTRO'!$A$6:$A$497,0)),"⚠ ID no encontrado"))</f>
        <v>Liga MX</v>
      </c>
      <c r="G136" s="54" t="str">
        <f>IF(E136="","",IFERROR(INDEX('UNIVERSO MAESTRO'!$D$6:$D$497,MATCH(E136,'UNIVERSO MAESTRO'!$A$6:$A$497,0)),""))</f>
        <v>V1</v>
      </c>
      <c r="H136" s="147" t="s">
        <v>1572</v>
      </c>
      <c r="I136" s="147" t="s">
        <v>1611</v>
      </c>
      <c r="J136" s="147" t="s">
        <v>1574</v>
      </c>
      <c r="K136" s="148" t="s">
        <v>2344</v>
      </c>
      <c r="L136" s="148"/>
      <c r="M136" s="148" t="s">
        <v>2345</v>
      </c>
      <c r="N136" s="54" t="str">
        <f t="shared" si="4"/>
        <v>Sí</v>
      </c>
      <c r="O136" s="54" t="str">
        <f t="shared" si="5"/>
        <v>No</v>
      </c>
    </row>
    <row r="137" spans="1:15" ht="60" customHeight="1" x14ac:dyDescent="0.2">
      <c r="A137" s="146" t="s">
        <v>2346</v>
      </c>
      <c r="B137" s="147" t="s">
        <v>1442</v>
      </c>
      <c r="C137" s="147" t="str">
        <f>IF(B137="","",IFERROR(INDEX('UNIVERSO MAESTRO'!$C$6:$C$497,MATCH(B137,'UNIVERSO MAESTRO'!$A$6:$A$497,0)),"⚠ ID no encontrado"))</f>
        <v>Uber / Uber Eats</v>
      </c>
      <c r="D137" s="54" t="str">
        <f>IF(B137="","",IFERROR(INDEX('UNIVERSO MAESTRO'!$D$6:$D$497,MATCH(B137,'UNIVERSO MAESTRO'!$A$6:$A$497,0)),""))</f>
        <v>V3</v>
      </c>
      <c r="E137" s="147" t="s">
        <v>1303</v>
      </c>
      <c r="F137" s="53" t="str">
        <f>IF(E137="","",IFERROR(INDEX('UNIVERSO MAESTRO'!$C$6:$C$497,MATCH(E137,'UNIVERSO MAESTRO'!$A$6:$A$497,0)),"⚠ ID no encontrado"))</f>
        <v>Selección Mexicana de Fútbol</v>
      </c>
      <c r="G137" s="54" t="str">
        <f>IF(E137="","",IFERROR(INDEX('UNIVERSO MAESTRO'!$D$6:$D$497,MATCH(E137,'UNIVERSO MAESTRO'!$A$6:$A$497,0)),""))</f>
        <v>V1</v>
      </c>
      <c r="H137" s="147" t="s">
        <v>1572</v>
      </c>
      <c r="I137" s="147" t="s">
        <v>1573</v>
      </c>
      <c r="J137" s="147" t="s">
        <v>1574</v>
      </c>
      <c r="K137" s="148" t="s">
        <v>2347</v>
      </c>
      <c r="L137" s="148" t="s">
        <v>2348</v>
      </c>
      <c r="M137" s="148" t="s">
        <v>2349</v>
      </c>
      <c r="N137" s="54" t="str">
        <f t="shared" si="4"/>
        <v>Sí</v>
      </c>
      <c r="O137" s="54" t="str">
        <f t="shared" si="5"/>
        <v>Sí</v>
      </c>
    </row>
    <row r="138" spans="1:15" ht="60" customHeight="1" x14ac:dyDescent="0.2">
      <c r="A138" s="146" t="s">
        <v>2350</v>
      </c>
      <c r="B138" s="147" t="s">
        <v>1442</v>
      </c>
      <c r="C138" s="147" t="str">
        <f>IF(B138="","",IFERROR(INDEX('UNIVERSO MAESTRO'!$C$6:$C$497,MATCH(B138,'UNIVERSO MAESTRO'!$A$6:$A$497,0)),"⚠ ID no encontrado"))</f>
        <v>Uber / Uber Eats</v>
      </c>
      <c r="D138" s="54" t="str">
        <f>IF(B138="","",IFERROR(INDEX('UNIVERSO MAESTRO'!$D$6:$D$497,MATCH(B138,'UNIVERSO MAESTRO'!$A$6:$A$497,0)),""))</f>
        <v>V3</v>
      </c>
      <c r="E138" s="147" t="s">
        <v>1312</v>
      </c>
      <c r="F138" s="53" t="str">
        <f>IF(E138="","",IFERROR(INDEX('UNIVERSO MAESTRO'!$C$6:$C$497,MATCH(E138,'UNIVERSO MAESTRO'!$A$6:$A$497,0)),"⚠ ID no encontrado"))</f>
        <v>Selección Mexicana Femenil</v>
      </c>
      <c r="G138" s="54" t="str">
        <f>IF(E138="","",IFERROR(INDEX('UNIVERSO MAESTRO'!$D$6:$D$497,MATCH(E138,'UNIVERSO MAESTRO'!$A$6:$A$497,0)),""))</f>
        <v>V1</v>
      </c>
      <c r="H138" s="147" t="s">
        <v>1572</v>
      </c>
      <c r="I138" s="147" t="s">
        <v>1573</v>
      </c>
      <c r="J138" s="147" t="s">
        <v>1574</v>
      </c>
      <c r="K138" s="148" t="s">
        <v>2351</v>
      </c>
      <c r="L138" s="148" t="s">
        <v>2352</v>
      </c>
      <c r="M138" s="148" t="s">
        <v>2345</v>
      </c>
      <c r="N138" s="54" t="str">
        <f t="shared" si="4"/>
        <v>Sí</v>
      </c>
      <c r="O138" s="54" t="str">
        <f t="shared" si="5"/>
        <v>Sí</v>
      </c>
    </row>
    <row r="139" spans="1:15" ht="60" customHeight="1" x14ac:dyDescent="0.2">
      <c r="A139" s="146" t="s">
        <v>2356</v>
      </c>
      <c r="B139" s="147" t="s">
        <v>1474</v>
      </c>
      <c r="C139" s="147" t="str">
        <f>IF(B139="","",IFERROR(INDEX('UNIVERSO MAESTRO'!$C$6:$C$497,MATCH(B139,'UNIVERSO MAESTRO'!$A$6:$A$497,0)),"⚠ ID no encontrado"))</f>
        <v>Viva Aerobus + Volaris (fusión dic-2025)</v>
      </c>
      <c r="D139" s="54" t="str">
        <f>IF(B139="","",IFERROR(INDEX('UNIVERSO MAESTRO'!$D$6:$D$497,MATCH(B139,'UNIVERSO MAESTRO'!$A$6:$A$497,0)),""))</f>
        <v>V3</v>
      </c>
      <c r="E139" s="147" t="s">
        <v>424</v>
      </c>
      <c r="F139" s="53" t="str">
        <f>IF(E139="","",IFERROR(INDEX('UNIVERSO MAESTRO'!$C$6:$C$497,MATCH(E139,'UNIVERSO MAESTRO'!$A$6:$A$497,0)),"⚠ ID no encontrado"))</f>
        <v>Club Toluca</v>
      </c>
      <c r="G139" s="54" t="str">
        <f>IF(E139="","",IFERROR(INDEX('UNIVERSO MAESTRO'!$D$6:$D$497,MATCH(E139,'UNIVERSO MAESTRO'!$A$6:$A$497,0)),""))</f>
        <v>V1</v>
      </c>
      <c r="H139" s="147" t="s">
        <v>1572</v>
      </c>
      <c r="I139" s="147" t="s">
        <v>1611</v>
      </c>
      <c r="J139" s="147" t="s">
        <v>1574</v>
      </c>
      <c r="K139" s="148" t="s">
        <v>2357</v>
      </c>
      <c r="L139" s="148"/>
      <c r="M139" s="148" t="s">
        <v>1669</v>
      </c>
      <c r="N139" s="54" t="str">
        <f t="shared" si="4"/>
        <v>Sí</v>
      </c>
      <c r="O139" s="54" t="str">
        <f t="shared" si="5"/>
        <v>No</v>
      </c>
    </row>
    <row r="140" spans="1:15" ht="60" customHeight="1" x14ac:dyDescent="0.2">
      <c r="A140" s="146" t="s">
        <v>2358</v>
      </c>
      <c r="B140" s="147" t="s">
        <v>1474</v>
      </c>
      <c r="C140" s="147" t="str">
        <f>IF(B140="","",IFERROR(INDEX('UNIVERSO MAESTRO'!$C$6:$C$497,MATCH(B140,'UNIVERSO MAESTRO'!$A$6:$A$497,0)),"⚠ ID no encontrado"))</f>
        <v>Viva Aerobus + Volaris (fusión dic-2025)</v>
      </c>
      <c r="D140" s="54" t="str">
        <f>IF(B140="","",IFERROR(INDEX('UNIVERSO MAESTRO'!$D$6:$D$497,MATCH(B140,'UNIVERSO MAESTRO'!$A$6:$A$497,0)),""))</f>
        <v>V3</v>
      </c>
      <c r="E140" s="147" t="s">
        <v>1242</v>
      </c>
      <c r="F140" s="53" t="str">
        <f>IF(E140="","",IFERROR(INDEX('UNIVERSO MAESTRO'!$C$6:$C$497,MATCH(E140,'UNIVERSO MAESTRO'!$A$6:$A$497,0)),"⚠ ID no encontrado"))</f>
        <v>Pumas UNAM</v>
      </c>
      <c r="G140" s="54" t="str">
        <f>IF(E140="","",IFERROR(INDEX('UNIVERSO MAESTRO'!$D$6:$D$497,MATCH(E140,'UNIVERSO MAESTRO'!$A$6:$A$497,0)),""))</f>
        <v>V1</v>
      </c>
      <c r="H140" s="147" t="s">
        <v>1572</v>
      </c>
      <c r="I140" s="147" t="s">
        <v>1611</v>
      </c>
      <c r="J140" s="147" t="s">
        <v>1574</v>
      </c>
      <c r="K140" s="148" t="s">
        <v>2359</v>
      </c>
      <c r="L140" s="148"/>
      <c r="M140" s="148" t="s">
        <v>1669</v>
      </c>
      <c r="N140" s="54" t="str">
        <f t="shared" si="4"/>
        <v>Sí</v>
      </c>
      <c r="O140" s="54" t="str">
        <f t="shared" si="5"/>
        <v>No</v>
      </c>
    </row>
    <row r="141" spans="1:15" ht="60" customHeight="1" x14ac:dyDescent="0.2">
      <c r="A141" s="146" t="s">
        <v>2360</v>
      </c>
      <c r="B141" s="147" t="s">
        <v>1474</v>
      </c>
      <c r="C141" s="147" t="str">
        <f>IF(B141="","",IFERROR(INDEX('UNIVERSO MAESTRO'!$C$6:$C$497,MATCH(B141,'UNIVERSO MAESTRO'!$A$6:$A$497,0)),"⚠ ID no encontrado"))</f>
        <v>Viva Aerobus + Volaris (fusión dic-2025)</v>
      </c>
      <c r="D141" s="54" t="str">
        <f>IF(B141="","",IFERROR(INDEX('UNIVERSO MAESTRO'!$D$6:$D$497,MATCH(B141,'UNIVERSO MAESTRO'!$A$6:$A$497,0)),""))</f>
        <v>V3</v>
      </c>
      <c r="E141" s="147" t="s">
        <v>1303</v>
      </c>
      <c r="F141" s="53" t="str">
        <f>IF(E141="","",IFERROR(INDEX('UNIVERSO MAESTRO'!$C$6:$C$497,MATCH(E141,'UNIVERSO MAESTRO'!$A$6:$A$497,0)),"⚠ ID no encontrado"))</f>
        <v>Selección Mexicana de Fútbol</v>
      </c>
      <c r="G141" s="54" t="str">
        <f>IF(E141="","",IFERROR(INDEX('UNIVERSO MAESTRO'!$D$6:$D$497,MATCH(E141,'UNIVERSO MAESTRO'!$A$6:$A$497,0)),""))</f>
        <v>V1</v>
      </c>
      <c r="H141" s="147" t="s">
        <v>1572</v>
      </c>
      <c r="I141" s="147" t="s">
        <v>1573</v>
      </c>
      <c r="J141" s="147" t="s">
        <v>1574</v>
      </c>
      <c r="K141" s="148" t="s">
        <v>2361</v>
      </c>
      <c r="L141" s="148" t="s">
        <v>2362</v>
      </c>
      <c r="M141" s="148" t="s">
        <v>2363</v>
      </c>
      <c r="N141" s="54" t="str">
        <f t="shared" si="4"/>
        <v>Sí</v>
      </c>
      <c r="O141" s="54" t="str">
        <f t="shared" si="5"/>
        <v>Sí</v>
      </c>
    </row>
    <row r="142" spans="1:15" ht="60" customHeight="1" x14ac:dyDescent="0.2">
      <c r="A142" s="146" t="s">
        <v>2364</v>
      </c>
      <c r="B142" s="147" t="s">
        <v>1483</v>
      </c>
      <c r="C142" s="147" t="str">
        <f>IF(B142="","",IFERROR(INDEX('UNIVERSO MAESTRO'!$C$6:$C$497,MATCH(B142,'UNIVERSO MAESTRO'!$A$6:$A$497,0)),"⚠ ID no encontrado"))</f>
        <v>Walmart México</v>
      </c>
      <c r="D142" s="54" t="str">
        <f>IF(B142="","",IFERROR(INDEX('UNIVERSO MAESTRO'!$D$6:$D$497,MATCH(B142,'UNIVERSO MAESTRO'!$A$6:$A$497,0)),""))</f>
        <v>V3</v>
      </c>
      <c r="E142" s="147" t="s">
        <v>1381</v>
      </c>
      <c r="F142" s="53" t="str">
        <f>IF(E142="","",IFERROR(INDEX('UNIVERSO MAESTRO'!$C$6:$C$497,MATCH(E142,'UNIVERSO MAESTRO'!$A$6:$A$497,0)),"⚠ ID no encontrado"))</f>
        <v>Sultanes de Monterrey (LMB)</v>
      </c>
      <c r="G142" s="54" t="str">
        <f>IF(E142="","",IFERROR(INDEX('UNIVERSO MAESTRO'!$D$6:$D$497,MATCH(E142,'UNIVERSO MAESTRO'!$A$6:$A$497,0)),""))</f>
        <v>V1</v>
      </c>
      <c r="H142" s="147" t="s">
        <v>1572</v>
      </c>
      <c r="I142" s="147" t="s">
        <v>1573</v>
      </c>
      <c r="J142" s="147" t="s">
        <v>1574</v>
      </c>
      <c r="K142" s="148" t="s">
        <v>2365</v>
      </c>
      <c r="L142" s="148" t="s">
        <v>2366</v>
      </c>
      <c r="M142" s="148" t="s">
        <v>2367</v>
      </c>
      <c r="N142" s="54" t="str">
        <f t="shared" si="4"/>
        <v>Sí</v>
      </c>
      <c r="O142" s="54" t="str">
        <f t="shared" si="5"/>
        <v>Sí</v>
      </c>
    </row>
    <row r="143" spans="1:15" ht="60" customHeight="1" x14ac:dyDescent="0.2">
      <c r="A143" t="s">
        <v>2383</v>
      </c>
      <c r="B143" t="s">
        <v>200</v>
      </c>
      <c r="C143" s="147" t="str">
        <f>IF(B143="","",IFERROR(INDEX('UNIVERSO MAESTRO'!$C$6:$C$497,MATCH(B143,'UNIVERSO MAESTRO'!$A$6:$A$497,0)),"⚠ ID no encontrado"))</f>
        <v>adidas</v>
      </c>
      <c r="D143" s="54" t="str">
        <f>IF(B143="","",IFERROR(INDEX('UNIVERSO MAESTRO'!$D$6:$D$497,MATCH(B143,'UNIVERSO MAESTRO'!$A$6:$A$497,0)),""))</f>
        <v>V3</v>
      </c>
      <c r="E143" t="s">
        <v>1531</v>
      </c>
      <c r="F143" s="53" t="str">
        <f>IF(E143="","",IFERROR(INDEX('UNIVERSO MAESTRO'!$C$6:$C$497,MATCH(E143,'UNIVERSO MAESTRO'!$A$6:$A$497,0)),"⚠ ID no encontrado"))</f>
        <v>Kings League Mexico (ex Kings League Americas) / Kings League Openbank Mexico</v>
      </c>
      <c r="G143" s="54" t="str">
        <f>IF(E143="","",IFERROR(INDEX('UNIVERSO MAESTRO'!$D$6:$D$497,MATCH(E143,'UNIVERSO MAESTRO'!$A$6:$A$497,0)),""))</f>
        <v>V1</v>
      </c>
      <c r="H143" t="s">
        <v>1572</v>
      </c>
      <c r="I143" t="s">
        <v>1573</v>
      </c>
      <c r="J143" t="s">
        <v>1574</v>
      </c>
      <c r="K143" t="s">
        <v>2384</v>
      </c>
      <c r="L143" t="s">
        <v>2385</v>
      </c>
      <c r="M143" t="s">
        <v>2386</v>
      </c>
      <c r="N143" s="54" t="str">
        <f t="shared" si="4"/>
        <v>Sí</v>
      </c>
      <c r="O143" s="54" t="str">
        <f t="shared" si="5"/>
        <v>Sí</v>
      </c>
    </row>
    <row r="144" spans="1:15" ht="60" customHeight="1" x14ac:dyDescent="0.2">
      <c r="A144" t="s">
        <v>2387</v>
      </c>
      <c r="B144" t="s">
        <v>319</v>
      </c>
      <c r="C144" s="147" t="str">
        <f>IF(B144="","",IFERROR(INDEX('UNIVERSO MAESTRO'!$C$6:$C$497,MATCH(B144,'UNIVERSO MAESTRO'!$A$6:$A$497,0)),"⚠ ID no encontrado"))</f>
        <v>Bimbo</v>
      </c>
      <c r="D144" s="54" t="str">
        <f>IF(B144="","",IFERROR(INDEX('UNIVERSO MAESTRO'!$D$6:$D$497,MATCH(B144,'UNIVERSO MAESTRO'!$A$6:$A$497,0)),""))</f>
        <v>V3</v>
      </c>
      <c r="E144" t="s">
        <v>1531</v>
      </c>
      <c r="F144" s="53" t="str">
        <f>IF(E144="","",IFERROR(INDEX('UNIVERSO MAESTRO'!$C$6:$C$497,MATCH(E144,'UNIVERSO MAESTRO'!$A$6:$A$497,0)),"⚠ ID no encontrado"))</f>
        <v>Kings League Mexico (ex Kings League Americas) / Kings League Openbank Mexico</v>
      </c>
      <c r="G144" s="54" t="str">
        <f>IF(E144="","",IFERROR(INDEX('UNIVERSO MAESTRO'!$D$6:$D$497,MATCH(E144,'UNIVERSO MAESTRO'!$A$6:$A$497,0)),""))</f>
        <v>V1</v>
      </c>
      <c r="H144" t="s">
        <v>1572</v>
      </c>
      <c r="I144" t="s">
        <v>1573</v>
      </c>
      <c r="J144" t="s">
        <v>1574</v>
      </c>
      <c r="K144" t="s">
        <v>2388</v>
      </c>
      <c r="L144" t="s">
        <v>2389</v>
      </c>
      <c r="M144" t="s">
        <v>2386</v>
      </c>
      <c r="N144" s="54" t="str">
        <f t="shared" si="4"/>
        <v>Sí</v>
      </c>
      <c r="O144" s="54" t="str">
        <f t="shared" si="5"/>
        <v>Sí</v>
      </c>
    </row>
    <row r="145" spans="1:15" ht="60" customHeight="1" x14ac:dyDescent="0.2">
      <c r="A145" t="s">
        <v>2402</v>
      </c>
      <c r="B145" t="s">
        <v>299</v>
      </c>
      <c r="C145" s="147" t="str">
        <f>IF(B145="","",IFERROR(INDEX('UNIVERSO MAESTRO'!$C$6:$C$497,MATCH(B145,'UNIVERSO MAESTRO'!$A$6:$A$497,0)),"⚠ ID no encontrado"))</f>
        <v>BBVA México</v>
      </c>
      <c r="D145" s="54" t="str">
        <f>IF(B145="","",IFERROR(INDEX('UNIVERSO MAESTRO'!$D$6:$D$497,MATCH(B145,'UNIVERSO MAESTRO'!$A$6:$A$497,0)),""))</f>
        <v>V3</v>
      </c>
      <c r="E145" t="s">
        <v>1545</v>
      </c>
      <c r="F145" s="53" t="str">
        <f>IF(E145="","",IFERROR(INDEX('UNIVERSO MAESTRO'!$C$6:$C$497,MATCH(E145,'UNIVERSO MAESTRO'!$A$6:$A$497,0)),"⚠ ID no encontrado"))</f>
        <v>Liga BBVA MX Femenil</v>
      </c>
      <c r="G145" s="54" t="str">
        <f>IF(E145="","",IFERROR(INDEX('UNIVERSO MAESTRO'!$D$6:$D$497,MATCH(E145,'UNIVERSO MAESTRO'!$A$6:$A$497,0)),""))</f>
        <v>V1</v>
      </c>
      <c r="H145" t="s">
        <v>1572</v>
      </c>
      <c r="I145" t="s">
        <v>1579</v>
      </c>
      <c r="J145" t="s">
        <v>1574</v>
      </c>
      <c r="K145" t="s">
        <v>2403</v>
      </c>
      <c r="L145" t="s">
        <v>2404</v>
      </c>
      <c r="M145" t="s">
        <v>2405</v>
      </c>
      <c r="N145" s="54" t="str">
        <f t="shared" si="4"/>
        <v>Sí</v>
      </c>
      <c r="O145" s="54" t="str">
        <f t="shared" si="5"/>
        <v>Sí</v>
      </c>
    </row>
    <row r="146" spans="1:15" ht="60" customHeight="1" x14ac:dyDescent="0.2">
      <c r="A146" s="146" t="s">
        <v>2079</v>
      </c>
      <c r="B146" s="147" t="s">
        <v>912</v>
      </c>
      <c r="C146" s="147" t="str">
        <f>IF(B146="","",IFERROR(INDEX('UNIVERSO MAESTRO'!$C$6:$C$497,MATCH(B146,'UNIVERSO MAESTRO'!$A$6:$A$497,0)),"⚠ ID no encontrado"))</f>
        <v>Jump SMS (Jump Sportainment Solutions)</v>
      </c>
      <c r="D146" s="54" t="str">
        <f>IF(B146="","",IFERROR(INDEX('UNIVERSO MAESTRO'!$D$6:$D$497,MATCH(B146,'UNIVERSO MAESTRO'!$A$6:$A$497,0)),""))</f>
        <v>V4</v>
      </c>
      <c r="E146" s="147" t="s">
        <v>663</v>
      </c>
      <c r="F146" s="53" t="str">
        <f>IF(E146="","",IFERROR(INDEX('UNIVERSO MAESTRO'!$C$6:$C$497,MATCH(E146,'UNIVERSO MAESTRO'!$A$6:$A$497,0)),"⚠ ID no encontrado"))</f>
        <v>Fuse Mexico (Omnicom Media Group)</v>
      </c>
      <c r="G146" s="54" t="str">
        <f>IF(E146="","",IFERROR(INDEX('UNIVERSO MAESTRO'!$D$6:$D$497,MATCH(E146,'UNIVERSO MAESTRO'!$A$6:$A$497,0)),""))</f>
        <v>V5</v>
      </c>
      <c r="H146" s="147" t="s">
        <v>1620</v>
      </c>
      <c r="I146" s="147" t="s">
        <v>1611</v>
      </c>
      <c r="J146" s="147" t="s">
        <v>1574</v>
      </c>
      <c r="K146" s="148" t="s">
        <v>2080</v>
      </c>
      <c r="L146" s="148"/>
      <c r="M146" s="148" t="s">
        <v>2081</v>
      </c>
      <c r="N146" s="54" t="str">
        <f t="shared" si="4"/>
        <v>Sí</v>
      </c>
      <c r="O146" s="54" t="str">
        <f t="shared" si="5"/>
        <v>No</v>
      </c>
    </row>
    <row r="147" spans="1:15" ht="60" customHeight="1" x14ac:dyDescent="0.2">
      <c r="A147" s="146" t="s">
        <v>2163</v>
      </c>
      <c r="B147" s="147" t="s">
        <v>1101</v>
      </c>
      <c r="C147" s="147" t="str">
        <f>IF(B147="","",IFERROR(INDEX('UNIVERSO MAESTRO'!$C$6:$C$497,MATCH(B147,'UNIVERSO MAESTRO'!$A$6:$A$497,0)),"⚠ ID no encontrado"))</f>
        <v>Neta Agencia Deportiva</v>
      </c>
      <c r="D147" s="54" t="str">
        <f>IF(B147="","",IFERROR(INDEX('UNIVERSO MAESTRO'!$D$6:$D$497,MATCH(B147,'UNIVERSO MAESTRO'!$A$6:$A$497,0)),""))</f>
        <v>V4</v>
      </c>
      <c r="E147" s="147" t="s">
        <v>822</v>
      </c>
      <c r="F147" s="53" t="str">
        <f>IF(E147="","",IFERROR(INDEX('UNIVERSO MAESTRO'!$C$6:$C$497,MATCH(E147,'UNIVERSO MAESTRO'!$A$6:$A$497,0)),"⚠ ID no encontrado"))</f>
        <v>Grupo Vidanta</v>
      </c>
      <c r="G147" s="54" t="str">
        <f>IF(E147="","",IFERROR(INDEX('UNIVERSO MAESTRO'!$D$6:$D$497,MATCH(E147,'UNIVERSO MAESTRO'!$A$6:$A$497,0)),""))</f>
        <v>V9</v>
      </c>
      <c r="H147" s="147" t="s">
        <v>1620</v>
      </c>
      <c r="I147" s="147" t="s">
        <v>1573</v>
      </c>
      <c r="J147" s="147" t="s">
        <v>1574</v>
      </c>
      <c r="K147" s="148" t="s">
        <v>2164</v>
      </c>
      <c r="L147" s="148"/>
      <c r="M147" s="148" t="s">
        <v>2165</v>
      </c>
      <c r="N147" s="54" t="str">
        <f t="shared" si="4"/>
        <v>Sí</v>
      </c>
      <c r="O147" s="54" t="str">
        <f t="shared" si="5"/>
        <v>Sí</v>
      </c>
    </row>
    <row r="148" spans="1:15" ht="60" customHeight="1" x14ac:dyDescent="0.2">
      <c r="A148" s="146" t="s">
        <v>2166</v>
      </c>
      <c r="B148" s="147" t="s">
        <v>1101</v>
      </c>
      <c r="C148" s="147" t="str">
        <f>IF(B148="","",IFERROR(INDEX('UNIVERSO MAESTRO'!$C$6:$C$497,MATCH(B148,'UNIVERSO MAESTRO'!$A$6:$A$497,0)),"⚠ ID no encontrado"))</f>
        <v>Neta Agencia Deportiva</v>
      </c>
      <c r="D148" s="54" t="str">
        <f>IF(B148="","",IFERROR(INDEX('UNIVERSO MAESTRO'!$D$6:$D$497,MATCH(B148,'UNIVERSO MAESTRO'!$A$6:$A$497,0)),""))</f>
        <v>V4</v>
      </c>
      <c r="E148" s="147" t="s">
        <v>1196</v>
      </c>
      <c r="F148" s="53" t="str">
        <f>IF(E148="","",IFERROR(INDEX('UNIVERSO MAESTRO'!$C$6:$C$497,MATCH(E148,'UNIVERSO MAESTRO'!$A$6:$A$497,0)),"⚠ ID no encontrado"))</f>
        <v>PIF (Saudi Public Investment Fund)</v>
      </c>
      <c r="G148" s="54" t="str">
        <f>IF(E148="","",IFERROR(INDEX('UNIVERSO MAESTRO'!$D$6:$D$497,MATCH(E148,'UNIVERSO MAESTRO'!$A$6:$A$497,0)),""))</f>
        <v>V9</v>
      </c>
      <c r="H148" s="147" t="s">
        <v>1620</v>
      </c>
      <c r="I148" s="147" t="s">
        <v>1573</v>
      </c>
      <c r="J148" s="147" t="s">
        <v>1574</v>
      </c>
      <c r="K148" s="148" t="s">
        <v>2167</v>
      </c>
      <c r="L148" s="148"/>
      <c r="M148" s="148" t="s">
        <v>2168</v>
      </c>
      <c r="N148" s="54" t="str">
        <f t="shared" si="4"/>
        <v>Sí</v>
      </c>
      <c r="O148" s="54" t="str">
        <f t="shared" si="5"/>
        <v>Sí</v>
      </c>
    </row>
    <row r="149" spans="1:15" ht="60" customHeight="1" x14ac:dyDescent="0.2">
      <c r="A149" s="146" t="s">
        <v>2186</v>
      </c>
      <c r="B149" s="147" t="s">
        <v>1139</v>
      </c>
      <c r="C149" s="147" t="str">
        <f>IF(B149="","",IFERROR(INDEX('UNIVERSO MAESTRO'!$C$6:$C$497,MATCH(B149,'UNIVERSO MAESTRO'!$A$6:$A$497,0)),"⚠ ID no encontrado"))</f>
        <v>Octagon</v>
      </c>
      <c r="D149" s="54" t="str">
        <f>IF(B149="","",IFERROR(INDEX('UNIVERSO MAESTRO'!$D$6:$D$497,MATCH(B149,'UNIVERSO MAESTRO'!$A$6:$A$497,0)),""))</f>
        <v>V4</v>
      </c>
      <c r="E149" s="147" t="s">
        <v>832</v>
      </c>
      <c r="F149" s="53" t="str">
        <f>IF(E149="","",IFERROR(INDEX('UNIVERSO MAESTRO'!$C$6:$C$497,MATCH(E149,'UNIVERSO MAESTRO'!$A$6:$A$497,0)),"⚠ ID no encontrado"))</f>
        <v>GS Sports Management</v>
      </c>
      <c r="G149" s="54" t="str">
        <f>IF(E149="","",IFERROR(INDEX('UNIVERSO MAESTRO'!$D$6:$D$497,MATCH(E149,'UNIVERSO MAESTRO'!$A$6:$A$497,0)),""))</f>
        <v>V5</v>
      </c>
      <c r="H149" s="147" t="s">
        <v>1620</v>
      </c>
      <c r="I149" s="147" t="s">
        <v>1573</v>
      </c>
      <c r="J149" s="147" t="s">
        <v>1574</v>
      </c>
      <c r="K149" s="148" t="s">
        <v>2187</v>
      </c>
      <c r="L149" s="148" t="s">
        <v>2188</v>
      </c>
      <c r="M149" s="148" t="s">
        <v>2189</v>
      </c>
      <c r="N149" s="54" t="str">
        <f t="shared" si="4"/>
        <v>Sí</v>
      </c>
      <c r="O149" s="54" t="str">
        <f t="shared" si="5"/>
        <v>Sí</v>
      </c>
    </row>
    <row r="150" spans="1:15" ht="60" customHeight="1" x14ac:dyDescent="0.2">
      <c r="A150" s="146" t="s">
        <v>2190</v>
      </c>
      <c r="B150" s="147" t="s">
        <v>1139</v>
      </c>
      <c r="C150" s="147" t="str">
        <f>IF(B150="","",IFERROR(INDEX('UNIVERSO MAESTRO'!$C$6:$C$497,MATCH(B150,'UNIVERSO MAESTRO'!$A$6:$A$497,0)),"⚠ ID no encontrado"))</f>
        <v>Octagon</v>
      </c>
      <c r="D150" s="54" t="str">
        <f>IF(B150="","",IFERROR(INDEX('UNIVERSO MAESTRO'!$D$6:$D$497,MATCH(B150,'UNIVERSO MAESTRO'!$A$6:$A$497,0)),""))</f>
        <v>V4</v>
      </c>
      <c r="E150" s="147" t="s">
        <v>862</v>
      </c>
      <c r="F150" s="53" t="str">
        <f>IF(E150="","",IFERROR(INDEX('UNIVERSO MAESTRO'!$C$6:$C$497,MATCH(E150,'UNIVERSO MAESTRO'!$A$6:$A$497,0)),"⚠ ID no encontrado"))</f>
        <v>HG Promotores en Deporte y Entretenimiento</v>
      </c>
      <c r="G150" s="54" t="str">
        <f>IF(E150="","",IFERROR(INDEX('UNIVERSO MAESTRO'!$D$6:$D$497,MATCH(E150,'UNIVERSO MAESTRO'!$A$6:$A$497,0)),""))</f>
        <v>V5</v>
      </c>
      <c r="H150" s="147" t="s">
        <v>1620</v>
      </c>
      <c r="I150" s="147" t="s">
        <v>1573</v>
      </c>
      <c r="J150" s="147" t="s">
        <v>1574</v>
      </c>
      <c r="K150" s="148" t="s">
        <v>2191</v>
      </c>
      <c r="L150" s="148" t="s">
        <v>2192</v>
      </c>
      <c r="M150" s="148" t="s">
        <v>2193</v>
      </c>
      <c r="N150" s="54" t="str">
        <f t="shared" si="4"/>
        <v>Sí</v>
      </c>
      <c r="O150" s="54" t="str">
        <f t="shared" si="5"/>
        <v>Sí</v>
      </c>
    </row>
    <row r="151" spans="1:15" ht="60" customHeight="1" x14ac:dyDescent="0.2">
      <c r="A151" s="146" t="s">
        <v>2210</v>
      </c>
      <c r="B151" s="147" t="s">
        <v>1206</v>
      </c>
      <c r="C151" s="147" t="str">
        <f>IF(B151="","",IFERROR(INDEX('UNIVERSO MAESTRO'!$C$6:$C$497,MATCH(B151,'UNIVERSO MAESTRO'!$A$6:$A$497,0)),"⚠ ID no encontrado"))</f>
        <v>Pitz Group</v>
      </c>
      <c r="D151" s="54" t="str">
        <f>IF(B151="","",IFERROR(INDEX('UNIVERSO MAESTRO'!$D$6:$D$497,MATCH(B151,'UNIVERSO MAESTRO'!$A$6:$A$497,0)),""))</f>
        <v>V4</v>
      </c>
      <c r="E151" s="147" t="s">
        <v>614</v>
      </c>
      <c r="F151" s="53" t="str">
        <f>IF(E151="","",IFERROR(INDEX('UNIVERSO MAESTRO'!$C$6:$C$497,MATCH(E151,'UNIVERSO MAESTRO'!$A$6:$A$497,0)),"⚠ ID no encontrado"))</f>
        <v>Federación Mexicana de Fútbol</v>
      </c>
      <c r="G151" s="54" t="str">
        <f>IF(E151="","",IFERROR(INDEX('UNIVERSO MAESTRO'!$D$6:$D$497,MATCH(E151,'UNIVERSO MAESTRO'!$A$6:$A$497,0)),""))</f>
        <v>V1</v>
      </c>
      <c r="H151" s="147" t="s">
        <v>1620</v>
      </c>
      <c r="I151" s="147" t="s">
        <v>1573</v>
      </c>
      <c r="J151" s="147" t="s">
        <v>1574</v>
      </c>
      <c r="K151" s="148" t="s">
        <v>2211</v>
      </c>
      <c r="L151" s="148" t="s">
        <v>2212</v>
      </c>
      <c r="M151" s="148" t="s">
        <v>1618</v>
      </c>
      <c r="N151" s="54" t="str">
        <f t="shared" si="4"/>
        <v>Sí</v>
      </c>
      <c r="O151" s="54" t="str">
        <f t="shared" si="5"/>
        <v>Sí</v>
      </c>
    </row>
    <row r="152" spans="1:15" ht="60" customHeight="1" x14ac:dyDescent="0.2">
      <c r="A152" s="146" t="s">
        <v>2213</v>
      </c>
      <c r="B152" s="147" t="s">
        <v>1206</v>
      </c>
      <c r="C152" s="147" t="str">
        <f>IF(B152="","",IFERROR(INDEX('UNIVERSO MAESTRO'!$C$6:$C$497,MATCH(B152,'UNIVERSO MAESTRO'!$A$6:$A$497,0)),"⚠ ID no encontrado"))</f>
        <v>Pitz Group</v>
      </c>
      <c r="D152" s="54" t="str">
        <f>IF(B152="","",IFERROR(INDEX('UNIVERSO MAESTRO'!$D$6:$D$497,MATCH(B152,'UNIVERSO MAESTRO'!$A$6:$A$497,0)),""))</f>
        <v>V4</v>
      </c>
      <c r="E152" s="147" t="s">
        <v>1149</v>
      </c>
      <c r="F152" s="53" t="str">
        <f>IF(E152="","",IFERROR(INDEX('UNIVERSO MAESTRO'!$C$6:$C$497,MATCH(E152,'UNIVERSO MAESTRO'!$A$6:$A$497,0)),"⚠ ID no encontrado"))</f>
        <v>Ollamani, S.A.B. / Grupo Águilas (Club América + Estadio Banorte)</v>
      </c>
      <c r="G152" s="54" t="str">
        <f>IF(E152="","",IFERROR(INDEX('UNIVERSO MAESTRO'!$D$6:$D$497,MATCH(E152,'UNIVERSO MAESTRO'!$A$6:$A$497,0)),""))</f>
        <v>V9</v>
      </c>
      <c r="H152" s="147" t="s">
        <v>1620</v>
      </c>
      <c r="I152" s="147" t="s">
        <v>1611</v>
      </c>
      <c r="J152" s="147" t="s">
        <v>1574</v>
      </c>
      <c r="K152" s="148" t="s">
        <v>2214</v>
      </c>
      <c r="L152" s="148"/>
      <c r="M152" s="148" t="s">
        <v>2215</v>
      </c>
      <c r="N152" s="54" t="str">
        <f t="shared" si="4"/>
        <v>Sí</v>
      </c>
      <c r="O152" s="54" t="str">
        <f t="shared" si="5"/>
        <v>No</v>
      </c>
    </row>
    <row r="153" spans="1:15" ht="60" customHeight="1" x14ac:dyDescent="0.2">
      <c r="A153" s="146" t="s">
        <v>2216</v>
      </c>
      <c r="B153" s="147" t="s">
        <v>1216</v>
      </c>
      <c r="C153" s="147" t="str">
        <f>IF(B153="","",IFERROR(INDEX('UNIVERSO MAESTRO'!$C$6:$C$497,MATCH(B153,'UNIVERSO MAESTRO'!$A$6:$A$497,0)),"⚠ ID no encontrado"))</f>
        <v>Promofut S.A. de C.V.</v>
      </c>
      <c r="D153" s="54" t="str">
        <f>IF(B153="","",IFERROR(INDEX('UNIVERSO MAESTRO'!$D$6:$D$497,MATCH(B153,'UNIVERSO MAESTRO'!$A$6:$A$497,0)),""))</f>
        <v>V4</v>
      </c>
      <c r="E153" s="147" t="s">
        <v>1007</v>
      </c>
      <c r="F153" s="53" t="str">
        <f>IF(E153="","",IFERROR(INDEX('UNIVERSO MAESTRO'!$C$6:$C$497,MATCH(E153,'UNIVERSO MAESTRO'!$A$6:$A$497,0)),"⚠ ID no encontrado"))</f>
        <v>Maratón Powerade Monterrey</v>
      </c>
      <c r="G153" s="54" t="str">
        <f>IF(E153="","",IFERROR(INDEX('UNIVERSO MAESTRO'!$D$6:$D$497,MATCH(E153,'UNIVERSO MAESTRO'!$A$6:$A$497,0)),""))</f>
        <v>V1</v>
      </c>
      <c r="H153" s="147" t="s">
        <v>1572</v>
      </c>
      <c r="I153" s="147" t="s">
        <v>1579</v>
      </c>
      <c r="J153" s="147" t="s">
        <v>1574</v>
      </c>
      <c r="K153" s="148" t="s">
        <v>2217</v>
      </c>
      <c r="L153" s="148" t="s">
        <v>2218</v>
      </c>
      <c r="M153" s="148" t="s">
        <v>2219</v>
      </c>
      <c r="N153" s="54" t="str">
        <f t="shared" si="4"/>
        <v>Sí</v>
      </c>
      <c r="O153" s="54" t="str">
        <f t="shared" si="5"/>
        <v>Sí</v>
      </c>
    </row>
    <row r="154" spans="1:15" ht="60" customHeight="1" x14ac:dyDescent="0.2">
      <c r="A154" s="146" t="s">
        <v>2220</v>
      </c>
      <c r="B154" s="147" t="s">
        <v>1216</v>
      </c>
      <c r="C154" s="147" t="str">
        <f>IF(B154="","",IFERROR(INDEX('UNIVERSO MAESTRO'!$C$6:$C$497,MATCH(B154,'UNIVERSO MAESTRO'!$A$6:$A$497,0)),"⚠ ID no encontrado"))</f>
        <v>Promofut S.A. de C.V.</v>
      </c>
      <c r="D154" s="54" t="str">
        <f>IF(B154="","",IFERROR(INDEX('UNIVERSO MAESTRO'!$D$6:$D$497,MATCH(B154,'UNIVERSO MAESTRO'!$A$6:$A$497,0)),""))</f>
        <v>V4</v>
      </c>
      <c r="E154" s="147" t="s">
        <v>614</v>
      </c>
      <c r="F154" s="53" t="str">
        <f>IF(E154="","",IFERROR(INDEX('UNIVERSO MAESTRO'!$C$6:$C$497,MATCH(E154,'UNIVERSO MAESTRO'!$A$6:$A$497,0)),"⚠ ID no encontrado"))</f>
        <v>Federación Mexicana de Fútbol</v>
      </c>
      <c r="G154" s="54" t="str">
        <f>IF(E154="","",IFERROR(INDEX('UNIVERSO MAESTRO'!$D$6:$D$497,MATCH(E154,'UNIVERSO MAESTRO'!$A$6:$A$497,0)),""))</f>
        <v>V1</v>
      </c>
      <c r="H154" s="147" t="s">
        <v>1620</v>
      </c>
      <c r="I154" s="147" t="s">
        <v>1573</v>
      </c>
      <c r="J154" s="147" t="s">
        <v>1574</v>
      </c>
      <c r="K154" s="148" t="s">
        <v>2221</v>
      </c>
      <c r="L154" s="148" t="s">
        <v>2222</v>
      </c>
      <c r="M154" s="148" t="s">
        <v>1618</v>
      </c>
      <c r="N154" s="54" t="str">
        <f t="shared" si="4"/>
        <v>Sí</v>
      </c>
      <c r="O154" s="54" t="str">
        <f t="shared" si="5"/>
        <v>Sí</v>
      </c>
    </row>
    <row r="155" spans="1:15" ht="60" customHeight="1" x14ac:dyDescent="0.2">
      <c r="A155" s="146" t="s">
        <v>2223</v>
      </c>
      <c r="B155" s="147" t="s">
        <v>1216</v>
      </c>
      <c r="C155" s="147" t="str">
        <f>IF(B155="","",IFERROR(INDEX('UNIVERSO MAESTRO'!$C$6:$C$497,MATCH(B155,'UNIVERSO MAESTRO'!$A$6:$A$497,0)),"⚠ ID no encontrado"))</f>
        <v>Promofut S.A. de C.V.</v>
      </c>
      <c r="D155" s="54" t="str">
        <f>IF(B155="","",IFERROR(INDEX('UNIVERSO MAESTRO'!$D$6:$D$497,MATCH(B155,'UNIVERSO MAESTRO'!$A$6:$A$497,0)),""))</f>
        <v>V4</v>
      </c>
      <c r="E155" s="147" t="s">
        <v>771</v>
      </c>
      <c r="F155" s="53" t="str">
        <f>IF(E155="","",IFERROR(INDEX('UNIVERSO MAESTRO'!$C$6:$C$497,MATCH(E155,'UNIVERSO MAESTRO'!$A$6:$A$497,0)),"⚠ ID no encontrado"))</f>
        <v>Grupo Omnilife / Amaury Vergara / Chivas</v>
      </c>
      <c r="G155" s="54" t="str">
        <f>IF(E155="","",IFERROR(INDEX('UNIVERSO MAESTRO'!$D$6:$D$497,MATCH(E155,'UNIVERSO MAESTRO'!$A$6:$A$497,0)),""))</f>
        <v>V9</v>
      </c>
      <c r="H155" s="147" t="s">
        <v>1620</v>
      </c>
      <c r="I155" s="147" t="s">
        <v>1611</v>
      </c>
      <c r="J155" s="147" t="s">
        <v>1574</v>
      </c>
      <c r="K155" s="148" t="s">
        <v>2224</v>
      </c>
      <c r="L155" s="148"/>
      <c r="M155" s="148" t="s">
        <v>2225</v>
      </c>
      <c r="N155" s="54" t="str">
        <f t="shared" si="4"/>
        <v>Sí</v>
      </c>
      <c r="O155" s="54" t="str">
        <f t="shared" si="5"/>
        <v>No</v>
      </c>
    </row>
    <row r="156" spans="1:15" ht="60" customHeight="1" x14ac:dyDescent="0.2">
      <c r="A156" s="146" t="s">
        <v>2244</v>
      </c>
      <c r="B156" s="147" t="s">
        <v>1249</v>
      </c>
      <c r="C156" s="147" t="str">
        <f>IF(B156="","",IFERROR(INDEX('UNIVERSO MAESTRO'!$C$6:$C$497,MATCH(B156,'UNIVERSO MAESTRO'!$A$6:$A$497,0)),"⚠ ID no encontrado"))</f>
        <v>Relevent (Relevent Sports Group)</v>
      </c>
      <c r="D156" s="54" t="str">
        <f>IF(B156="","",IFERROR(INDEX('UNIVERSO MAESTRO'!$D$6:$D$497,MATCH(B156,'UNIVERSO MAESTRO'!$A$6:$A$497,0)),""))</f>
        <v>V4</v>
      </c>
      <c r="E156" s="147" t="s">
        <v>969</v>
      </c>
      <c r="F156" s="53" t="str">
        <f>IF(E156="","",IFERROR(INDEX('UNIVERSO MAESTRO'!$C$6:$C$497,MATCH(E156,'UNIVERSO MAESTRO'!$A$6:$A$497,0)),"⚠ ID no encontrado"))</f>
        <v>Liga MX</v>
      </c>
      <c r="G156" s="54" t="str">
        <f>IF(E156="","",IFERROR(INDEX('UNIVERSO MAESTRO'!$D$6:$D$497,MATCH(E156,'UNIVERSO MAESTRO'!$A$6:$A$497,0)),""))</f>
        <v>V1</v>
      </c>
      <c r="H156" s="147" t="s">
        <v>1620</v>
      </c>
      <c r="I156" s="147" t="s">
        <v>1573</v>
      </c>
      <c r="J156" s="147" t="s">
        <v>1574</v>
      </c>
      <c r="K156" s="148" t="s">
        <v>2245</v>
      </c>
      <c r="L156" s="148" t="s">
        <v>2246</v>
      </c>
      <c r="M156" s="148" t="s">
        <v>2247</v>
      </c>
      <c r="N156" s="54" t="str">
        <f t="shared" si="4"/>
        <v>Sí</v>
      </c>
      <c r="O156" s="54" t="str">
        <f t="shared" si="5"/>
        <v>Sí</v>
      </c>
    </row>
    <row r="157" spans="1:15" ht="60" customHeight="1" x14ac:dyDescent="0.2">
      <c r="A157" s="146" t="s">
        <v>2248</v>
      </c>
      <c r="B157" s="147" t="s">
        <v>1249</v>
      </c>
      <c r="C157" s="147" t="str">
        <f>IF(B157="","",IFERROR(INDEX('UNIVERSO MAESTRO'!$C$6:$C$497,MATCH(B157,'UNIVERSO MAESTRO'!$A$6:$A$497,0)),"⚠ ID no encontrado"))</f>
        <v>Relevent (Relevent Sports Group)</v>
      </c>
      <c r="D157" s="54" t="str">
        <f>IF(B157="","",IFERROR(INDEX('UNIVERSO MAESTRO'!$D$6:$D$497,MATCH(B157,'UNIVERSO MAESTRO'!$A$6:$A$497,0)),""))</f>
        <v>V4</v>
      </c>
      <c r="E157" s="147" t="s">
        <v>1303</v>
      </c>
      <c r="F157" s="53" t="str">
        <f>IF(E157="","",IFERROR(INDEX('UNIVERSO MAESTRO'!$C$6:$C$497,MATCH(E157,'UNIVERSO MAESTRO'!$A$6:$A$497,0)),"⚠ ID no encontrado"))</f>
        <v>Selección Mexicana de Fútbol</v>
      </c>
      <c r="G157" s="54" t="str">
        <f>IF(E157="","",IFERROR(INDEX('UNIVERSO MAESTRO'!$D$6:$D$497,MATCH(E157,'UNIVERSO MAESTRO'!$A$6:$A$497,0)),""))</f>
        <v>V1</v>
      </c>
      <c r="H157" s="147" t="s">
        <v>1620</v>
      </c>
      <c r="I157" s="147" t="s">
        <v>1579</v>
      </c>
      <c r="J157" s="147" t="s">
        <v>1574</v>
      </c>
      <c r="K157" s="148" t="s">
        <v>2249</v>
      </c>
      <c r="L157" s="148" t="s">
        <v>2250</v>
      </c>
      <c r="M157" s="148" t="s">
        <v>2251</v>
      </c>
      <c r="N157" s="54" t="str">
        <f t="shared" si="4"/>
        <v>Sí</v>
      </c>
      <c r="O157" s="54" t="str">
        <f t="shared" si="5"/>
        <v>Sí</v>
      </c>
    </row>
    <row r="158" spans="1:15" ht="60" customHeight="1" x14ac:dyDescent="0.2">
      <c r="A158" s="146" t="s">
        <v>2297</v>
      </c>
      <c r="B158" s="147" t="s">
        <v>1349</v>
      </c>
      <c r="C158" s="147" t="str">
        <f>IF(B158="","",IFERROR(INDEX('UNIVERSO MAESTRO'!$C$6:$C$497,MATCH(B158,'UNIVERSO MAESTRO'!$A$6:$A$497,0)),"⚠ ID no encontrado"))</f>
        <v>Soccer Media Solutions (SMS)</v>
      </c>
      <c r="D158" s="54" t="str">
        <f>IF(B158="","",IFERROR(INDEX('UNIVERSO MAESTRO'!$D$6:$D$497,MATCH(B158,'UNIVERSO MAESTRO'!$A$6:$A$497,0)),""))</f>
        <v>V4</v>
      </c>
      <c r="E158" s="147" t="s">
        <v>614</v>
      </c>
      <c r="F158" s="53" t="str">
        <f>IF(E158="","",IFERROR(INDEX('UNIVERSO MAESTRO'!$C$6:$C$497,MATCH(E158,'UNIVERSO MAESTRO'!$A$6:$A$497,0)),"⚠ ID no encontrado"))</f>
        <v>Federación Mexicana de Fútbol</v>
      </c>
      <c r="G158" s="54" t="str">
        <f>IF(E158="","",IFERROR(INDEX('UNIVERSO MAESTRO'!$D$6:$D$497,MATCH(E158,'UNIVERSO MAESTRO'!$A$6:$A$497,0)),""))</f>
        <v>V1</v>
      </c>
      <c r="H158" s="147" t="s">
        <v>1620</v>
      </c>
      <c r="I158" s="147" t="s">
        <v>1611</v>
      </c>
      <c r="J158" s="147" t="s">
        <v>1574</v>
      </c>
      <c r="K158" s="148" t="s">
        <v>2298</v>
      </c>
      <c r="L158" s="148"/>
      <c r="M158" s="148" t="s">
        <v>2299</v>
      </c>
      <c r="N158" s="54" t="str">
        <f t="shared" si="4"/>
        <v>Sí</v>
      </c>
      <c r="O158" s="54" t="str">
        <f t="shared" si="5"/>
        <v>No</v>
      </c>
    </row>
    <row r="159" spans="1:15" ht="60" customHeight="1" x14ac:dyDescent="0.2">
      <c r="A159" s="146" t="s">
        <v>2300</v>
      </c>
      <c r="B159" s="147" t="s">
        <v>1349</v>
      </c>
      <c r="C159" s="147" t="str">
        <f>IF(B159="","",IFERROR(INDEX('UNIVERSO MAESTRO'!$C$6:$C$497,MATCH(B159,'UNIVERSO MAESTRO'!$A$6:$A$497,0)),"⚠ ID no encontrado"))</f>
        <v>Soccer Media Solutions (SMS)</v>
      </c>
      <c r="D159" s="54" t="str">
        <f>IF(B159="","",IFERROR(INDEX('UNIVERSO MAESTRO'!$D$6:$D$497,MATCH(B159,'UNIVERSO MAESTRO'!$A$6:$A$497,0)),""))</f>
        <v>V4</v>
      </c>
      <c r="E159" s="147" t="s">
        <v>811</v>
      </c>
      <c r="F159" s="53" t="str">
        <f>IF(E159="","",IFERROR(INDEX('UNIVERSO MAESTRO'!$C$6:$C$497,MATCH(E159,'UNIVERSO MAESTRO'!$A$6:$A$497,0)),"⚠ ID no encontrado"))</f>
        <v>Grupo Salinas / TV Azteca</v>
      </c>
      <c r="G159" s="54" t="str">
        <f>IF(E159="","",IFERROR(INDEX('UNIVERSO MAESTRO'!$D$6:$D$497,MATCH(E159,'UNIVERSO MAESTRO'!$A$6:$A$497,0)),""))</f>
        <v>V9</v>
      </c>
      <c r="H159" s="147" t="s">
        <v>1620</v>
      </c>
      <c r="I159" s="147" t="s">
        <v>1573</v>
      </c>
      <c r="J159" s="147" t="s">
        <v>1574</v>
      </c>
      <c r="K159" s="148" t="s">
        <v>2301</v>
      </c>
      <c r="L159" s="148"/>
      <c r="M159" s="148" t="s">
        <v>2299</v>
      </c>
      <c r="N159" s="54" t="str">
        <f t="shared" si="4"/>
        <v>Sí</v>
      </c>
      <c r="O159" s="54" t="str">
        <f t="shared" si="5"/>
        <v>Sí</v>
      </c>
    </row>
    <row r="160" spans="1:15" ht="60" customHeight="1" x14ac:dyDescent="0.2">
      <c r="A160" s="146" t="s">
        <v>2302</v>
      </c>
      <c r="B160" s="147" t="s">
        <v>1391</v>
      </c>
      <c r="C160" s="147" t="str">
        <f>IF(B160="","",IFERROR(INDEX('UNIVERSO MAESTRO'!$C$6:$C$497,MATCH(B160,'UNIVERSO MAESTRO'!$A$6:$A$497,0)),"⚠ ID no encontrado"))</f>
        <v>SUM (Soccer United Marketing)</v>
      </c>
      <c r="D160" s="54" t="str">
        <f>IF(B160="","",IFERROR(INDEX('UNIVERSO MAESTRO'!$D$6:$D$497,MATCH(B160,'UNIVERSO MAESTRO'!$A$6:$A$497,0)),""))</f>
        <v>V4</v>
      </c>
      <c r="E160" s="147" t="s">
        <v>614</v>
      </c>
      <c r="F160" s="53" t="str">
        <f>IF(E160="","",IFERROR(INDEX('UNIVERSO MAESTRO'!$C$6:$C$497,MATCH(E160,'UNIVERSO MAESTRO'!$A$6:$A$497,0)),"⚠ ID no encontrado"))</f>
        <v>Federación Mexicana de Fútbol</v>
      </c>
      <c r="G160" s="54" t="str">
        <f>IF(E160="","",IFERROR(INDEX('UNIVERSO MAESTRO'!$D$6:$D$497,MATCH(E160,'UNIVERSO MAESTRO'!$A$6:$A$497,0)),""))</f>
        <v>V1</v>
      </c>
      <c r="H160" s="147" t="s">
        <v>1620</v>
      </c>
      <c r="I160" s="147" t="s">
        <v>1579</v>
      </c>
      <c r="J160" s="147" t="s">
        <v>1574</v>
      </c>
      <c r="K160" s="148" t="s">
        <v>2303</v>
      </c>
      <c r="L160" s="148" t="s">
        <v>2304</v>
      </c>
      <c r="M160" s="148" t="s">
        <v>2305</v>
      </c>
      <c r="N160" s="54" t="str">
        <f t="shared" si="4"/>
        <v>Sí</v>
      </c>
      <c r="O160" s="54" t="str">
        <f t="shared" si="5"/>
        <v>Sí</v>
      </c>
    </row>
    <row r="161" spans="1:15" ht="60" customHeight="1" x14ac:dyDescent="0.2">
      <c r="A161" s="146" t="s">
        <v>2306</v>
      </c>
      <c r="B161" s="147" t="s">
        <v>1400</v>
      </c>
      <c r="C161" s="147" t="str">
        <f>IF(B161="","",IFERROR(INDEX('UNIVERSO MAESTRO'!$C$6:$C$497,MATCH(B161,'UNIVERSO MAESTRO'!$A$6:$A$497,0)),"⚠ ID no encontrado"))</f>
        <v>TEAM Marketing AG</v>
      </c>
      <c r="D161" s="54" t="str">
        <f>IF(B161="","",IFERROR(INDEX('UNIVERSO MAESTRO'!$D$6:$D$497,MATCH(B161,'UNIVERSO MAESTRO'!$A$6:$A$497,0)),""))</f>
        <v>V4</v>
      </c>
      <c r="E161" s="147" t="s">
        <v>614</v>
      </c>
      <c r="F161" s="53" t="str">
        <f>IF(E161="","",IFERROR(INDEX('UNIVERSO MAESTRO'!$C$6:$C$497,MATCH(E161,'UNIVERSO MAESTRO'!$A$6:$A$497,0)),"⚠ ID no encontrado"))</f>
        <v>Federación Mexicana de Fútbol</v>
      </c>
      <c r="G161" s="54" t="str">
        <f>IF(E161="","",IFERROR(INDEX('UNIVERSO MAESTRO'!$D$6:$D$497,MATCH(E161,'UNIVERSO MAESTRO'!$A$6:$A$497,0)),""))</f>
        <v>V1</v>
      </c>
      <c r="H161" s="147" t="s">
        <v>1620</v>
      </c>
      <c r="I161" s="147" t="s">
        <v>1579</v>
      </c>
      <c r="J161" s="147" t="s">
        <v>1574</v>
      </c>
      <c r="K161" s="148" t="s">
        <v>2307</v>
      </c>
      <c r="L161" s="148" t="s">
        <v>2308</v>
      </c>
      <c r="M161" s="148" t="s">
        <v>2309</v>
      </c>
      <c r="N161" s="54" t="str">
        <f t="shared" si="4"/>
        <v>Sí</v>
      </c>
      <c r="O161" s="54" t="str">
        <f t="shared" si="5"/>
        <v>Sí</v>
      </c>
    </row>
    <row r="162" spans="1:15" ht="60" customHeight="1" x14ac:dyDescent="0.2">
      <c r="A162" s="146" t="s">
        <v>2310</v>
      </c>
      <c r="B162" s="147" t="s">
        <v>1400</v>
      </c>
      <c r="C162" s="147" t="str">
        <f>IF(B162="","",IFERROR(INDEX('UNIVERSO MAESTRO'!$C$6:$C$497,MATCH(B162,'UNIVERSO MAESTRO'!$A$6:$A$497,0)),"⚠ ID no encontrado"))</f>
        <v>TEAM Marketing AG</v>
      </c>
      <c r="D162" s="54" t="str">
        <f>IF(B162="","",IFERROR(INDEX('UNIVERSO MAESTRO'!$D$6:$D$497,MATCH(B162,'UNIVERSO MAESTRO'!$A$6:$A$497,0)),""))</f>
        <v>V4</v>
      </c>
      <c r="E162" s="147" t="s">
        <v>1303</v>
      </c>
      <c r="F162" s="53" t="str">
        <f>IF(E162="","",IFERROR(INDEX('UNIVERSO MAESTRO'!$C$6:$C$497,MATCH(E162,'UNIVERSO MAESTRO'!$A$6:$A$497,0)),"⚠ ID no encontrado"))</f>
        <v>Selección Mexicana de Fútbol</v>
      </c>
      <c r="G162" s="54" t="str">
        <f>IF(E162="","",IFERROR(INDEX('UNIVERSO MAESTRO'!$D$6:$D$497,MATCH(E162,'UNIVERSO MAESTRO'!$A$6:$A$497,0)),""))</f>
        <v>V1</v>
      </c>
      <c r="H162" s="147" t="s">
        <v>1620</v>
      </c>
      <c r="I162" s="147" t="s">
        <v>1579</v>
      </c>
      <c r="J162" s="147" t="s">
        <v>1574</v>
      </c>
      <c r="K162" s="148" t="s">
        <v>2311</v>
      </c>
      <c r="L162" s="148" t="s">
        <v>2312</v>
      </c>
      <c r="M162" s="148" t="s">
        <v>2313</v>
      </c>
      <c r="N162" s="54" t="str">
        <f t="shared" si="4"/>
        <v>Sí</v>
      </c>
      <c r="O162" s="54" t="str">
        <f t="shared" si="5"/>
        <v>Sí</v>
      </c>
    </row>
    <row r="163" spans="1:15" ht="60" customHeight="1" x14ac:dyDescent="0.2">
      <c r="A163" s="146" t="s">
        <v>2368</v>
      </c>
      <c r="B163" s="147" t="s">
        <v>1491</v>
      </c>
      <c r="C163" s="147" t="str">
        <f>IF(B163="","",IFERROR(INDEX('UNIVERSO MAESTRO'!$C$6:$C$497,MATCH(B163,'UNIVERSO MAESTRO'!$A$6:$A$497,0)),"⚠ ID no encontrado"))</f>
        <v>Wasserman / THE·TEAM México</v>
      </c>
      <c r="D163" s="54" t="str">
        <f>IF(B163="","",IFERROR(INDEX('UNIVERSO MAESTRO'!$D$6:$D$497,MATCH(B163,'UNIVERSO MAESTRO'!$A$6:$A$497,0)),""))</f>
        <v>V4</v>
      </c>
      <c r="E163" s="147" t="s">
        <v>1123</v>
      </c>
      <c r="F163" s="53" t="str">
        <f>IF(E163="","",IFERROR(INDEX('UNIVERSO MAESTRO'!$C$6:$C$497,MATCH(E163,'UNIVERSO MAESTRO'!$A$6:$A$497,0)),"⚠ ID no encontrado"))</f>
        <v>NFL México City Games</v>
      </c>
      <c r="G163" s="54" t="str">
        <f>IF(E163="","",IFERROR(INDEX('UNIVERSO MAESTRO'!$D$6:$D$497,MATCH(E163,'UNIVERSO MAESTRO'!$A$6:$A$497,0)),""))</f>
        <v>V1</v>
      </c>
      <c r="H163" s="147" t="s">
        <v>1620</v>
      </c>
      <c r="I163" s="147" t="s">
        <v>1573</v>
      </c>
      <c r="J163" s="147" t="s">
        <v>1574</v>
      </c>
      <c r="K163" s="148" t="s">
        <v>2369</v>
      </c>
      <c r="L163" s="148" t="s">
        <v>2370</v>
      </c>
      <c r="M163" s="148" t="s">
        <v>2371</v>
      </c>
      <c r="N163" s="54" t="str">
        <f t="shared" si="4"/>
        <v>Sí</v>
      </c>
      <c r="O163" s="54" t="str">
        <f t="shared" si="5"/>
        <v>Sí</v>
      </c>
    </row>
    <row r="164" spans="1:15" ht="60" customHeight="1" x14ac:dyDescent="0.2">
      <c r="A164" s="146" t="s">
        <v>1632</v>
      </c>
      <c r="B164" s="147" t="s">
        <v>264</v>
      </c>
      <c r="C164" s="147" t="str">
        <f>IF(B164="","",IFERROR(INDEX('UNIVERSO MAESTRO'!$C$6:$C$497,MATCH(B164,'UNIVERSO MAESTRO'!$A$6:$A$497,0)),"⚠ ID no encontrado"))</f>
        <v>ASdeporte (Asdeporte SA de CV)</v>
      </c>
      <c r="D164" s="54" t="str">
        <f>IF(B164="","",IFERROR(INDEX('UNIVERSO MAESTRO'!$D$6:$D$497,MATCH(B164,'UNIVERSO MAESTRO'!$A$6:$A$497,0)),""))</f>
        <v>V5</v>
      </c>
      <c r="E164" s="147" t="s">
        <v>1416</v>
      </c>
      <c r="F164" s="53" t="str">
        <f>IF(E164="","",IFERROR(INDEX('UNIVERSO MAESTRO'!$C$6:$C$497,MATCH(E164,'UNIVERSO MAESTRO'!$A$6:$A$497,0)),"⚠ ID no encontrado"))</f>
        <v>TelevisaUnivision</v>
      </c>
      <c r="G164" s="54" t="str">
        <f>IF(E164="","",IFERROR(INDEX('UNIVERSO MAESTRO'!$D$6:$D$497,MATCH(E164,'UNIVERSO MAESTRO'!$A$6:$A$497,0)),""))</f>
        <v>V2</v>
      </c>
      <c r="H164" s="147" t="s">
        <v>1620</v>
      </c>
      <c r="I164" s="147" t="s">
        <v>1573</v>
      </c>
      <c r="J164" s="147" t="s">
        <v>1574</v>
      </c>
      <c r="K164" s="148" t="s">
        <v>1633</v>
      </c>
      <c r="L164" s="148" t="s">
        <v>1634</v>
      </c>
      <c r="M164" s="148" t="s">
        <v>1635</v>
      </c>
      <c r="N164" s="54" t="str">
        <f t="shared" si="4"/>
        <v>Sí</v>
      </c>
      <c r="O164" s="54" t="str">
        <f t="shared" si="5"/>
        <v>Sí</v>
      </c>
    </row>
    <row r="165" spans="1:15" ht="60" customHeight="1" x14ac:dyDescent="0.2">
      <c r="A165" s="146" t="s">
        <v>1695</v>
      </c>
      <c r="B165" s="147" t="s">
        <v>400</v>
      </c>
      <c r="C165" s="147" t="str">
        <f>IF(B165="","",IFERROR(INDEX('UNIVERSO MAESTRO'!$C$6:$C$497,MATCH(B165,'UNIVERSO MAESTRO'!$A$6:$A$497,0)),"⚠ ID no encontrado"))</f>
        <v>CIE / OCESA (V5 Experiencias)</v>
      </c>
      <c r="D165" s="54" t="str">
        <f>IF(B165="","",IFERROR(INDEX('UNIVERSO MAESTRO'!$D$6:$D$497,MATCH(B165,'UNIVERSO MAESTRO'!$A$6:$A$497,0)),""))</f>
        <v>V5</v>
      </c>
      <c r="E165" s="147" t="s">
        <v>1519</v>
      </c>
      <c r="F165" s="53" t="str">
        <f>IF(E165="","",IFERROR(INDEX('UNIVERSO MAESTRO'!$C$6:$C$497,MATCH(E165,'UNIVERSO MAESTRO'!$A$6:$A$497,0)),"⚠ ID no encontrado"))</f>
        <v>Coliseo GNP Seguros (Zapopan, Jalisco)</v>
      </c>
      <c r="G165" s="54" t="str">
        <f>IF(E165="","",IFERROR(INDEX('UNIVERSO MAESTRO'!$D$6:$D$497,MATCH(E165,'UNIVERSO MAESTRO'!$A$6:$A$497,0)),""))</f>
        <v>V7</v>
      </c>
      <c r="H165" s="147" t="s">
        <v>1615</v>
      </c>
      <c r="I165" s="147" t="s">
        <v>1579</v>
      </c>
      <c r="J165" s="147" t="s">
        <v>1574</v>
      </c>
      <c r="K165" s="148" t="s">
        <v>1696</v>
      </c>
      <c r="L165" s="148" t="s">
        <v>1697</v>
      </c>
      <c r="M165" s="148" t="s">
        <v>1698</v>
      </c>
      <c r="N165" s="54" t="str">
        <f t="shared" si="4"/>
        <v>Sí</v>
      </c>
      <c r="O165" s="54" t="str">
        <f t="shared" si="5"/>
        <v>Sí</v>
      </c>
    </row>
    <row r="166" spans="1:15" ht="60" customHeight="1" x14ac:dyDescent="0.2">
      <c r="A166" s="146" t="s">
        <v>1699</v>
      </c>
      <c r="B166" s="147" t="s">
        <v>400</v>
      </c>
      <c r="C166" s="147" t="str">
        <f>IF(B166="","",IFERROR(INDEX('UNIVERSO MAESTRO'!$C$6:$C$497,MATCH(B166,'UNIVERSO MAESTRO'!$A$6:$A$497,0)),"⚠ ID no encontrado"))</f>
        <v>CIE / OCESA (V5 Experiencias)</v>
      </c>
      <c r="D166" s="54" t="str">
        <f>IF(B166="","",IFERROR(INDEX('UNIVERSO MAESTRO'!$D$6:$D$497,MATCH(B166,'UNIVERSO MAESTRO'!$A$6:$A$497,0)),""))</f>
        <v>V5</v>
      </c>
      <c r="E166" s="147" t="s">
        <v>574</v>
      </c>
      <c r="F166" s="53" t="str">
        <f>IF(E166="","",IFERROR(INDEX('UNIVERSO MAESTRO'!$C$6:$C$497,MATCH(E166,'UNIVERSO MAESTRO'!$A$6:$A$497,0)),"⚠ ID no encontrado"))</f>
        <v>Estadio Olímpico Universitario</v>
      </c>
      <c r="G166" s="54" t="str">
        <f>IF(E166="","",IFERROR(INDEX('UNIVERSO MAESTRO'!$D$6:$D$497,MATCH(E166,'UNIVERSO MAESTRO'!$A$6:$A$497,0)),""))</f>
        <v>V7</v>
      </c>
      <c r="H166" s="147" t="s">
        <v>1671</v>
      </c>
      <c r="I166" s="147" t="s">
        <v>1611</v>
      </c>
      <c r="J166" s="147" t="s">
        <v>1574</v>
      </c>
      <c r="K166" s="148" t="s">
        <v>1700</v>
      </c>
      <c r="L166" s="148"/>
      <c r="M166" s="148" t="s">
        <v>1701</v>
      </c>
      <c r="N166" s="54" t="str">
        <f t="shared" si="4"/>
        <v>Sí</v>
      </c>
      <c r="O166" s="54" t="str">
        <f t="shared" si="5"/>
        <v>No</v>
      </c>
    </row>
    <row r="167" spans="1:15" ht="60" customHeight="1" x14ac:dyDescent="0.2">
      <c r="A167" s="146" t="s">
        <v>1702</v>
      </c>
      <c r="B167" s="147" t="s">
        <v>400</v>
      </c>
      <c r="C167" s="147" t="str">
        <f>IF(B167="","",IFERROR(INDEX('UNIVERSO MAESTRO'!$C$6:$C$497,MATCH(B167,'UNIVERSO MAESTRO'!$A$6:$A$497,0)),"⚠ ID no encontrado"))</f>
        <v>CIE / OCESA (V5 Experiencias)</v>
      </c>
      <c r="D167" s="54" t="str">
        <f>IF(B167="","",IFERROR(INDEX('UNIVERSO MAESTRO'!$D$6:$D$497,MATCH(B167,'UNIVERSO MAESTRO'!$A$6:$A$497,0)),""))</f>
        <v>V5</v>
      </c>
      <c r="E167" s="147" t="s">
        <v>622</v>
      </c>
      <c r="F167" s="53" t="str">
        <f>IF(E167="","",IFERROR(INDEX('UNIVERSO MAESTRO'!$C$6:$C$497,MATCH(E167,'UNIVERSO MAESTRO'!$A$6:$A$497,0)),"⚠ ID no encontrado"))</f>
        <v>FEMSA / Club de Fútbol Monterrey Rayados</v>
      </c>
      <c r="G167" s="54" t="str">
        <f>IF(E167="","",IFERROR(INDEX('UNIVERSO MAESTRO'!$D$6:$D$497,MATCH(E167,'UNIVERSO MAESTRO'!$A$6:$A$497,0)),""))</f>
        <v>V9</v>
      </c>
      <c r="H167" s="147" t="s">
        <v>1671</v>
      </c>
      <c r="I167" s="147" t="s">
        <v>1579</v>
      </c>
      <c r="J167" s="147" t="s">
        <v>1574</v>
      </c>
      <c r="K167" s="148" t="s">
        <v>1703</v>
      </c>
      <c r="L167" s="148" t="s">
        <v>1704</v>
      </c>
      <c r="M167" s="148" t="s">
        <v>1705</v>
      </c>
      <c r="N167" s="54" t="str">
        <f t="shared" si="4"/>
        <v>Sí</v>
      </c>
      <c r="O167" s="54" t="str">
        <f t="shared" si="5"/>
        <v>Sí</v>
      </c>
    </row>
    <row r="168" spans="1:15" ht="60" customHeight="1" x14ac:dyDescent="0.2">
      <c r="A168" s="146" t="s">
        <v>1706</v>
      </c>
      <c r="B168" s="147" t="s">
        <v>400</v>
      </c>
      <c r="C168" s="147" t="str">
        <f>IF(B168="","",IFERROR(INDEX('UNIVERSO MAESTRO'!$C$6:$C$497,MATCH(B168,'UNIVERSO MAESTRO'!$A$6:$A$497,0)),"⚠ ID no encontrado"))</f>
        <v>CIE / OCESA (V5 Experiencias)</v>
      </c>
      <c r="D168" s="54" t="str">
        <f>IF(B168="","",IFERROR(INDEX('UNIVERSO MAESTRO'!$D$6:$D$497,MATCH(B168,'UNIVERSO MAESTRO'!$A$6:$A$497,0)),""))</f>
        <v>V5</v>
      </c>
      <c r="E168" s="147" t="s">
        <v>712</v>
      </c>
      <c r="F168" s="53" t="str">
        <f>IF(E168="","",IFERROR(INDEX('UNIVERSO MAESTRO'!$C$6:$C$497,MATCH(E168,'UNIVERSO MAESTRO'!$A$6:$A$497,0)),"⚠ ID no encontrado"))</f>
        <v>Gran Premio de México — Fórmula 1</v>
      </c>
      <c r="G168" s="54" t="str">
        <f>IF(E168="","",IFERROR(INDEX('UNIVERSO MAESTRO'!$D$6:$D$497,MATCH(E168,'UNIVERSO MAESTRO'!$A$6:$A$497,0)),""))</f>
        <v>V1</v>
      </c>
      <c r="H168" s="147" t="s">
        <v>1620</v>
      </c>
      <c r="I168" s="147" t="s">
        <v>1579</v>
      </c>
      <c r="J168" s="147" t="s">
        <v>1574</v>
      </c>
      <c r="K168" s="148" t="s">
        <v>1707</v>
      </c>
      <c r="L168" s="148" t="s">
        <v>1708</v>
      </c>
      <c r="M168" s="148" t="s">
        <v>1618</v>
      </c>
      <c r="N168" s="54" t="str">
        <f t="shared" si="4"/>
        <v>Sí</v>
      </c>
      <c r="O168" s="54" t="str">
        <f t="shared" si="5"/>
        <v>Sí</v>
      </c>
    </row>
    <row r="169" spans="1:15" ht="60" customHeight="1" x14ac:dyDescent="0.2">
      <c r="A169" s="146" t="s">
        <v>1709</v>
      </c>
      <c r="B169" s="147" t="s">
        <v>400</v>
      </c>
      <c r="C169" s="147" t="str">
        <f>IF(B169="","",IFERROR(INDEX('UNIVERSO MAESTRO'!$C$6:$C$497,MATCH(B169,'UNIVERSO MAESTRO'!$A$6:$A$497,0)),"⚠ ID no encontrado"))</f>
        <v>CIE / OCESA (V5 Experiencias)</v>
      </c>
      <c r="D169" s="54" t="str">
        <f>IF(B169="","",IFERROR(INDEX('UNIVERSO MAESTRO'!$D$6:$D$497,MATCH(B169,'UNIVERSO MAESTRO'!$A$6:$A$497,0)),""))</f>
        <v>V5</v>
      </c>
      <c r="E169" s="147" t="s">
        <v>1149</v>
      </c>
      <c r="F169" s="53" t="str">
        <f>IF(E169="","",IFERROR(INDEX('UNIVERSO MAESTRO'!$C$6:$C$497,MATCH(E169,'UNIVERSO MAESTRO'!$A$6:$A$497,0)),"⚠ ID no encontrado"))</f>
        <v>Ollamani, S.A.B. / Grupo Águilas (Club América + Estadio Banorte)</v>
      </c>
      <c r="G169" s="54" t="str">
        <f>IF(E169="","",IFERROR(INDEX('UNIVERSO MAESTRO'!$D$6:$D$497,MATCH(E169,'UNIVERSO MAESTRO'!$A$6:$A$497,0)),""))</f>
        <v>V9</v>
      </c>
      <c r="H169" s="147" t="s">
        <v>1671</v>
      </c>
      <c r="I169" s="147" t="s">
        <v>1573</v>
      </c>
      <c r="J169" s="147" t="s">
        <v>1574</v>
      </c>
      <c r="K169" s="148" t="s">
        <v>1710</v>
      </c>
      <c r="L169" s="148"/>
      <c r="M169" s="148" t="s">
        <v>1711</v>
      </c>
      <c r="N169" s="54" t="str">
        <f t="shared" si="4"/>
        <v>Sí</v>
      </c>
      <c r="O169" s="54" t="str">
        <f t="shared" si="5"/>
        <v>Sí</v>
      </c>
    </row>
    <row r="170" spans="1:15" ht="60" customHeight="1" x14ac:dyDescent="0.2">
      <c r="A170" s="146" t="s">
        <v>1802</v>
      </c>
      <c r="B170" s="147" t="s">
        <v>528</v>
      </c>
      <c r="C170" s="147" t="str">
        <f>IF(B170="","",IFERROR(INDEX('UNIVERSO MAESTRO'!$C$6:$C$497,MATCH(B170,'UNIVERSO MAESTRO'!$A$6:$A$497,0)),"⚠ ID no encontrado"))</f>
        <v>Elevate Sports Ventures</v>
      </c>
      <c r="D170" s="54" t="str">
        <f>IF(B170="","",IFERROR(INDEX('UNIVERSO MAESTRO'!$D$6:$D$497,MATCH(B170,'UNIVERSO MAESTRO'!$A$6:$A$497,0)),""))</f>
        <v>V5</v>
      </c>
      <c r="E170" s="147" t="s">
        <v>1149</v>
      </c>
      <c r="F170" s="53" t="str">
        <f>IF(E170="","",IFERROR(INDEX('UNIVERSO MAESTRO'!$C$6:$C$497,MATCH(E170,'UNIVERSO MAESTRO'!$A$6:$A$497,0)),"⚠ ID no encontrado"))</f>
        <v>Ollamani, S.A.B. / Grupo Águilas (Club América + Estadio Banorte)</v>
      </c>
      <c r="G170" s="54" t="str">
        <f>IF(E170="","",IFERROR(INDEX('UNIVERSO MAESTRO'!$D$6:$D$497,MATCH(E170,'UNIVERSO MAESTRO'!$A$6:$A$497,0)),""))</f>
        <v>V9</v>
      </c>
      <c r="H170" s="147" t="s">
        <v>1615</v>
      </c>
      <c r="I170" s="147" t="s">
        <v>1573</v>
      </c>
      <c r="J170" s="147" t="s">
        <v>1574</v>
      </c>
      <c r="K170" s="148" t="s">
        <v>1803</v>
      </c>
      <c r="L170" s="148" t="s">
        <v>1804</v>
      </c>
      <c r="M170" s="148" t="s">
        <v>1805</v>
      </c>
      <c r="N170" s="54" t="str">
        <f t="shared" si="4"/>
        <v>Sí</v>
      </c>
      <c r="O170" s="54" t="str">
        <f t="shared" si="5"/>
        <v>Sí</v>
      </c>
    </row>
    <row r="171" spans="1:15" ht="60" customHeight="1" x14ac:dyDescent="0.2">
      <c r="A171" s="146" t="s">
        <v>1839</v>
      </c>
      <c r="B171" s="147" t="s">
        <v>581</v>
      </c>
      <c r="C171" s="147" t="str">
        <f>IF(B171="","",IFERROR(INDEX('UNIVERSO MAESTRO'!$C$6:$C$497,MATCH(B171,'UNIVERSO MAESTRO'!$A$6:$A$497,0)),"⚠ ID no encontrado"))</f>
        <v>F1 Experiences / QuintEvents</v>
      </c>
      <c r="D171" s="54" t="str">
        <f>IF(B171="","",IFERROR(INDEX('UNIVERSO MAESTRO'!$D$6:$D$497,MATCH(B171,'UNIVERSO MAESTRO'!$A$6:$A$497,0)),""))</f>
        <v>V5</v>
      </c>
      <c r="E171" s="147" t="s">
        <v>712</v>
      </c>
      <c r="F171" s="53" t="str">
        <f>IF(E171="","",IFERROR(INDEX('UNIVERSO MAESTRO'!$C$6:$C$497,MATCH(E171,'UNIVERSO MAESTRO'!$A$6:$A$497,0)),"⚠ ID no encontrado"))</f>
        <v>Gran Premio de México — Fórmula 1</v>
      </c>
      <c r="G171" s="54" t="str">
        <f>IF(E171="","",IFERROR(INDEX('UNIVERSO MAESTRO'!$D$6:$D$497,MATCH(E171,'UNIVERSO MAESTRO'!$A$6:$A$497,0)),""))</f>
        <v>V1</v>
      </c>
      <c r="H171" s="147" t="s">
        <v>1736</v>
      </c>
      <c r="I171" s="147" t="s">
        <v>1579</v>
      </c>
      <c r="J171" s="147" t="s">
        <v>1574</v>
      </c>
      <c r="K171" s="148" t="s">
        <v>1840</v>
      </c>
      <c r="L171" s="148" t="s">
        <v>1841</v>
      </c>
      <c r="M171" s="148" t="s">
        <v>1813</v>
      </c>
      <c r="N171" s="54" t="str">
        <f t="shared" si="4"/>
        <v>Sí</v>
      </c>
      <c r="O171" s="54" t="str">
        <f t="shared" si="5"/>
        <v>Sí</v>
      </c>
    </row>
    <row r="172" spans="1:15" ht="60" customHeight="1" x14ac:dyDescent="0.2">
      <c r="A172" s="146" t="s">
        <v>2019</v>
      </c>
      <c r="B172" s="147" t="s">
        <v>760</v>
      </c>
      <c r="C172" s="147" t="str">
        <f>IF(B172="","",IFERROR(INDEX('UNIVERSO MAESTRO'!$C$6:$C$497,MATCH(B172,'UNIVERSO MAESTRO'!$A$6:$A$497,0)),"⚠ ID no encontrado"))</f>
        <v>Grupo Mundomex</v>
      </c>
      <c r="D172" s="54" t="str">
        <f>IF(B172="","",IFERROR(INDEX('UNIVERSO MAESTRO'!$D$6:$D$497,MATCH(B172,'UNIVERSO MAESTRO'!$A$6:$A$497,0)),""))</f>
        <v>V5</v>
      </c>
      <c r="E172" s="147" t="s">
        <v>622</v>
      </c>
      <c r="F172" s="53" t="str">
        <f>IF(E172="","",IFERROR(INDEX('UNIVERSO MAESTRO'!$C$6:$C$497,MATCH(E172,'UNIVERSO MAESTRO'!$A$6:$A$497,0)),"⚠ ID no encontrado"))</f>
        <v>FEMSA / Club de Fútbol Monterrey Rayados</v>
      </c>
      <c r="G172" s="54" t="str">
        <f>IF(E172="","",IFERROR(INDEX('UNIVERSO MAESTRO'!$D$6:$D$497,MATCH(E172,'UNIVERSO MAESTRO'!$A$6:$A$497,0)),""))</f>
        <v>V9</v>
      </c>
      <c r="H172" s="147" t="s">
        <v>1736</v>
      </c>
      <c r="I172" s="147" t="s">
        <v>1573</v>
      </c>
      <c r="J172" s="147" t="s">
        <v>1574</v>
      </c>
      <c r="K172" s="148" t="s">
        <v>2020</v>
      </c>
      <c r="L172" s="148" t="s">
        <v>2021</v>
      </c>
      <c r="M172" s="148" t="s">
        <v>1813</v>
      </c>
      <c r="N172" s="54" t="str">
        <f t="shared" si="4"/>
        <v>Sí</v>
      </c>
      <c r="O172" s="54" t="str">
        <f t="shared" si="5"/>
        <v>Sí</v>
      </c>
    </row>
    <row r="173" spans="1:15" ht="60" customHeight="1" x14ac:dyDescent="0.2">
      <c r="A173" s="146" t="s">
        <v>2022</v>
      </c>
      <c r="B173" s="147" t="s">
        <v>760</v>
      </c>
      <c r="C173" s="147" t="str">
        <f>IF(B173="","",IFERROR(INDEX('UNIVERSO MAESTRO'!$C$6:$C$497,MATCH(B173,'UNIVERSO MAESTRO'!$A$6:$A$497,0)),"⚠ ID no encontrado"))</f>
        <v>Grupo Mundomex</v>
      </c>
      <c r="D173" s="54" t="str">
        <f>IF(B173="","",IFERROR(INDEX('UNIVERSO MAESTRO'!$D$6:$D$497,MATCH(B173,'UNIVERSO MAESTRO'!$A$6:$A$497,0)),""))</f>
        <v>V5</v>
      </c>
      <c r="E173" s="147" t="s">
        <v>771</v>
      </c>
      <c r="F173" s="53" t="str">
        <f>IF(E173="","",IFERROR(INDEX('UNIVERSO MAESTRO'!$C$6:$C$497,MATCH(E173,'UNIVERSO MAESTRO'!$A$6:$A$497,0)),"⚠ ID no encontrado"))</f>
        <v>Grupo Omnilife / Amaury Vergara / Chivas</v>
      </c>
      <c r="G173" s="54" t="str">
        <f>IF(E173="","",IFERROR(INDEX('UNIVERSO MAESTRO'!$D$6:$D$497,MATCH(E173,'UNIVERSO MAESTRO'!$A$6:$A$497,0)),""))</f>
        <v>V9</v>
      </c>
      <c r="H173" s="147" t="s">
        <v>1736</v>
      </c>
      <c r="I173" s="147" t="s">
        <v>1573</v>
      </c>
      <c r="J173" s="147" t="s">
        <v>1574</v>
      </c>
      <c r="K173" s="148" t="s">
        <v>2023</v>
      </c>
      <c r="L173" s="148" t="s">
        <v>2024</v>
      </c>
      <c r="M173" s="148" t="s">
        <v>1813</v>
      </c>
      <c r="N173" s="54" t="str">
        <f t="shared" si="4"/>
        <v>Sí</v>
      </c>
      <c r="O173" s="54" t="str">
        <f t="shared" si="5"/>
        <v>Sí</v>
      </c>
    </row>
    <row r="174" spans="1:15" ht="60" customHeight="1" x14ac:dyDescent="0.2">
      <c r="A174" s="146" t="s">
        <v>2025</v>
      </c>
      <c r="B174" s="147" t="s">
        <v>760</v>
      </c>
      <c r="C174" s="147" t="str">
        <f>IF(B174="","",IFERROR(INDEX('UNIVERSO MAESTRO'!$C$6:$C$497,MATCH(B174,'UNIVERSO MAESTRO'!$A$6:$A$497,0)),"⚠ ID no encontrado"))</f>
        <v>Grupo Mundomex</v>
      </c>
      <c r="D174" s="54" t="str">
        <f>IF(B174="","",IFERROR(INDEX('UNIVERSO MAESTRO'!$D$6:$D$497,MATCH(B174,'UNIVERSO MAESTRO'!$A$6:$A$497,0)),""))</f>
        <v>V5</v>
      </c>
      <c r="E174" s="147" t="s">
        <v>1149</v>
      </c>
      <c r="F174" s="53" t="str">
        <f>IF(E174="","",IFERROR(INDEX('UNIVERSO MAESTRO'!$C$6:$C$497,MATCH(E174,'UNIVERSO MAESTRO'!$A$6:$A$497,0)),"⚠ ID no encontrado"))</f>
        <v>Ollamani, S.A.B. / Grupo Águilas (Club América + Estadio Banorte)</v>
      </c>
      <c r="G174" s="54" t="str">
        <f>IF(E174="","",IFERROR(INDEX('UNIVERSO MAESTRO'!$D$6:$D$497,MATCH(E174,'UNIVERSO MAESTRO'!$A$6:$A$497,0)),""))</f>
        <v>V9</v>
      </c>
      <c r="H174" s="147" t="s">
        <v>1736</v>
      </c>
      <c r="I174" s="147" t="s">
        <v>1573</v>
      </c>
      <c r="J174" s="147" t="s">
        <v>1574</v>
      </c>
      <c r="K174" s="148" t="s">
        <v>2026</v>
      </c>
      <c r="L174" s="148" t="s">
        <v>2027</v>
      </c>
      <c r="M174" s="148" t="s">
        <v>1813</v>
      </c>
      <c r="N174" s="54" t="str">
        <f t="shared" si="4"/>
        <v>Sí</v>
      </c>
      <c r="O174" s="54" t="str">
        <f t="shared" si="5"/>
        <v>Sí</v>
      </c>
    </row>
    <row r="175" spans="1:15" ht="60" customHeight="1" x14ac:dyDescent="0.2">
      <c r="A175" s="146" t="s">
        <v>2157</v>
      </c>
      <c r="B175" s="147" t="s">
        <v>1073</v>
      </c>
      <c r="C175" s="147" t="str">
        <f>IF(B175="","",IFERROR(INDEX('UNIVERSO MAESTRO'!$C$6:$C$497,MATCH(B175,'UNIVERSO MAESTRO'!$A$6:$A$497,0)),"⚠ ID no encontrado"))</f>
        <v>Mextenis S.A. de C.V. (Grupo Pegaso)</v>
      </c>
      <c r="D175" s="54" t="str">
        <f>IF(B175="","",IFERROR(INDEX('UNIVERSO MAESTRO'!$D$6:$D$497,MATCH(B175,'UNIVERSO MAESTRO'!$A$6:$A$497,0)),""))</f>
        <v>V5</v>
      </c>
      <c r="E175" s="147" t="s">
        <v>832</v>
      </c>
      <c r="F175" s="53" t="str">
        <f>IF(E175="","",IFERROR(INDEX('UNIVERSO MAESTRO'!$C$6:$C$497,MATCH(E175,'UNIVERSO MAESTRO'!$A$6:$A$497,0)),"⚠ ID no encontrado"))</f>
        <v>GS Sports Management</v>
      </c>
      <c r="G175" s="54" t="str">
        <f>IF(E175="","",IFERROR(INDEX('UNIVERSO MAESTRO'!$D$6:$D$497,MATCH(E175,'UNIVERSO MAESTRO'!$A$6:$A$497,0)),""))</f>
        <v>V5</v>
      </c>
      <c r="H175" s="147" t="s">
        <v>1620</v>
      </c>
      <c r="I175" s="147" t="s">
        <v>1573</v>
      </c>
      <c r="J175" s="147" t="s">
        <v>1574</v>
      </c>
      <c r="K175" s="148" t="s">
        <v>2158</v>
      </c>
      <c r="L175" s="148"/>
      <c r="M175" s="148" t="s">
        <v>2159</v>
      </c>
      <c r="N175" s="54" t="str">
        <f t="shared" si="4"/>
        <v>No</v>
      </c>
      <c r="O175" s="54" t="str">
        <f t="shared" si="5"/>
        <v>Sí</v>
      </c>
    </row>
    <row r="176" spans="1:15" ht="60" customHeight="1" x14ac:dyDescent="0.2">
      <c r="A176" s="146" t="s">
        <v>2160</v>
      </c>
      <c r="B176" s="147" t="s">
        <v>1073</v>
      </c>
      <c r="C176" s="147" t="str">
        <f>IF(B176="","",IFERROR(INDEX('UNIVERSO MAESTRO'!$C$6:$C$497,MATCH(B176,'UNIVERSO MAESTRO'!$A$6:$A$497,0)),"⚠ ID no encontrado"))</f>
        <v>Mextenis S.A. de C.V. (Grupo Pegaso)</v>
      </c>
      <c r="D176" s="54" t="str">
        <f>IF(B176="","",IFERROR(INDEX('UNIVERSO MAESTRO'!$D$6:$D$497,MATCH(B176,'UNIVERSO MAESTRO'!$A$6:$A$497,0)),""))</f>
        <v>V5</v>
      </c>
      <c r="E176" s="147" t="s">
        <v>862</v>
      </c>
      <c r="F176" s="53" t="str">
        <f>IF(E176="","",IFERROR(INDEX('UNIVERSO MAESTRO'!$C$6:$C$497,MATCH(E176,'UNIVERSO MAESTRO'!$A$6:$A$497,0)),"⚠ ID no encontrado"))</f>
        <v>HG Promotores en Deporte y Entretenimiento</v>
      </c>
      <c r="G176" s="54" t="str">
        <f>IF(E176="","",IFERROR(INDEX('UNIVERSO MAESTRO'!$D$6:$D$497,MATCH(E176,'UNIVERSO MAESTRO'!$A$6:$A$497,0)),""))</f>
        <v>V5</v>
      </c>
      <c r="H176" s="147" t="s">
        <v>1731</v>
      </c>
      <c r="I176" s="147" t="s">
        <v>1611</v>
      </c>
      <c r="J176" s="147" t="s">
        <v>1574</v>
      </c>
      <c r="K176" s="148" t="s">
        <v>2161</v>
      </c>
      <c r="L176" s="148"/>
      <c r="M176" s="148" t="s">
        <v>2162</v>
      </c>
      <c r="N176" s="54" t="str">
        <f t="shared" si="4"/>
        <v>No</v>
      </c>
      <c r="O176" s="54" t="str">
        <f t="shared" si="5"/>
        <v>No</v>
      </c>
    </row>
    <row r="177" spans="1:15" ht="60" customHeight="1" x14ac:dyDescent="0.2">
      <c r="A177" s="146" t="s">
        <v>1670</v>
      </c>
      <c r="B177" s="147" t="s">
        <v>326</v>
      </c>
      <c r="C177" s="147" t="str">
        <f>IF(B177="","",IFERROR(INDEX('UNIVERSO MAESTRO'!$C$6:$C$497,MATCH(B177,'UNIVERSO MAESTRO'!$A$6:$A$497,0)),"⚠ ID no encontrado"))</f>
        <v>Boletomóvil</v>
      </c>
      <c r="D177" s="54" t="str">
        <f>IF(B177="","",IFERROR(INDEX('UNIVERSO MAESTRO'!$D$6:$D$497,MATCH(B177,'UNIVERSO MAESTRO'!$A$6:$A$497,0)),""))</f>
        <v>V6</v>
      </c>
      <c r="E177" s="147" t="s">
        <v>377</v>
      </c>
      <c r="F177" s="53" t="str">
        <f>IF(E177="","",IFERROR(INDEX('UNIVERSO MAESTRO'!$C$6:$C$497,MATCH(E177,'UNIVERSO MAESTRO'!$A$6:$A$497,0)),"⚠ ID no encontrado"))</f>
        <v>CEMEX / Sinergia Deportiva</v>
      </c>
      <c r="G177" s="54" t="str">
        <f>IF(E177="","",IFERROR(INDEX('UNIVERSO MAESTRO'!$D$6:$D$497,MATCH(E177,'UNIVERSO MAESTRO'!$A$6:$A$497,0)),""))</f>
        <v>V9</v>
      </c>
      <c r="H177" s="147" t="s">
        <v>1671</v>
      </c>
      <c r="I177" s="147" t="s">
        <v>1579</v>
      </c>
      <c r="J177" s="147" t="s">
        <v>1574</v>
      </c>
      <c r="K177" s="148" t="s">
        <v>1672</v>
      </c>
      <c r="L177" s="148" t="s">
        <v>1673</v>
      </c>
      <c r="M177" s="148" t="s">
        <v>335</v>
      </c>
      <c r="N177" s="54" t="str">
        <f t="shared" si="4"/>
        <v>Sí</v>
      </c>
      <c r="O177" s="54" t="str">
        <f t="shared" si="5"/>
        <v>Sí</v>
      </c>
    </row>
    <row r="178" spans="1:15" ht="60" customHeight="1" x14ac:dyDescent="0.2">
      <c r="A178" s="146" t="s">
        <v>1674</v>
      </c>
      <c r="B178" s="147" t="s">
        <v>326</v>
      </c>
      <c r="C178" s="147" t="str">
        <f>IF(B178="","",IFERROR(INDEX('UNIVERSO MAESTRO'!$C$6:$C$497,MATCH(B178,'UNIVERSO MAESTRO'!$A$6:$A$497,0)),"⚠ ID no encontrado"))</f>
        <v>Boletomóvil</v>
      </c>
      <c r="D178" s="54" t="str">
        <f>IF(B178="","",IFERROR(INDEX('UNIVERSO MAESTRO'!$D$6:$D$497,MATCH(B178,'UNIVERSO MAESTRO'!$A$6:$A$497,0)),""))</f>
        <v>V6</v>
      </c>
      <c r="E178" s="147" t="s">
        <v>471</v>
      </c>
      <c r="F178" s="53" t="str">
        <f>IF(E178="","",IFERROR(INDEX('UNIVERSO MAESTRO'!$C$6:$C$497,MATCH(E178,'UNIVERSO MAESTRO'!$A$6:$A$497,0)),"⚠ ID no encontrado"))</f>
        <v>Copa Mundial FIFA 2026 en México</v>
      </c>
      <c r="G178" s="54" t="str">
        <f>IF(E178="","",IFERROR(INDEX('UNIVERSO MAESTRO'!$D$6:$D$497,MATCH(E178,'UNIVERSO MAESTRO'!$A$6:$A$497,0)),""))</f>
        <v>V1</v>
      </c>
      <c r="H178" s="147" t="s">
        <v>1671</v>
      </c>
      <c r="I178" s="147" t="s">
        <v>1579</v>
      </c>
      <c r="J178" s="147" t="s">
        <v>1574</v>
      </c>
      <c r="K178" s="148" t="s">
        <v>1675</v>
      </c>
      <c r="L178" s="148" t="s">
        <v>1676</v>
      </c>
      <c r="M178" s="148" t="s">
        <v>335</v>
      </c>
      <c r="N178" s="54" t="str">
        <f t="shared" si="4"/>
        <v>Sí</v>
      </c>
      <c r="O178" s="54" t="str">
        <f t="shared" si="5"/>
        <v>Sí</v>
      </c>
    </row>
    <row r="179" spans="1:15" ht="60" customHeight="1" x14ac:dyDescent="0.2">
      <c r="A179" s="146" t="s">
        <v>1677</v>
      </c>
      <c r="B179" s="147" t="s">
        <v>326</v>
      </c>
      <c r="C179" s="147" t="str">
        <f>IF(B179="","",IFERROR(INDEX('UNIVERSO MAESTRO'!$C$6:$C$497,MATCH(B179,'UNIVERSO MAESTRO'!$A$6:$A$497,0)),"⚠ ID no encontrado"))</f>
        <v>Boletomóvil</v>
      </c>
      <c r="D179" s="54" t="str">
        <f>IF(B179="","",IFERROR(INDEX('UNIVERSO MAESTRO'!$D$6:$D$497,MATCH(B179,'UNIVERSO MAESTRO'!$A$6:$A$497,0)),""))</f>
        <v>V6</v>
      </c>
      <c r="E179" s="147" t="s">
        <v>622</v>
      </c>
      <c r="F179" s="53" t="str">
        <f>IF(E179="","",IFERROR(INDEX('UNIVERSO MAESTRO'!$C$6:$C$497,MATCH(E179,'UNIVERSO MAESTRO'!$A$6:$A$497,0)),"⚠ ID no encontrado"))</f>
        <v>FEMSA / Club de Fútbol Monterrey Rayados</v>
      </c>
      <c r="G179" s="54" t="str">
        <f>IF(E179="","",IFERROR(INDEX('UNIVERSO MAESTRO'!$D$6:$D$497,MATCH(E179,'UNIVERSO MAESTRO'!$A$6:$A$497,0)),""))</f>
        <v>V9</v>
      </c>
      <c r="H179" s="147" t="s">
        <v>1671</v>
      </c>
      <c r="I179" s="147" t="s">
        <v>1611</v>
      </c>
      <c r="J179" s="147" t="s">
        <v>1574</v>
      </c>
      <c r="K179" s="148" t="s">
        <v>1678</v>
      </c>
      <c r="L179" s="148"/>
      <c r="M179" s="148" t="s">
        <v>1679</v>
      </c>
      <c r="N179" s="54" t="str">
        <f t="shared" si="4"/>
        <v>Sí</v>
      </c>
      <c r="O179" s="54" t="str">
        <f t="shared" si="5"/>
        <v>No</v>
      </c>
    </row>
    <row r="180" spans="1:15" ht="60" customHeight="1" x14ac:dyDescent="0.2">
      <c r="A180" s="146" t="s">
        <v>1680</v>
      </c>
      <c r="B180" s="147" t="s">
        <v>326</v>
      </c>
      <c r="C180" s="147" t="str">
        <f>IF(B180="","",IFERROR(INDEX('UNIVERSO MAESTRO'!$C$6:$C$497,MATCH(B180,'UNIVERSO MAESTRO'!$A$6:$A$497,0)),"⚠ ID no encontrado"))</f>
        <v>Boletomóvil</v>
      </c>
      <c r="D180" s="54" t="str">
        <f>IF(B180="","",IFERROR(INDEX('UNIVERSO MAESTRO'!$D$6:$D$497,MATCH(B180,'UNIVERSO MAESTRO'!$A$6:$A$497,0)),""))</f>
        <v>V6</v>
      </c>
      <c r="E180" s="147" t="s">
        <v>720</v>
      </c>
      <c r="F180" s="53" t="str">
        <f>IF(E180="","",IFERROR(INDEX('UNIVERSO MAESTRO'!$C$6:$C$497,MATCH(E180,'UNIVERSO MAESTRO'!$A$6:$A$497,0)),"⚠ ID no encontrado"))</f>
        <v>Grupo Avalanz / Zignia (Guillermo Salinas Pliego)</v>
      </c>
      <c r="G180" s="54" t="str">
        <f>IF(E180="","",IFERROR(INDEX('UNIVERSO MAESTRO'!$D$6:$D$497,MATCH(E180,'UNIVERSO MAESTRO'!$A$6:$A$497,0)),""))</f>
        <v>V9</v>
      </c>
      <c r="H180" s="147" t="s">
        <v>1671</v>
      </c>
      <c r="I180" s="147" t="s">
        <v>1611</v>
      </c>
      <c r="J180" s="147" t="s">
        <v>1574</v>
      </c>
      <c r="K180" s="148" t="s">
        <v>1681</v>
      </c>
      <c r="L180" s="148"/>
      <c r="M180" s="148" t="s">
        <v>1682</v>
      </c>
      <c r="N180" s="54" t="str">
        <f t="shared" si="4"/>
        <v>Sí</v>
      </c>
      <c r="O180" s="54" t="str">
        <f t="shared" si="5"/>
        <v>No</v>
      </c>
    </row>
    <row r="181" spans="1:15" ht="60" customHeight="1" x14ac:dyDescent="0.2">
      <c r="A181" s="146" t="s">
        <v>1683</v>
      </c>
      <c r="B181" s="147" t="s">
        <v>326</v>
      </c>
      <c r="C181" s="147" t="str">
        <f>IF(B181="","",IFERROR(INDEX('UNIVERSO MAESTRO'!$C$6:$C$497,MATCH(B181,'UNIVERSO MAESTRO'!$A$6:$A$497,0)),"⚠ ID no encontrado"))</f>
        <v>Boletomóvil</v>
      </c>
      <c r="D181" s="54" t="str">
        <f>IF(B181="","",IFERROR(INDEX('UNIVERSO MAESTRO'!$D$6:$D$497,MATCH(B181,'UNIVERSO MAESTRO'!$A$6:$A$497,0)),""))</f>
        <v>V6</v>
      </c>
      <c r="E181" s="147" t="s">
        <v>771</v>
      </c>
      <c r="F181" s="53" t="str">
        <f>IF(E181="","",IFERROR(INDEX('UNIVERSO MAESTRO'!$C$6:$C$497,MATCH(E181,'UNIVERSO MAESTRO'!$A$6:$A$497,0)),"⚠ ID no encontrado"))</f>
        <v>Grupo Omnilife / Amaury Vergara / Chivas</v>
      </c>
      <c r="G181" s="54" t="str">
        <f>IF(E181="","",IFERROR(INDEX('UNIVERSO MAESTRO'!$D$6:$D$497,MATCH(E181,'UNIVERSO MAESTRO'!$A$6:$A$497,0)),""))</f>
        <v>V9</v>
      </c>
      <c r="H181" s="147" t="s">
        <v>1671</v>
      </c>
      <c r="I181" s="147" t="s">
        <v>1579</v>
      </c>
      <c r="J181" s="147" t="s">
        <v>1574</v>
      </c>
      <c r="K181" s="148" t="s">
        <v>1684</v>
      </c>
      <c r="L181" s="148" t="s">
        <v>1685</v>
      </c>
      <c r="M181" s="148" t="s">
        <v>1686</v>
      </c>
      <c r="N181" s="54" t="str">
        <f t="shared" si="4"/>
        <v>Sí</v>
      </c>
      <c r="O181" s="54" t="str">
        <f t="shared" si="5"/>
        <v>Sí</v>
      </c>
    </row>
    <row r="182" spans="1:15" ht="60" customHeight="1" x14ac:dyDescent="0.2">
      <c r="A182" s="146" t="s">
        <v>1868</v>
      </c>
      <c r="B182" s="147" t="s">
        <v>602</v>
      </c>
      <c r="C182" s="147" t="str">
        <f>IF(B182="","",IFERROR(INDEX('UNIVERSO MAESTRO'!$C$6:$C$497,MATCH(B182,'UNIVERSO MAESTRO'!$A$6:$A$497,0)),"⚠ ID no encontrado"))</f>
        <v>FANKI (Bitsports S.A.S.)</v>
      </c>
      <c r="D182" s="54" t="str">
        <f>IF(B182="","",IFERROR(INDEX('UNIVERSO MAESTRO'!$D$6:$D$497,MATCH(B182,'UNIVERSO MAESTRO'!$A$6:$A$497,0)),""))</f>
        <v>V6</v>
      </c>
      <c r="E182" s="147" t="s">
        <v>471</v>
      </c>
      <c r="F182" s="53" t="str">
        <f>IF(E182="","",IFERROR(INDEX('UNIVERSO MAESTRO'!$C$6:$C$497,MATCH(E182,'UNIVERSO MAESTRO'!$A$6:$A$497,0)),"⚠ ID no encontrado"))</f>
        <v>Copa Mundial FIFA 2026 en México</v>
      </c>
      <c r="G182" s="54" t="str">
        <f>IF(E182="","",IFERROR(INDEX('UNIVERSO MAESTRO'!$D$6:$D$497,MATCH(E182,'UNIVERSO MAESTRO'!$A$6:$A$497,0)),""))</f>
        <v>V1</v>
      </c>
      <c r="H182" s="147" t="s">
        <v>1671</v>
      </c>
      <c r="I182" s="147" t="s">
        <v>1573</v>
      </c>
      <c r="J182" s="147" t="s">
        <v>1574</v>
      </c>
      <c r="K182" s="148" t="s">
        <v>1869</v>
      </c>
      <c r="L182" s="148" t="s">
        <v>1870</v>
      </c>
      <c r="M182" s="148" t="s">
        <v>1871</v>
      </c>
      <c r="N182" s="54" t="str">
        <f t="shared" si="4"/>
        <v>Sí</v>
      </c>
      <c r="O182" s="54" t="str">
        <f t="shared" si="5"/>
        <v>Sí</v>
      </c>
    </row>
    <row r="183" spans="1:15" ht="60" customHeight="1" x14ac:dyDescent="0.2">
      <c r="A183" s="146" t="s">
        <v>1872</v>
      </c>
      <c r="B183" s="147" t="s">
        <v>602</v>
      </c>
      <c r="C183" s="147" t="str">
        <f>IF(B183="","",IFERROR(INDEX('UNIVERSO MAESTRO'!$C$6:$C$497,MATCH(B183,'UNIVERSO MAESTRO'!$A$6:$A$497,0)),"⚠ ID no encontrado"))</f>
        <v>FANKI (Bitsports S.A.S.)</v>
      </c>
      <c r="D183" s="54" t="str">
        <f>IF(B183="","",IFERROR(INDEX('UNIVERSO MAESTRO'!$D$6:$D$497,MATCH(B183,'UNIVERSO MAESTRO'!$A$6:$A$497,0)),""))</f>
        <v>V6</v>
      </c>
      <c r="E183" s="147" t="s">
        <v>1149</v>
      </c>
      <c r="F183" s="53" t="str">
        <f>IF(E183="","",IFERROR(INDEX('UNIVERSO MAESTRO'!$C$6:$C$497,MATCH(E183,'UNIVERSO MAESTRO'!$A$6:$A$497,0)),"⚠ ID no encontrado"))</f>
        <v>Ollamani, S.A.B. / Grupo Águilas (Club América + Estadio Banorte)</v>
      </c>
      <c r="G183" s="54" t="str">
        <f>IF(E183="","",IFERROR(INDEX('UNIVERSO MAESTRO'!$D$6:$D$497,MATCH(E183,'UNIVERSO MAESTRO'!$A$6:$A$497,0)),""))</f>
        <v>V9</v>
      </c>
      <c r="H183" s="147" t="s">
        <v>1671</v>
      </c>
      <c r="I183" s="147" t="s">
        <v>1579</v>
      </c>
      <c r="J183" s="147" t="s">
        <v>1574</v>
      </c>
      <c r="K183" s="148" t="s">
        <v>1873</v>
      </c>
      <c r="L183" s="148" t="s">
        <v>1874</v>
      </c>
      <c r="M183" s="148" t="s">
        <v>1871</v>
      </c>
      <c r="N183" s="54" t="str">
        <f t="shared" si="4"/>
        <v>Sí</v>
      </c>
      <c r="O183" s="54" t="str">
        <f t="shared" si="5"/>
        <v>Sí</v>
      </c>
    </row>
    <row r="184" spans="1:15" ht="60" customHeight="1" x14ac:dyDescent="0.2">
      <c r="A184" s="146" t="s">
        <v>1886</v>
      </c>
      <c r="B184" s="147" t="s">
        <v>632</v>
      </c>
      <c r="C184" s="147" t="str">
        <f>IF(B184="","",IFERROR(INDEX('UNIVERSO MAESTRO'!$C$6:$C$497,MATCH(B184,'UNIVERSO MAESTRO'!$A$6:$A$497,0)),"⚠ ID no encontrado"))</f>
        <v>FIFA Ticketing — Copa Mundial 2026</v>
      </c>
      <c r="D184" s="54" t="str">
        <f>IF(B184="","",IFERROR(INDEX('UNIVERSO MAESTRO'!$D$6:$D$497,MATCH(B184,'UNIVERSO MAESTRO'!$A$6:$A$497,0)),""))</f>
        <v>V6</v>
      </c>
      <c r="E184" s="147" t="s">
        <v>622</v>
      </c>
      <c r="F184" s="53" t="str">
        <f>IF(E184="","",IFERROR(INDEX('UNIVERSO MAESTRO'!$C$6:$C$497,MATCH(E184,'UNIVERSO MAESTRO'!$A$6:$A$497,0)),"⚠ ID no encontrado"))</f>
        <v>FEMSA / Club de Fútbol Monterrey Rayados</v>
      </c>
      <c r="G184" s="54" t="str">
        <f>IF(E184="","",IFERROR(INDEX('UNIVERSO MAESTRO'!$D$6:$D$497,MATCH(E184,'UNIVERSO MAESTRO'!$A$6:$A$497,0)),""))</f>
        <v>V9</v>
      </c>
      <c r="H184" s="147" t="s">
        <v>1671</v>
      </c>
      <c r="I184" s="147" t="s">
        <v>1579</v>
      </c>
      <c r="J184" s="147" t="s">
        <v>1574</v>
      </c>
      <c r="K184" s="148" t="s">
        <v>1887</v>
      </c>
      <c r="L184" s="148" t="s">
        <v>1888</v>
      </c>
      <c r="M184" s="148" t="s">
        <v>639</v>
      </c>
      <c r="N184" s="54" t="str">
        <f t="shared" si="4"/>
        <v>Sí</v>
      </c>
      <c r="O184" s="54" t="str">
        <f t="shared" si="5"/>
        <v>Sí</v>
      </c>
    </row>
    <row r="185" spans="1:15" ht="60" customHeight="1" x14ac:dyDescent="0.2">
      <c r="A185" s="146" t="s">
        <v>1889</v>
      </c>
      <c r="B185" s="147" t="s">
        <v>632</v>
      </c>
      <c r="C185" s="147" t="str">
        <f>IF(B185="","",IFERROR(INDEX('UNIVERSO MAESTRO'!$C$6:$C$497,MATCH(B185,'UNIVERSO MAESTRO'!$A$6:$A$497,0)),"⚠ ID no encontrado"))</f>
        <v>FIFA Ticketing — Copa Mundial 2026</v>
      </c>
      <c r="D185" s="54" t="str">
        <f>IF(B185="","",IFERROR(INDEX('UNIVERSO MAESTRO'!$D$6:$D$497,MATCH(B185,'UNIVERSO MAESTRO'!$A$6:$A$497,0)),""))</f>
        <v>V6</v>
      </c>
      <c r="E185" s="147" t="s">
        <v>771</v>
      </c>
      <c r="F185" s="53" t="str">
        <f>IF(E185="","",IFERROR(INDEX('UNIVERSO MAESTRO'!$C$6:$C$497,MATCH(E185,'UNIVERSO MAESTRO'!$A$6:$A$497,0)),"⚠ ID no encontrado"))</f>
        <v>Grupo Omnilife / Amaury Vergara / Chivas</v>
      </c>
      <c r="G185" s="54" t="str">
        <f>IF(E185="","",IFERROR(INDEX('UNIVERSO MAESTRO'!$D$6:$D$497,MATCH(E185,'UNIVERSO MAESTRO'!$A$6:$A$497,0)),""))</f>
        <v>V9</v>
      </c>
      <c r="H185" s="147" t="s">
        <v>1671</v>
      </c>
      <c r="I185" s="147" t="s">
        <v>1573</v>
      </c>
      <c r="J185" s="147" t="s">
        <v>1574</v>
      </c>
      <c r="K185" s="148" t="s">
        <v>1890</v>
      </c>
      <c r="L185" s="148" t="s">
        <v>1891</v>
      </c>
      <c r="M185" s="148" t="s">
        <v>639</v>
      </c>
      <c r="N185" s="54" t="str">
        <f t="shared" si="4"/>
        <v>Sí</v>
      </c>
      <c r="O185" s="54" t="str">
        <f t="shared" si="5"/>
        <v>Sí</v>
      </c>
    </row>
    <row r="186" spans="1:15" ht="60" customHeight="1" x14ac:dyDescent="0.2">
      <c r="A186" s="146" t="s">
        <v>1892</v>
      </c>
      <c r="B186" s="147" t="s">
        <v>632</v>
      </c>
      <c r="C186" s="147" t="str">
        <f>IF(B186="","",IFERROR(INDEX('UNIVERSO MAESTRO'!$C$6:$C$497,MATCH(B186,'UNIVERSO MAESTRO'!$A$6:$A$497,0)),"⚠ ID no encontrado"))</f>
        <v>FIFA Ticketing — Copa Mundial 2026</v>
      </c>
      <c r="D186" s="54" t="str">
        <f>IF(B186="","",IFERROR(INDEX('UNIVERSO MAESTRO'!$D$6:$D$497,MATCH(B186,'UNIVERSO MAESTRO'!$A$6:$A$497,0)),""))</f>
        <v>V6</v>
      </c>
      <c r="E186" s="147" t="s">
        <v>1149</v>
      </c>
      <c r="F186" s="53" t="str">
        <f>IF(E186="","",IFERROR(INDEX('UNIVERSO MAESTRO'!$C$6:$C$497,MATCH(E186,'UNIVERSO MAESTRO'!$A$6:$A$497,0)),"⚠ ID no encontrado"))</f>
        <v>Ollamani, S.A.B. / Grupo Águilas (Club América + Estadio Banorte)</v>
      </c>
      <c r="G186" s="54" t="str">
        <f>IF(E186="","",IFERROR(INDEX('UNIVERSO MAESTRO'!$D$6:$D$497,MATCH(E186,'UNIVERSO MAESTRO'!$A$6:$A$497,0)),""))</f>
        <v>V9</v>
      </c>
      <c r="H186" s="147" t="s">
        <v>1671</v>
      </c>
      <c r="I186" s="147" t="s">
        <v>1579</v>
      </c>
      <c r="J186" s="147" t="s">
        <v>1574</v>
      </c>
      <c r="K186" s="148" t="s">
        <v>1893</v>
      </c>
      <c r="L186" s="148" t="s">
        <v>1894</v>
      </c>
      <c r="M186" s="148" t="s">
        <v>639</v>
      </c>
      <c r="N186" s="54" t="str">
        <f t="shared" si="4"/>
        <v>Sí</v>
      </c>
      <c r="O186" s="54" t="str">
        <f t="shared" si="5"/>
        <v>Sí</v>
      </c>
    </row>
    <row r="187" spans="1:15" ht="60" customHeight="1" x14ac:dyDescent="0.2">
      <c r="A187" s="146" t="s">
        <v>1903</v>
      </c>
      <c r="B187" s="147" t="s">
        <v>602</v>
      </c>
      <c r="C187" s="147" t="str">
        <f>IF(B187="","",IFERROR(INDEX('UNIVERSO MAESTRO'!$C$6:$C$497,MATCH(B187,'UNIVERSO MAESTRO'!$A$6:$A$497,0)),"⚠ ID no encontrado"))</f>
        <v>FANKI (Bitsports S.A.S.)</v>
      </c>
      <c r="D187" s="54" t="str">
        <f>IF(B187="","",IFERROR(INDEX('UNIVERSO MAESTRO'!$D$6:$D$497,MATCH(B187,'UNIVERSO MAESTRO'!$A$6:$A$497,0)),""))</f>
        <v>V6</v>
      </c>
      <c r="E187" s="147" t="s">
        <v>1531</v>
      </c>
      <c r="F187" s="53" t="str">
        <f>IF(E187="","",IFERROR(INDEX('UNIVERSO MAESTRO'!$C$6:$C$497,MATCH(E187,'UNIVERSO MAESTRO'!$A$6:$A$497,0)),"⚠ ID no encontrado"))</f>
        <v>Kings League Mexico (ex Kings League Americas) / Kings League Openbank Mexico</v>
      </c>
      <c r="G187" s="54" t="str">
        <f>IF(E187="","",IFERROR(INDEX('UNIVERSO MAESTRO'!$D$6:$D$497,MATCH(E187,'UNIVERSO MAESTRO'!$A$6:$A$497,0)),""))</f>
        <v>V1</v>
      </c>
      <c r="H187" s="147" t="s">
        <v>1671</v>
      </c>
      <c r="I187" s="147" t="s">
        <v>1579</v>
      </c>
      <c r="J187" s="147" t="s">
        <v>1574</v>
      </c>
      <c r="K187" s="148" t="s">
        <v>1904</v>
      </c>
      <c r="L187" s="148" t="s">
        <v>1905</v>
      </c>
      <c r="M187" s="148" t="s">
        <v>1906</v>
      </c>
      <c r="N187" s="54" t="str">
        <f t="shared" si="4"/>
        <v>Sí</v>
      </c>
      <c r="O187" s="54" t="str">
        <f t="shared" si="5"/>
        <v>Sí</v>
      </c>
    </row>
    <row r="188" spans="1:15" ht="60" customHeight="1" x14ac:dyDescent="0.2">
      <c r="A188" s="146" t="s">
        <v>2353</v>
      </c>
      <c r="B188" s="147" t="s">
        <v>1457</v>
      </c>
      <c r="C188" s="147" t="str">
        <f>IF(B188="","",IFERROR(INDEX('UNIVERSO MAESTRO'!$C$6:$C$497,MATCH(B188,'UNIVERSO MAESTRO'!$A$6:$A$497,0)),"⚠ ID no encontrado"))</f>
        <v>Viagogo / Helloticket / Tophop</v>
      </c>
      <c r="D188" s="54" t="str">
        <f>IF(B188="","",IFERROR(INDEX('UNIVERSO MAESTRO'!$D$6:$D$497,MATCH(B188,'UNIVERSO MAESTRO'!$A$6:$A$497,0)),""))</f>
        <v>V6</v>
      </c>
      <c r="E188" s="147" t="s">
        <v>400</v>
      </c>
      <c r="F188" s="53" t="str">
        <f>IF(E188="","",IFERROR(INDEX('UNIVERSO MAESTRO'!$C$6:$C$497,MATCH(E188,'UNIVERSO MAESTRO'!$A$6:$A$497,0)),"⚠ ID no encontrado"))</f>
        <v>CIE / OCESA (V5 Experiencias)</v>
      </c>
      <c r="G188" s="54" t="str">
        <f>IF(E188="","",IFERROR(INDEX('UNIVERSO MAESTRO'!$D$6:$D$497,MATCH(E188,'UNIVERSO MAESTRO'!$A$6:$A$497,0)),""))</f>
        <v>V5</v>
      </c>
      <c r="H188" s="147" t="s">
        <v>1671</v>
      </c>
      <c r="I188" s="147" t="s">
        <v>1611</v>
      </c>
      <c r="J188" s="147" t="s">
        <v>1574</v>
      </c>
      <c r="K188" s="148" t="s">
        <v>2354</v>
      </c>
      <c r="L188" s="148"/>
      <c r="M188" s="148" t="s">
        <v>2355</v>
      </c>
      <c r="N188" s="54" t="str">
        <f t="shared" si="4"/>
        <v>Sí</v>
      </c>
      <c r="O188" s="54" t="str">
        <f t="shared" si="5"/>
        <v>No</v>
      </c>
    </row>
    <row r="189" spans="1:15" ht="60" customHeight="1" x14ac:dyDescent="0.2">
      <c r="A189" s="146" t="s">
        <v>1899</v>
      </c>
      <c r="B189" s="147" t="s">
        <v>1519</v>
      </c>
      <c r="C189" s="147" t="str">
        <f>IF(B189="","",IFERROR(INDEX('UNIVERSO MAESTRO'!$C$6:$C$497,MATCH(B189,'UNIVERSO MAESTRO'!$A$6:$A$497,0)),"⚠ ID no encontrado"))</f>
        <v>Coliseo GNP Seguros (Zapopan, Jalisco)</v>
      </c>
      <c r="D189" s="54" t="str">
        <f>IF(B189="","",IFERROR(INDEX('UNIVERSO MAESTRO'!$D$6:$D$497,MATCH(B189,'UNIVERSO MAESTRO'!$A$6:$A$497,0)),""))</f>
        <v>V7</v>
      </c>
      <c r="E189" s="147" t="s">
        <v>471</v>
      </c>
      <c r="F189" s="53" t="str">
        <f>IF(E189="","",IFERROR(INDEX('UNIVERSO MAESTRO'!$C$6:$C$497,MATCH(E189,'UNIVERSO MAESTRO'!$A$6:$A$497,0)),"⚠ ID no encontrado"))</f>
        <v>Copa Mundial FIFA 2026 en México</v>
      </c>
      <c r="G189" s="54" t="str">
        <f>IF(E189="","",IFERROR(INDEX('UNIVERSO MAESTRO'!$D$6:$D$497,MATCH(E189,'UNIVERSO MAESTRO'!$A$6:$A$497,0)),""))</f>
        <v>V1</v>
      </c>
      <c r="H189" s="147" t="s">
        <v>1615</v>
      </c>
      <c r="I189" s="147" t="s">
        <v>1579</v>
      </c>
      <c r="J189" s="147" t="s">
        <v>1574</v>
      </c>
      <c r="K189" s="148" t="s">
        <v>1900</v>
      </c>
      <c r="L189" s="148" t="s">
        <v>1901</v>
      </c>
      <c r="M189" s="148" t="s">
        <v>1902</v>
      </c>
      <c r="N189" s="54" t="str">
        <f t="shared" si="4"/>
        <v>Sí</v>
      </c>
      <c r="O189" s="54" t="str">
        <f t="shared" si="5"/>
        <v>Sí</v>
      </c>
    </row>
    <row r="190" spans="1:15" ht="60" customHeight="1" x14ac:dyDescent="0.2">
      <c r="A190" s="146" t="s">
        <v>1591</v>
      </c>
      <c r="B190" s="147" t="s">
        <v>214</v>
      </c>
      <c r="C190" s="147" t="str">
        <f>IF(B190="","",IFERROR(INDEX('UNIVERSO MAESTRO'!$C$6:$C$497,MATCH(B190,'UNIVERSO MAESTRO'!$A$6:$A$497,0)),"⚠ ID no encontrado"))</f>
        <v>Akta Cloud Video Platform</v>
      </c>
      <c r="D190" s="54" t="str">
        <f>IF(B190="","",IFERROR(INDEX('UNIVERSO MAESTRO'!$D$6:$D$497,MATCH(B190,'UNIVERSO MAESTRO'!$A$6:$A$497,0)),""))</f>
        <v>V8</v>
      </c>
      <c r="E190" s="147" t="s">
        <v>1416</v>
      </c>
      <c r="F190" s="53" t="str">
        <f>IF(E190="","",IFERROR(INDEX('UNIVERSO MAESTRO'!$C$6:$C$497,MATCH(E190,'UNIVERSO MAESTRO'!$A$6:$A$497,0)),"⚠ ID no encontrado"))</f>
        <v>TelevisaUnivision</v>
      </c>
      <c r="G190" s="54" t="str">
        <f>IF(E190="","",IFERROR(INDEX('UNIVERSO MAESTRO'!$D$6:$D$497,MATCH(E190,'UNIVERSO MAESTRO'!$A$6:$A$497,0)),""))</f>
        <v>V2</v>
      </c>
      <c r="H190" s="147" t="s">
        <v>1592</v>
      </c>
      <c r="I190" s="147" t="s">
        <v>1579</v>
      </c>
      <c r="J190" s="147" t="s">
        <v>1574</v>
      </c>
      <c r="K190" s="148" t="s">
        <v>1593</v>
      </c>
      <c r="L190" s="148" t="s">
        <v>1594</v>
      </c>
      <c r="M190" s="148" t="s">
        <v>1595</v>
      </c>
      <c r="N190" s="54" t="str">
        <f t="shared" si="4"/>
        <v>Sí</v>
      </c>
      <c r="O190" s="54" t="str">
        <f t="shared" si="5"/>
        <v>Sí</v>
      </c>
    </row>
    <row r="191" spans="1:15" ht="60" customHeight="1" x14ac:dyDescent="0.2">
      <c r="A191" s="146" t="s">
        <v>1779</v>
      </c>
      <c r="B191" s="147" t="s">
        <v>513</v>
      </c>
      <c r="C191" s="147" t="str">
        <f>IF(B191="","",IFERROR(INDEX('UNIVERSO MAESTRO'!$C$6:$C$497,MATCH(B191,'UNIVERSO MAESTRO'!$A$6:$A$497,0)),"⚠ ID no encontrado"))</f>
        <v>Draftea</v>
      </c>
      <c r="D191" s="54" t="str">
        <f>IF(B191="","",IFERROR(INDEX('UNIVERSO MAESTRO'!$D$6:$D$497,MATCH(B191,'UNIVERSO MAESTRO'!$A$6:$A$497,0)),""))</f>
        <v>V8</v>
      </c>
      <c r="E191" s="147" t="s">
        <v>614</v>
      </c>
      <c r="F191" s="53" t="str">
        <f>IF(E191="","",IFERROR(INDEX('UNIVERSO MAESTRO'!$C$6:$C$497,MATCH(E191,'UNIVERSO MAESTRO'!$A$6:$A$497,0)),"⚠ ID no encontrado"))</f>
        <v>Federación Mexicana de Fútbol</v>
      </c>
      <c r="G191" s="54" t="str">
        <f>IF(E191="","",IFERROR(INDEX('UNIVERSO MAESTRO'!$D$6:$D$497,MATCH(E191,'UNIVERSO MAESTRO'!$A$6:$A$497,0)),""))</f>
        <v>V1</v>
      </c>
      <c r="H191" s="147" t="s">
        <v>1572</v>
      </c>
      <c r="I191" s="147" t="s">
        <v>1573</v>
      </c>
      <c r="J191" s="147" t="s">
        <v>1574</v>
      </c>
      <c r="K191" s="148" t="s">
        <v>1780</v>
      </c>
      <c r="L191" s="148" t="s">
        <v>1781</v>
      </c>
      <c r="M191" s="148" t="s">
        <v>1782</v>
      </c>
      <c r="N191" s="54" t="str">
        <f t="shared" si="4"/>
        <v>Sí</v>
      </c>
      <c r="O191" s="54" t="str">
        <f t="shared" si="5"/>
        <v>Sí</v>
      </c>
    </row>
    <row r="192" spans="1:15" ht="60" customHeight="1" x14ac:dyDescent="0.2">
      <c r="A192" s="146" t="s">
        <v>1936</v>
      </c>
      <c r="B192" s="147" t="s">
        <v>680</v>
      </c>
      <c r="C192" s="147" t="str">
        <f>IF(B192="","",IFERROR(INDEX('UNIVERSO MAESTRO'!$C$6:$C$497,MATCH(B192,'UNIVERSO MAESTRO'!$A$6:$A$497,0)),"⚠ ID no encontrado"))</f>
        <v>Genius Sports</v>
      </c>
      <c r="D192" s="54" t="str">
        <f>IF(B192="","",IFERROR(INDEX('UNIVERSO MAESTRO'!$D$6:$D$497,MATCH(B192,'UNIVERSO MAESTRO'!$A$6:$A$497,0)),""))</f>
        <v>V8</v>
      </c>
      <c r="E192" s="147" t="s">
        <v>969</v>
      </c>
      <c r="F192" s="53" t="str">
        <f>IF(E192="","",IFERROR(INDEX('UNIVERSO MAESTRO'!$C$6:$C$497,MATCH(E192,'UNIVERSO MAESTRO'!$A$6:$A$497,0)),"⚠ ID no encontrado"))</f>
        <v>Liga MX</v>
      </c>
      <c r="G192" s="54" t="str">
        <f>IF(E192="","",IFERROR(INDEX('UNIVERSO MAESTRO'!$D$6:$D$497,MATCH(E192,'UNIVERSO MAESTRO'!$A$6:$A$497,0)),""))</f>
        <v>V1</v>
      </c>
      <c r="H192" s="147" t="s">
        <v>1592</v>
      </c>
      <c r="I192" s="147" t="s">
        <v>1579</v>
      </c>
      <c r="J192" s="147" t="s">
        <v>1574</v>
      </c>
      <c r="K192" s="148" t="s">
        <v>1937</v>
      </c>
      <c r="L192" s="148" t="s">
        <v>1938</v>
      </c>
      <c r="M192" s="148" t="s">
        <v>1939</v>
      </c>
      <c r="N192" s="54" t="str">
        <f t="shared" si="4"/>
        <v>Sí</v>
      </c>
      <c r="O192" s="54" t="str">
        <f t="shared" si="5"/>
        <v>Sí</v>
      </c>
    </row>
    <row r="193" spans="1:15" ht="60" customHeight="1" x14ac:dyDescent="0.2">
      <c r="A193" s="146" t="s">
        <v>1944</v>
      </c>
      <c r="B193" s="147" t="s">
        <v>704</v>
      </c>
      <c r="C193" s="147" t="str">
        <f>IF(B193="","",IFERROR(INDEX('UNIVERSO MAESTRO'!$C$6:$C$497,MATCH(B193,'UNIVERSO MAESTRO'!$A$6:$A$497,0)),"⚠ ID no encontrado"))</f>
        <v>Golstats</v>
      </c>
      <c r="D193" s="54" t="str">
        <f>IF(B193="","",IFERROR(INDEX('UNIVERSO MAESTRO'!$D$6:$D$497,MATCH(B193,'UNIVERSO MAESTRO'!$A$6:$A$497,0)),""))</f>
        <v>V8</v>
      </c>
      <c r="E193" s="147" t="s">
        <v>771</v>
      </c>
      <c r="F193" s="53" t="str">
        <f>IF(E193="","",IFERROR(INDEX('UNIVERSO MAESTRO'!$C$6:$C$497,MATCH(E193,'UNIVERSO MAESTRO'!$A$6:$A$497,0)),"⚠ ID no encontrado"))</f>
        <v>Grupo Omnilife / Amaury Vergara / Chivas</v>
      </c>
      <c r="G193" s="54" t="str">
        <f>IF(E193="","",IFERROR(INDEX('UNIVERSO MAESTRO'!$D$6:$D$497,MATCH(E193,'UNIVERSO MAESTRO'!$A$6:$A$497,0)),""))</f>
        <v>V9</v>
      </c>
      <c r="H193" s="147" t="s">
        <v>1592</v>
      </c>
      <c r="I193" s="147" t="s">
        <v>1611</v>
      </c>
      <c r="J193" s="147" t="s">
        <v>1574</v>
      </c>
      <c r="K193" s="148" t="s">
        <v>1945</v>
      </c>
      <c r="L193" s="148"/>
      <c r="M193" s="148" t="s">
        <v>1946</v>
      </c>
      <c r="N193" s="54" t="str">
        <f t="shared" si="4"/>
        <v>Sí</v>
      </c>
      <c r="O193" s="54" t="str">
        <f t="shared" si="5"/>
        <v>No</v>
      </c>
    </row>
    <row r="194" spans="1:15" ht="60" customHeight="1" x14ac:dyDescent="0.2">
      <c r="A194" s="146" t="s">
        <v>1947</v>
      </c>
      <c r="B194" s="147" t="s">
        <v>704</v>
      </c>
      <c r="C194" s="147" t="str">
        <f>IF(B194="","",IFERROR(INDEX('UNIVERSO MAESTRO'!$C$6:$C$497,MATCH(B194,'UNIVERSO MAESTRO'!$A$6:$A$497,0)),"⚠ ID no encontrado"))</f>
        <v>Golstats</v>
      </c>
      <c r="D194" s="54" t="str">
        <f>IF(B194="","",IFERROR(INDEX('UNIVERSO MAESTRO'!$D$6:$D$497,MATCH(B194,'UNIVERSO MAESTRO'!$A$6:$A$497,0)),""))</f>
        <v>V8</v>
      </c>
      <c r="E194" s="147" t="s">
        <v>969</v>
      </c>
      <c r="F194" s="53" t="str">
        <f>IF(E194="","",IFERROR(INDEX('UNIVERSO MAESTRO'!$C$6:$C$497,MATCH(E194,'UNIVERSO MAESTRO'!$A$6:$A$497,0)),"⚠ ID no encontrado"))</f>
        <v>Liga MX</v>
      </c>
      <c r="G194" s="54" t="str">
        <f>IF(E194="","",IFERROR(INDEX('UNIVERSO MAESTRO'!$D$6:$D$497,MATCH(E194,'UNIVERSO MAESTRO'!$A$6:$A$497,0)),""))</f>
        <v>V1</v>
      </c>
      <c r="H194" s="147" t="s">
        <v>1592</v>
      </c>
      <c r="I194" s="147" t="s">
        <v>1573</v>
      </c>
      <c r="J194" s="147" t="s">
        <v>1574</v>
      </c>
      <c r="K194" s="148" t="s">
        <v>1948</v>
      </c>
      <c r="L194" s="148" t="s">
        <v>1949</v>
      </c>
      <c r="M194" s="148" t="s">
        <v>1618</v>
      </c>
      <c r="N194" s="54" t="str">
        <f t="shared" si="4"/>
        <v>Sí</v>
      </c>
      <c r="O194" s="54" t="str">
        <f t="shared" si="5"/>
        <v>Sí</v>
      </c>
    </row>
    <row r="195" spans="1:15" ht="60" customHeight="1" x14ac:dyDescent="0.2">
      <c r="A195" s="146" t="s">
        <v>1950</v>
      </c>
      <c r="B195" s="147" t="s">
        <v>704</v>
      </c>
      <c r="C195" s="147" t="str">
        <f>IF(B195="","",IFERROR(INDEX('UNIVERSO MAESTRO'!$C$6:$C$497,MATCH(B195,'UNIVERSO MAESTRO'!$A$6:$A$497,0)),"⚠ ID no encontrado"))</f>
        <v>Golstats</v>
      </c>
      <c r="D195" s="54" t="str">
        <f>IF(B195="","",IFERROR(INDEX('UNIVERSO MAESTRO'!$D$6:$D$497,MATCH(B195,'UNIVERSO MAESTRO'!$A$6:$A$497,0)),""))</f>
        <v>V8</v>
      </c>
      <c r="E195" s="147" t="s">
        <v>1149</v>
      </c>
      <c r="F195" s="53" t="str">
        <f>IF(E195="","",IFERROR(INDEX('UNIVERSO MAESTRO'!$C$6:$C$497,MATCH(E195,'UNIVERSO MAESTRO'!$A$6:$A$497,0)),"⚠ ID no encontrado"))</f>
        <v>Ollamani, S.A.B. / Grupo Águilas (Club América + Estadio Banorte)</v>
      </c>
      <c r="G195" s="54" t="str">
        <f>IF(E195="","",IFERROR(INDEX('UNIVERSO MAESTRO'!$D$6:$D$497,MATCH(E195,'UNIVERSO MAESTRO'!$A$6:$A$497,0)),""))</f>
        <v>V9</v>
      </c>
      <c r="H195" s="147" t="s">
        <v>1592</v>
      </c>
      <c r="I195" s="147" t="s">
        <v>1611</v>
      </c>
      <c r="J195" s="147" t="s">
        <v>1574</v>
      </c>
      <c r="K195" s="148" t="s">
        <v>1951</v>
      </c>
      <c r="L195" s="148"/>
      <c r="M195" s="148" t="s">
        <v>1946</v>
      </c>
      <c r="N195" s="54" t="str">
        <f t="shared" si="4"/>
        <v>Sí</v>
      </c>
      <c r="O195" s="54" t="str">
        <f t="shared" si="5"/>
        <v>No</v>
      </c>
    </row>
    <row r="196" spans="1:15" ht="60" customHeight="1" x14ac:dyDescent="0.2">
      <c r="A196" s="146" t="s">
        <v>2031</v>
      </c>
      <c r="B196" s="147" t="s">
        <v>846</v>
      </c>
      <c r="C196" s="147" t="str">
        <f>IF(B196="","",IFERROR(INDEX('UNIVERSO MAESTRO'!$C$6:$C$497,MATCH(B196,'UNIVERSO MAESTRO'!$A$6:$A$497,0)),"⚠ ID no encontrado"))</f>
        <v>Hawk-Eye Innovations (Sony)</v>
      </c>
      <c r="D196" s="54" t="str">
        <f>IF(B196="","",IFERROR(INDEX('UNIVERSO MAESTRO'!$D$6:$D$497,MATCH(B196,'UNIVERSO MAESTRO'!$A$6:$A$497,0)),""))</f>
        <v>V8</v>
      </c>
      <c r="E196" s="147" t="s">
        <v>622</v>
      </c>
      <c r="F196" s="53" t="str">
        <f>IF(E196="","",IFERROR(INDEX('UNIVERSO MAESTRO'!$C$6:$C$497,MATCH(E196,'UNIVERSO MAESTRO'!$A$6:$A$497,0)),"⚠ ID no encontrado"))</f>
        <v>FEMSA / Club de Fútbol Monterrey Rayados</v>
      </c>
      <c r="G196" s="54" t="str">
        <f>IF(E196="","",IFERROR(INDEX('UNIVERSO MAESTRO'!$D$6:$D$497,MATCH(E196,'UNIVERSO MAESTRO'!$A$6:$A$497,0)),""))</f>
        <v>V9</v>
      </c>
      <c r="H196" s="147" t="s">
        <v>1592</v>
      </c>
      <c r="I196" s="147" t="s">
        <v>1573</v>
      </c>
      <c r="J196" s="147" t="s">
        <v>1574</v>
      </c>
      <c r="K196" s="148" t="s">
        <v>2032</v>
      </c>
      <c r="L196" s="148"/>
      <c r="M196" s="148" t="s">
        <v>2033</v>
      </c>
      <c r="N196" s="54" t="str">
        <f t="shared" si="4"/>
        <v>Sí</v>
      </c>
      <c r="O196" s="54" t="str">
        <f t="shared" si="5"/>
        <v>Sí</v>
      </c>
    </row>
    <row r="197" spans="1:15" ht="60" customHeight="1" x14ac:dyDescent="0.2">
      <c r="A197" s="146" t="s">
        <v>2034</v>
      </c>
      <c r="B197" s="147" t="s">
        <v>846</v>
      </c>
      <c r="C197" s="147" t="str">
        <f>IF(B197="","",IFERROR(INDEX('UNIVERSO MAESTRO'!$C$6:$C$497,MATCH(B197,'UNIVERSO MAESTRO'!$A$6:$A$497,0)),"⚠ ID no encontrado"))</f>
        <v>Hawk-Eye Innovations (Sony)</v>
      </c>
      <c r="D197" s="54" t="str">
        <f>IF(B197="","",IFERROR(INDEX('UNIVERSO MAESTRO'!$D$6:$D$497,MATCH(B197,'UNIVERSO MAESTRO'!$A$6:$A$497,0)),""))</f>
        <v>V8</v>
      </c>
      <c r="E197" s="147" t="s">
        <v>771</v>
      </c>
      <c r="F197" s="53" t="str">
        <f>IF(E197="","",IFERROR(INDEX('UNIVERSO MAESTRO'!$C$6:$C$497,MATCH(E197,'UNIVERSO MAESTRO'!$A$6:$A$497,0)),"⚠ ID no encontrado"))</f>
        <v>Grupo Omnilife / Amaury Vergara / Chivas</v>
      </c>
      <c r="G197" s="54" t="str">
        <f>IF(E197="","",IFERROR(INDEX('UNIVERSO MAESTRO'!$D$6:$D$497,MATCH(E197,'UNIVERSO MAESTRO'!$A$6:$A$497,0)),""))</f>
        <v>V9</v>
      </c>
      <c r="H197" s="147" t="s">
        <v>1592</v>
      </c>
      <c r="I197" s="147" t="s">
        <v>1573</v>
      </c>
      <c r="J197" s="147" t="s">
        <v>1574</v>
      </c>
      <c r="K197" s="148" t="s">
        <v>2035</v>
      </c>
      <c r="L197" s="148"/>
      <c r="M197" s="148" t="s">
        <v>2036</v>
      </c>
      <c r="N197" s="54" t="str">
        <f t="shared" si="4"/>
        <v>Sí</v>
      </c>
      <c r="O197" s="54" t="str">
        <f t="shared" si="5"/>
        <v>Sí</v>
      </c>
    </row>
    <row r="198" spans="1:15" ht="60" customHeight="1" x14ac:dyDescent="0.2">
      <c r="A198" s="146" t="s">
        <v>2037</v>
      </c>
      <c r="B198" s="147" t="s">
        <v>846</v>
      </c>
      <c r="C198" s="147" t="str">
        <f>IF(B198="","",IFERROR(INDEX('UNIVERSO MAESTRO'!$C$6:$C$497,MATCH(B198,'UNIVERSO MAESTRO'!$A$6:$A$497,0)),"⚠ ID no encontrado"))</f>
        <v>Hawk-Eye Innovations (Sony)</v>
      </c>
      <c r="D198" s="54" t="str">
        <f>IF(B198="","",IFERROR(INDEX('UNIVERSO MAESTRO'!$D$6:$D$497,MATCH(B198,'UNIVERSO MAESTRO'!$A$6:$A$497,0)),""))</f>
        <v>V8</v>
      </c>
      <c r="E198" s="147" t="s">
        <v>1149</v>
      </c>
      <c r="F198" s="53" t="str">
        <f>IF(E198="","",IFERROR(INDEX('UNIVERSO MAESTRO'!$C$6:$C$497,MATCH(E198,'UNIVERSO MAESTRO'!$A$6:$A$497,0)),"⚠ ID no encontrado"))</f>
        <v>Ollamani, S.A.B. / Grupo Águilas (Club América + Estadio Banorte)</v>
      </c>
      <c r="G198" s="54" t="str">
        <f>IF(E198="","",IFERROR(INDEX('UNIVERSO MAESTRO'!$D$6:$D$497,MATCH(E198,'UNIVERSO MAESTRO'!$A$6:$A$497,0)),""))</f>
        <v>V9</v>
      </c>
      <c r="H198" s="147" t="s">
        <v>1592</v>
      </c>
      <c r="I198" s="147" t="s">
        <v>1579</v>
      </c>
      <c r="J198" s="147" t="s">
        <v>1574</v>
      </c>
      <c r="K198" s="148" t="s">
        <v>2038</v>
      </c>
      <c r="L198" s="148" t="s">
        <v>2039</v>
      </c>
      <c r="M198" s="148" t="s">
        <v>2040</v>
      </c>
      <c r="N198" s="54" t="str">
        <f t="shared" ref="N198:N264" si="6">IF(OR(B198="",E198=""),"",IF(D198=G198,"No","Sí"))</f>
        <v>Sí</v>
      </c>
      <c r="O198" s="54" t="str">
        <f t="shared" ref="O198:O264" si="7">IF(I198="","",IF(I198="R3","No","Sí"))</f>
        <v>Sí</v>
      </c>
    </row>
    <row r="199" spans="1:15" ht="60" customHeight="1" x14ac:dyDescent="0.2">
      <c r="A199" s="146" t="s">
        <v>2052</v>
      </c>
      <c r="B199" s="147" t="s">
        <v>877</v>
      </c>
      <c r="C199" s="147" t="str">
        <f>IF(B199="","",IFERROR(INDEX('UNIVERSO MAESTRO'!$C$6:$C$497,MATCH(B199,'UNIVERSO MAESTRO'!$A$6:$A$497,0)),"⚠ ID no encontrado"))</f>
        <v>Hudl (Sportscode + Wyscout + Wimu + StatsBomb + Signal)</v>
      </c>
      <c r="D199" s="54" t="str">
        <f>IF(B199="","",IFERROR(INDEX('UNIVERSO MAESTRO'!$D$6:$D$497,MATCH(B199,'UNIVERSO MAESTRO'!$A$6:$A$497,0)),""))</f>
        <v>V8</v>
      </c>
      <c r="E199" s="147" t="s">
        <v>614</v>
      </c>
      <c r="F199" s="53" t="str">
        <f>IF(E199="","",IFERROR(INDEX('UNIVERSO MAESTRO'!$C$6:$C$497,MATCH(E199,'UNIVERSO MAESTRO'!$A$6:$A$497,0)),"⚠ ID no encontrado"))</f>
        <v>Federación Mexicana de Fútbol</v>
      </c>
      <c r="G199" s="54" t="str">
        <f>IF(E199="","",IFERROR(INDEX('UNIVERSO MAESTRO'!$D$6:$D$497,MATCH(E199,'UNIVERSO MAESTRO'!$A$6:$A$497,0)),""))</f>
        <v>V1</v>
      </c>
      <c r="H199" s="147" t="s">
        <v>1592</v>
      </c>
      <c r="I199" s="147" t="s">
        <v>1573</v>
      </c>
      <c r="J199" s="147" t="s">
        <v>1574</v>
      </c>
      <c r="K199" s="148" t="s">
        <v>2053</v>
      </c>
      <c r="L199" s="148" t="s">
        <v>2054</v>
      </c>
      <c r="M199" s="148" t="s">
        <v>2055</v>
      </c>
      <c r="N199" s="54" t="str">
        <f t="shared" si="6"/>
        <v>Sí</v>
      </c>
      <c r="O199" s="54" t="str">
        <f t="shared" si="7"/>
        <v>Sí</v>
      </c>
    </row>
    <row r="200" spans="1:15" ht="60" customHeight="1" x14ac:dyDescent="0.2">
      <c r="A200" s="146" t="s">
        <v>2056</v>
      </c>
      <c r="B200" s="147" t="s">
        <v>885</v>
      </c>
      <c r="C200" s="147" t="str">
        <f>IF(B200="","",IFERROR(INDEX('UNIVERSO MAESTRO'!$C$6:$C$497,MATCH(B200,'UNIVERSO MAESTRO'!$A$6:$A$497,0)),"⚠ ID no encontrado"))</f>
        <v>Incode Technologies</v>
      </c>
      <c r="D200" s="54" t="str">
        <f>IF(B200="","",IFERROR(INDEX('UNIVERSO MAESTRO'!$D$6:$D$497,MATCH(B200,'UNIVERSO MAESTRO'!$A$6:$A$497,0)),""))</f>
        <v>V8</v>
      </c>
      <c r="E200" s="147" t="s">
        <v>471</v>
      </c>
      <c r="F200" s="53" t="str">
        <f>IF(E200="","",IFERROR(INDEX('UNIVERSO MAESTRO'!$C$6:$C$497,MATCH(E200,'UNIVERSO MAESTRO'!$A$6:$A$497,0)),"⚠ ID no encontrado"))</f>
        <v>Copa Mundial FIFA 2026 en México</v>
      </c>
      <c r="G200" s="54" t="str">
        <f>IF(E200="","",IFERROR(INDEX('UNIVERSO MAESTRO'!$D$6:$D$497,MATCH(E200,'UNIVERSO MAESTRO'!$A$6:$A$497,0)),""))</f>
        <v>V1</v>
      </c>
      <c r="H200" s="147" t="s">
        <v>1671</v>
      </c>
      <c r="I200" s="147" t="s">
        <v>1579</v>
      </c>
      <c r="J200" s="147" t="s">
        <v>1574</v>
      </c>
      <c r="K200" s="148" t="s">
        <v>2057</v>
      </c>
      <c r="L200" s="148" t="s">
        <v>2058</v>
      </c>
      <c r="M200" s="148" t="s">
        <v>2059</v>
      </c>
      <c r="N200" s="54" t="str">
        <f t="shared" si="6"/>
        <v>Sí</v>
      </c>
      <c r="O200" s="54" t="str">
        <f t="shared" si="7"/>
        <v>Sí</v>
      </c>
    </row>
    <row r="201" spans="1:15" ht="60" customHeight="1" x14ac:dyDescent="0.2">
      <c r="A201" s="146" t="s">
        <v>2060</v>
      </c>
      <c r="B201" s="147" t="s">
        <v>885</v>
      </c>
      <c r="C201" s="147" t="str">
        <f>IF(B201="","",IFERROR(INDEX('UNIVERSO MAESTRO'!$C$6:$C$497,MATCH(B201,'UNIVERSO MAESTRO'!$A$6:$A$497,0)),"⚠ ID no encontrado"))</f>
        <v>Incode Technologies</v>
      </c>
      <c r="D201" s="54" t="str">
        <f>IF(B201="","",IFERROR(INDEX('UNIVERSO MAESTRO'!$D$6:$D$497,MATCH(B201,'UNIVERSO MAESTRO'!$A$6:$A$497,0)),""))</f>
        <v>V8</v>
      </c>
      <c r="E201" s="147" t="s">
        <v>622</v>
      </c>
      <c r="F201" s="53" t="str">
        <f>IF(E201="","",IFERROR(INDEX('UNIVERSO MAESTRO'!$C$6:$C$497,MATCH(E201,'UNIVERSO MAESTRO'!$A$6:$A$497,0)),"⚠ ID no encontrado"))</f>
        <v>FEMSA / Club de Fútbol Monterrey Rayados</v>
      </c>
      <c r="G201" s="54" t="str">
        <f>IF(E201="","",IFERROR(INDEX('UNIVERSO MAESTRO'!$D$6:$D$497,MATCH(E201,'UNIVERSO MAESTRO'!$A$6:$A$497,0)),""))</f>
        <v>V9</v>
      </c>
      <c r="H201" s="147" t="s">
        <v>1671</v>
      </c>
      <c r="I201" s="147" t="s">
        <v>1573</v>
      </c>
      <c r="J201" s="147" t="s">
        <v>1574</v>
      </c>
      <c r="K201" s="148" t="s">
        <v>2061</v>
      </c>
      <c r="L201" s="148" t="s">
        <v>2062</v>
      </c>
      <c r="M201" s="148" t="s">
        <v>2063</v>
      </c>
      <c r="N201" s="54" t="str">
        <f t="shared" si="6"/>
        <v>Sí</v>
      </c>
      <c r="O201" s="54" t="str">
        <f t="shared" si="7"/>
        <v>Sí</v>
      </c>
    </row>
    <row r="202" spans="1:15" ht="60" customHeight="1" x14ac:dyDescent="0.2">
      <c r="A202" s="146" t="s">
        <v>2064</v>
      </c>
      <c r="B202" s="147" t="s">
        <v>885</v>
      </c>
      <c r="C202" s="147" t="str">
        <f>IF(B202="","",IFERROR(INDEX('UNIVERSO MAESTRO'!$C$6:$C$497,MATCH(B202,'UNIVERSO MAESTRO'!$A$6:$A$497,0)),"⚠ ID no encontrado"))</f>
        <v>Incode Technologies</v>
      </c>
      <c r="D202" s="54" t="str">
        <f>IF(B202="","",IFERROR(INDEX('UNIVERSO MAESTRO'!$D$6:$D$497,MATCH(B202,'UNIVERSO MAESTRO'!$A$6:$A$497,0)),""))</f>
        <v>V8</v>
      </c>
      <c r="E202" s="147" t="s">
        <v>771</v>
      </c>
      <c r="F202" s="53" t="str">
        <f>IF(E202="","",IFERROR(INDEX('UNIVERSO MAESTRO'!$C$6:$C$497,MATCH(E202,'UNIVERSO MAESTRO'!$A$6:$A$497,0)),"⚠ ID no encontrado"))</f>
        <v>Grupo Omnilife / Amaury Vergara / Chivas</v>
      </c>
      <c r="G202" s="54" t="str">
        <f>IF(E202="","",IFERROR(INDEX('UNIVERSO MAESTRO'!$D$6:$D$497,MATCH(E202,'UNIVERSO MAESTRO'!$A$6:$A$497,0)),""))</f>
        <v>V9</v>
      </c>
      <c r="H202" s="147" t="s">
        <v>1671</v>
      </c>
      <c r="I202" s="147" t="s">
        <v>1573</v>
      </c>
      <c r="J202" s="147" t="s">
        <v>1574</v>
      </c>
      <c r="K202" s="148" t="s">
        <v>2065</v>
      </c>
      <c r="L202" s="148" t="s">
        <v>2066</v>
      </c>
      <c r="M202" s="148" t="s">
        <v>2063</v>
      </c>
      <c r="N202" s="54" t="str">
        <f t="shared" si="6"/>
        <v>Sí</v>
      </c>
      <c r="O202" s="54" t="str">
        <f t="shared" si="7"/>
        <v>Sí</v>
      </c>
    </row>
    <row r="203" spans="1:15" ht="60" customHeight="1" x14ac:dyDescent="0.2">
      <c r="A203" s="146" t="s">
        <v>2067</v>
      </c>
      <c r="B203" s="147" t="s">
        <v>885</v>
      </c>
      <c r="C203" s="147" t="str">
        <f>IF(B203="","",IFERROR(INDEX('UNIVERSO MAESTRO'!$C$6:$C$497,MATCH(B203,'UNIVERSO MAESTRO'!$A$6:$A$497,0)),"⚠ ID no encontrado"))</f>
        <v>Incode Technologies</v>
      </c>
      <c r="D203" s="54" t="str">
        <f>IF(B203="","",IFERROR(INDEX('UNIVERSO MAESTRO'!$D$6:$D$497,MATCH(B203,'UNIVERSO MAESTRO'!$A$6:$A$497,0)),""))</f>
        <v>V8</v>
      </c>
      <c r="E203" s="147" t="s">
        <v>969</v>
      </c>
      <c r="F203" s="53" t="str">
        <f>IF(E203="","",IFERROR(INDEX('UNIVERSO MAESTRO'!$C$6:$C$497,MATCH(E203,'UNIVERSO MAESTRO'!$A$6:$A$497,0)),"⚠ ID no encontrado"))</f>
        <v>Liga MX</v>
      </c>
      <c r="G203" s="54" t="str">
        <f>IF(E203="","",IFERROR(INDEX('UNIVERSO MAESTRO'!$D$6:$D$497,MATCH(E203,'UNIVERSO MAESTRO'!$A$6:$A$497,0)),""))</f>
        <v>V1</v>
      </c>
      <c r="H203" s="147" t="s">
        <v>1671</v>
      </c>
      <c r="I203" s="147" t="s">
        <v>1579</v>
      </c>
      <c r="J203" s="147" t="s">
        <v>1574</v>
      </c>
      <c r="K203" s="148" t="s">
        <v>2068</v>
      </c>
      <c r="L203" s="148" t="s">
        <v>2069</v>
      </c>
      <c r="M203" s="148" t="s">
        <v>2070</v>
      </c>
      <c r="N203" s="54" t="str">
        <f t="shared" si="6"/>
        <v>Sí</v>
      </c>
      <c r="O203" s="54" t="str">
        <f t="shared" si="7"/>
        <v>Sí</v>
      </c>
    </row>
    <row r="204" spans="1:15" ht="60" customHeight="1" x14ac:dyDescent="0.2">
      <c r="A204" s="146" t="s">
        <v>2082</v>
      </c>
      <c r="B204" s="147" t="s">
        <v>920</v>
      </c>
      <c r="C204" s="147" t="str">
        <f>IF(B204="","",IFERROR(INDEX('UNIVERSO MAESTRO'!$C$6:$C$497,MATCH(B204,'UNIVERSO MAESTRO'!$A$6:$A$497,0)),"⚠ ID no encontrado"))</f>
        <v>KAGR (Kraft Analytics Group)</v>
      </c>
      <c r="D204" s="54" t="str">
        <f>IF(B204="","",IFERROR(INDEX('UNIVERSO MAESTRO'!$D$6:$D$497,MATCH(B204,'UNIVERSO MAESTRO'!$A$6:$A$497,0)),""))</f>
        <v>V8</v>
      </c>
      <c r="E204" s="147" t="s">
        <v>1149</v>
      </c>
      <c r="F204" s="53" t="str">
        <f>IF(E204="","",IFERROR(INDEX('UNIVERSO MAESTRO'!$C$6:$C$497,MATCH(E204,'UNIVERSO MAESTRO'!$A$6:$A$497,0)),"⚠ ID no encontrado"))</f>
        <v>Ollamani, S.A.B. / Grupo Águilas (Club América + Estadio Banorte)</v>
      </c>
      <c r="G204" s="54" t="str">
        <f>IF(E204="","",IFERROR(INDEX('UNIVERSO MAESTRO'!$D$6:$D$497,MATCH(E204,'UNIVERSO MAESTRO'!$A$6:$A$497,0)),""))</f>
        <v>V9</v>
      </c>
      <c r="H204" s="147" t="s">
        <v>1592</v>
      </c>
      <c r="I204" s="147" t="s">
        <v>1579</v>
      </c>
      <c r="J204" s="147" t="s">
        <v>1574</v>
      </c>
      <c r="K204" s="148" t="s">
        <v>2083</v>
      </c>
      <c r="L204" s="148" t="s">
        <v>2084</v>
      </c>
      <c r="M204" s="148" t="s">
        <v>2085</v>
      </c>
      <c r="N204" s="54" t="str">
        <f t="shared" si="6"/>
        <v>Sí</v>
      </c>
      <c r="O204" s="54" t="str">
        <f t="shared" si="7"/>
        <v>Sí</v>
      </c>
    </row>
    <row r="205" spans="1:15" ht="60" customHeight="1" x14ac:dyDescent="0.2">
      <c r="A205" s="146" t="s">
        <v>2086</v>
      </c>
      <c r="B205" s="147" t="s">
        <v>920</v>
      </c>
      <c r="C205" s="147" t="str">
        <f>IF(B205="","",IFERROR(INDEX('UNIVERSO MAESTRO'!$C$6:$C$497,MATCH(B205,'UNIVERSO MAESTRO'!$A$6:$A$497,0)),"⚠ ID no encontrado"))</f>
        <v>KAGR (Kraft Analytics Group)</v>
      </c>
      <c r="D205" s="54" t="str">
        <f>IF(B205="","",IFERROR(INDEX('UNIVERSO MAESTRO'!$D$6:$D$497,MATCH(B205,'UNIVERSO MAESTRO'!$A$6:$A$497,0)),""))</f>
        <v>V8</v>
      </c>
      <c r="E205" s="147" t="s">
        <v>1273</v>
      </c>
      <c r="F205" s="53" t="str">
        <f>IF(E205="","",IFERROR(INDEX('UNIVERSO MAESTRO'!$C$6:$C$497,MATCH(E205,'UNIVERSO MAESTRO'!$A$6:$A$497,0)),"⚠ ID no encontrado"))</f>
        <v>Salesforce</v>
      </c>
      <c r="G205" s="54" t="str">
        <f>IF(E205="","",IFERROR(INDEX('UNIVERSO MAESTRO'!$D$6:$D$497,MATCH(E205,'UNIVERSO MAESTRO'!$A$6:$A$497,0)),""))</f>
        <v>V8</v>
      </c>
      <c r="H205" s="147" t="s">
        <v>1592</v>
      </c>
      <c r="I205" s="147" t="s">
        <v>1573</v>
      </c>
      <c r="J205" s="147" t="s">
        <v>1574</v>
      </c>
      <c r="K205" s="148" t="s">
        <v>2087</v>
      </c>
      <c r="L205" s="148"/>
      <c r="M205" s="148" t="s">
        <v>2088</v>
      </c>
      <c r="N205" s="54" t="str">
        <f t="shared" si="6"/>
        <v>No</v>
      </c>
      <c r="O205" s="54" t="str">
        <f t="shared" si="7"/>
        <v>Sí</v>
      </c>
    </row>
    <row r="206" spans="1:15" ht="60" customHeight="1" x14ac:dyDescent="0.2">
      <c r="A206" s="146" t="s">
        <v>2089</v>
      </c>
      <c r="B206" s="147" t="s">
        <v>920</v>
      </c>
      <c r="C206" s="147" t="str">
        <f>IF(B206="","",IFERROR(INDEX('UNIVERSO MAESTRO'!$C$6:$C$497,MATCH(B206,'UNIVERSO MAESTRO'!$A$6:$A$497,0)),"⚠ ID no encontrado"))</f>
        <v>KAGR (Kraft Analytics Group)</v>
      </c>
      <c r="D206" s="54" t="str">
        <f>IF(B206="","",IFERROR(INDEX('UNIVERSO MAESTRO'!$D$6:$D$497,MATCH(B206,'UNIVERSO MAESTRO'!$A$6:$A$497,0)),""))</f>
        <v>V8</v>
      </c>
      <c r="E206" s="147" t="s">
        <v>1281</v>
      </c>
      <c r="F206" s="53" t="str">
        <f>IF(E206="","",IFERROR(INDEX('UNIVERSO MAESTRO'!$C$6:$C$497,MATCH(E206,'UNIVERSO MAESTRO'!$A$6:$A$497,0)),"⚠ ID no encontrado"))</f>
        <v>SAP (Sports One)</v>
      </c>
      <c r="G206" s="54" t="str">
        <f>IF(E206="","",IFERROR(INDEX('UNIVERSO MAESTRO'!$D$6:$D$497,MATCH(E206,'UNIVERSO MAESTRO'!$A$6:$A$497,0)),""))</f>
        <v>V8</v>
      </c>
      <c r="H206" s="147" t="s">
        <v>1592</v>
      </c>
      <c r="I206" s="147" t="s">
        <v>1573</v>
      </c>
      <c r="J206" s="147" t="s">
        <v>1574</v>
      </c>
      <c r="K206" s="148" t="s">
        <v>2090</v>
      </c>
      <c r="L206" s="148"/>
      <c r="M206" s="148" t="s">
        <v>2091</v>
      </c>
      <c r="N206" s="54" t="str">
        <f t="shared" si="6"/>
        <v>No</v>
      </c>
      <c r="O206" s="54" t="str">
        <f t="shared" si="7"/>
        <v>Sí</v>
      </c>
    </row>
    <row r="207" spans="1:15" ht="60" customHeight="1" x14ac:dyDescent="0.2">
      <c r="A207" s="146" t="s">
        <v>2092</v>
      </c>
      <c r="B207" s="147" t="s">
        <v>943</v>
      </c>
      <c r="C207" s="147" t="str">
        <f>IF(B207="","",IFERROR(INDEX('UNIVERSO MAESTRO'!$C$6:$C$497,MATCH(B207,'UNIVERSO MAESTRO'!$A$6:$A$497,0)),"⚠ ID no encontrado"))</f>
        <v>Lenovo</v>
      </c>
      <c r="D207" s="54" t="str">
        <f>IF(B207="","",IFERROR(INDEX('UNIVERSO MAESTRO'!$D$6:$D$497,MATCH(B207,'UNIVERSO MAESTRO'!$A$6:$A$497,0)),""))</f>
        <v>V8</v>
      </c>
      <c r="E207" s="147" t="s">
        <v>622</v>
      </c>
      <c r="F207" s="53" t="str">
        <f>IF(E207="","",IFERROR(INDEX('UNIVERSO MAESTRO'!$C$6:$C$497,MATCH(E207,'UNIVERSO MAESTRO'!$A$6:$A$497,0)),"⚠ ID no encontrado"))</f>
        <v>FEMSA / Club de Fútbol Monterrey Rayados</v>
      </c>
      <c r="G207" s="54" t="str">
        <f>IF(E207="","",IFERROR(INDEX('UNIVERSO MAESTRO'!$D$6:$D$497,MATCH(E207,'UNIVERSO MAESTRO'!$A$6:$A$497,0)),""))</f>
        <v>V9</v>
      </c>
      <c r="H207" s="147" t="s">
        <v>1615</v>
      </c>
      <c r="I207" s="147" t="s">
        <v>1573</v>
      </c>
      <c r="J207" s="147" t="s">
        <v>1574</v>
      </c>
      <c r="K207" s="148" t="s">
        <v>2093</v>
      </c>
      <c r="L207" s="148"/>
      <c r="M207" s="148" t="s">
        <v>950</v>
      </c>
      <c r="N207" s="54" t="str">
        <f t="shared" si="6"/>
        <v>Sí</v>
      </c>
      <c r="O207" s="54" t="str">
        <f t="shared" si="7"/>
        <v>Sí</v>
      </c>
    </row>
    <row r="208" spans="1:15" ht="60" customHeight="1" x14ac:dyDescent="0.2">
      <c r="A208" s="146" t="s">
        <v>2094</v>
      </c>
      <c r="B208" s="147" t="s">
        <v>943</v>
      </c>
      <c r="C208" s="147" t="str">
        <f>IF(B208="","",IFERROR(INDEX('UNIVERSO MAESTRO'!$C$6:$C$497,MATCH(B208,'UNIVERSO MAESTRO'!$A$6:$A$497,0)),"⚠ ID no encontrado"))</f>
        <v>Lenovo</v>
      </c>
      <c r="D208" s="54" t="str">
        <f>IF(B208="","",IFERROR(INDEX('UNIVERSO MAESTRO'!$D$6:$D$497,MATCH(B208,'UNIVERSO MAESTRO'!$A$6:$A$497,0)),""))</f>
        <v>V8</v>
      </c>
      <c r="E208" s="147" t="s">
        <v>771</v>
      </c>
      <c r="F208" s="53" t="str">
        <f>IF(E208="","",IFERROR(INDEX('UNIVERSO MAESTRO'!$C$6:$C$497,MATCH(E208,'UNIVERSO MAESTRO'!$A$6:$A$497,0)),"⚠ ID no encontrado"))</f>
        <v>Grupo Omnilife / Amaury Vergara / Chivas</v>
      </c>
      <c r="G208" s="54" t="str">
        <f>IF(E208="","",IFERROR(INDEX('UNIVERSO MAESTRO'!$D$6:$D$497,MATCH(E208,'UNIVERSO MAESTRO'!$A$6:$A$497,0)),""))</f>
        <v>V9</v>
      </c>
      <c r="H208" s="147" t="s">
        <v>1615</v>
      </c>
      <c r="I208" s="147" t="s">
        <v>1573</v>
      </c>
      <c r="J208" s="147" t="s">
        <v>1574</v>
      </c>
      <c r="K208" s="148" t="s">
        <v>2095</v>
      </c>
      <c r="L208" s="148"/>
      <c r="M208" s="148" t="s">
        <v>2096</v>
      </c>
      <c r="N208" s="54" t="str">
        <f t="shared" si="6"/>
        <v>Sí</v>
      </c>
      <c r="O208" s="54" t="str">
        <f t="shared" si="7"/>
        <v>Sí</v>
      </c>
    </row>
    <row r="209" spans="1:15" ht="60" customHeight="1" x14ac:dyDescent="0.2">
      <c r="A209" s="146" t="s">
        <v>2097</v>
      </c>
      <c r="B209" s="147" t="s">
        <v>943</v>
      </c>
      <c r="C209" s="147" t="str">
        <f>IF(B209="","",IFERROR(INDEX('UNIVERSO MAESTRO'!$C$6:$C$497,MATCH(B209,'UNIVERSO MAESTRO'!$A$6:$A$497,0)),"⚠ ID no encontrado"))</f>
        <v>Lenovo</v>
      </c>
      <c r="D209" s="54" t="str">
        <f>IF(B209="","",IFERROR(INDEX('UNIVERSO MAESTRO'!$D$6:$D$497,MATCH(B209,'UNIVERSO MAESTRO'!$A$6:$A$497,0)),""))</f>
        <v>V8</v>
      </c>
      <c r="E209" s="147" t="s">
        <v>1149</v>
      </c>
      <c r="F209" s="53" t="str">
        <f>IF(E209="","",IFERROR(INDEX('UNIVERSO MAESTRO'!$C$6:$C$497,MATCH(E209,'UNIVERSO MAESTRO'!$A$6:$A$497,0)),"⚠ ID no encontrado"))</f>
        <v>Ollamani, S.A.B. / Grupo Águilas (Club América + Estadio Banorte)</v>
      </c>
      <c r="G209" s="54" t="str">
        <f>IF(E209="","",IFERROR(INDEX('UNIVERSO MAESTRO'!$D$6:$D$497,MATCH(E209,'UNIVERSO MAESTRO'!$A$6:$A$497,0)),""))</f>
        <v>V9</v>
      </c>
      <c r="H209" s="147" t="s">
        <v>1615</v>
      </c>
      <c r="I209" s="147" t="s">
        <v>1573</v>
      </c>
      <c r="J209" s="147" t="s">
        <v>1574</v>
      </c>
      <c r="K209" s="148" t="s">
        <v>2098</v>
      </c>
      <c r="L209" s="148" t="s">
        <v>2099</v>
      </c>
      <c r="M209" s="148" t="s">
        <v>1756</v>
      </c>
      <c r="N209" s="54" t="str">
        <f t="shared" si="6"/>
        <v>Sí</v>
      </c>
      <c r="O209" s="54" t="str">
        <f t="shared" si="7"/>
        <v>Sí</v>
      </c>
    </row>
    <row r="210" spans="1:15" ht="60" customHeight="1" x14ac:dyDescent="0.2">
      <c r="A210" s="146" t="s">
        <v>2151</v>
      </c>
      <c r="B210" s="147" t="s">
        <v>1031</v>
      </c>
      <c r="C210" s="147" t="str">
        <f>IF(B210="","",IFERROR(INDEX('UNIVERSO MAESTRO'!$C$6:$C$497,MATCH(B210,'UNIVERSO MAESTRO'!$A$6:$A$497,0)),"⚠ ID no encontrado"))</f>
        <v>Mediapro</v>
      </c>
      <c r="D210" s="54" t="str">
        <f>IF(B210="","",IFERROR(INDEX('UNIVERSO MAESTRO'!$D$6:$D$497,MATCH(B210,'UNIVERSO MAESTRO'!$A$6:$A$497,0)),""))</f>
        <v>V8</v>
      </c>
      <c r="E210" s="147" t="s">
        <v>969</v>
      </c>
      <c r="F210" s="53" t="str">
        <f>IF(E210="","",IFERROR(INDEX('UNIVERSO MAESTRO'!$C$6:$C$497,MATCH(E210,'UNIVERSO MAESTRO'!$A$6:$A$497,0)),"⚠ ID no encontrado"))</f>
        <v>Liga MX</v>
      </c>
      <c r="G210" s="54" t="str">
        <f>IF(E210="","",IFERROR(INDEX('UNIVERSO MAESTRO'!$D$6:$D$497,MATCH(E210,'UNIVERSO MAESTRO'!$A$6:$A$497,0)),""))</f>
        <v>V1</v>
      </c>
      <c r="H210" s="147" t="s">
        <v>1592</v>
      </c>
      <c r="I210" s="147" t="s">
        <v>1579</v>
      </c>
      <c r="J210" s="147" t="s">
        <v>1574</v>
      </c>
      <c r="K210" s="148" t="s">
        <v>2152</v>
      </c>
      <c r="L210" s="148" t="s">
        <v>2153</v>
      </c>
      <c r="M210" s="148" t="s">
        <v>2154</v>
      </c>
      <c r="N210" s="54" t="str">
        <f t="shared" si="6"/>
        <v>Sí</v>
      </c>
      <c r="O210" s="54" t="str">
        <f t="shared" si="7"/>
        <v>Sí</v>
      </c>
    </row>
    <row r="211" spans="1:15" ht="60" customHeight="1" x14ac:dyDescent="0.2">
      <c r="A211" s="146" t="s">
        <v>2197</v>
      </c>
      <c r="B211" s="147" t="s">
        <v>1179</v>
      </c>
      <c r="C211" s="147" t="str">
        <f>IF(B211="","",IFERROR(INDEX('UNIVERSO MAESTRO'!$C$6:$C$497,MATCH(B211,'UNIVERSO MAESTRO'!$A$6:$A$497,0)),"⚠ ID no encontrado"))</f>
        <v>Panduit + Commscope</v>
      </c>
      <c r="D211" s="54" t="str">
        <f>IF(B211="","",IFERROR(INDEX('UNIVERSO MAESTRO'!$D$6:$D$497,MATCH(B211,'UNIVERSO MAESTRO'!$A$6:$A$497,0)),""))</f>
        <v>V8</v>
      </c>
      <c r="E211" s="147" t="s">
        <v>622</v>
      </c>
      <c r="F211" s="53" t="str">
        <f>IF(E211="","",IFERROR(INDEX('UNIVERSO MAESTRO'!$C$6:$C$497,MATCH(E211,'UNIVERSO MAESTRO'!$A$6:$A$497,0)),"⚠ ID no encontrado"))</f>
        <v>FEMSA / Club de Fútbol Monterrey Rayados</v>
      </c>
      <c r="G211" s="54" t="str">
        <f>IF(E211="","",IFERROR(INDEX('UNIVERSO MAESTRO'!$D$6:$D$497,MATCH(E211,'UNIVERSO MAESTRO'!$A$6:$A$497,0)),""))</f>
        <v>V9</v>
      </c>
      <c r="H211" s="147" t="s">
        <v>1615</v>
      </c>
      <c r="I211" s="147" t="s">
        <v>1611</v>
      </c>
      <c r="J211" s="147" t="s">
        <v>1574</v>
      </c>
      <c r="K211" s="148" t="s">
        <v>2198</v>
      </c>
      <c r="L211" s="148"/>
      <c r="M211" s="148" t="s">
        <v>2199</v>
      </c>
      <c r="N211" s="54" t="str">
        <f t="shared" si="6"/>
        <v>Sí</v>
      </c>
      <c r="O211" s="54" t="str">
        <f t="shared" si="7"/>
        <v>No</v>
      </c>
    </row>
    <row r="212" spans="1:15" ht="60" customHeight="1" x14ac:dyDescent="0.2">
      <c r="A212" s="146" t="s">
        <v>2200</v>
      </c>
      <c r="B212" s="147" t="s">
        <v>1179</v>
      </c>
      <c r="C212" s="147" t="str">
        <f>IF(B212="","",IFERROR(INDEX('UNIVERSO MAESTRO'!$C$6:$C$497,MATCH(B212,'UNIVERSO MAESTRO'!$A$6:$A$497,0)),"⚠ ID no encontrado"))</f>
        <v>Panduit + Commscope</v>
      </c>
      <c r="D212" s="54" t="str">
        <f>IF(B212="","",IFERROR(INDEX('UNIVERSO MAESTRO'!$D$6:$D$497,MATCH(B212,'UNIVERSO MAESTRO'!$A$6:$A$497,0)),""))</f>
        <v>V8</v>
      </c>
      <c r="E212" s="147" t="s">
        <v>1149</v>
      </c>
      <c r="F212" s="53" t="str">
        <f>IF(E212="","",IFERROR(INDEX('UNIVERSO MAESTRO'!$C$6:$C$497,MATCH(E212,'UNIVERSO MAESTRO'!$A$6:$A$497,0)),"⚠ ID no encontrado"))</f>
        <v>Ollamani, S.A.B. / Grupo Águilas (Club América + Estadio Banorte)</v>
      </c>
      <c r="G212" s="54" t="str">
        <f>IF(E212="","",IFERROR(INDEX('UNIVERSO MAESTRO'!$D$6:$D$497,MATCH(E212,'UNIVERSO MAESTRO'!$A$6:$A$497,0)),""))</f>
        <v>V9</v>
      </c>
      <c r="H212" s="147" t="s">
        <v>1615</v>
      </c>
      <c r="I212" s="147" t="s">
        <v>1611</v>
      </c>
      <c r="J212" s="147" t="s">
        <v>1574</v>
      </c>
      <c r="K212" s="148" t="s">
        <v>2201</v>
      </c>
      <c r="L212" s="148"/>
      <c r="M212" s="148" t="s">
        <v>2202</v>
      </c>
      <c r="N212" s="54" t="str">
        <f t="shared" si="6"/>
        <v>Sí</v>
      </c>
      <c r="O212" s="54" t="str">
        <f t="shared" si="7"/>
        <v>No</v>
      </c>
    </row>
    <row r="213" spans="1:15" ht="60" customHeight="1" x14ac:dyDescent="0.2">
      <c r="A213" s="146" t="s">
        <v>2226</v>
      </c>
      <c r="B213" s="147" t="s">
        <v>1226</v>
      </c>
      <c r="C213" s="147" t="str">
        <f>IF(B213="","",IFERROR(INDEX('UNIVERSO MAESTRO'!$C$6:$C$497,MATCH(B213,'UNIVERSO MAESTRO'!$A$6:$A$497,0)),"⚠ ID no encontrado"))</f>
        <v>Publicidad Virtual</v>
      </c>
      <c r="D213" s="54" t="str">
        <f>IF(B213="","",IFERROR(INDEX('UNIVERSO MAESTRO'!$D$6:$D$497,MATCH(B213,'UNIVERSO MAESTRO'!$A$6:$A$497,0)),""))</f>
        <v>V8</v>
      </c>
      <c r="E213" s="147" t="s">
        <v>614</v>
      </c>
      <c r="F213" s="53" t="str">
        <f>IF(E213="","",IFERROR(INDEX('UNIVERSO MAESTRO'!$C$6:$C$497,MATCH(E213,'UNIVERSO MAESTRO'!$A$6:$A$497,0)),"⚠ ID no encontrado"))</f>
        <v>Federación Mexicana de Fútbol</v>
      </c>
      <c r="G213" s="54" t="str">
        <f>IF(E213="","",IFERROR(INDEX('UNIVERSO MAESTRO'!$D$6:$D$497,MATCH(E213,'UNIVERSO MAESTRO'!$A$6:$A$497,0)),""))</f>
        <v>V1</v>
      </c>
      <c r="H213" s="147" t="s">
        <v>1592</v>
      </c>
      <c r="I213" s="147" t="s">
        <v>1573</v>
      </c>
      <c r="J213" s="147" t="s">
        <v>1574</v>
      </c>
      <c r="K213" s="148" t="s">
        <v>2227</v>
      </c>
      <c r="L213" s="148" t="s">
        <v>2228</v>
      </c>
      <c r="M213" s="148" t="s">
        <v>2229</v>
      </c>
      <c r="N213" s="54" t="str">
        <f t="shared" si="6"/>
        <v>Sí</v>
      </c>
      <c r="O213" s="54" t="str">
        <f t="shared" si="7"/>
        <v>Sí</v>
      </c>
    </row>
    <row r="214" spans="1:15" ht="60" customHeight="1" x14ac:dyDescent="0.2">
      <c r="A214" s="146" t="s">
        <v>2252</v>
      </c>
      <c r="B214" s="147" t="s">
        <v>1273</v>
      </c>
      <c r="C214" s="147" t="str">
        <f>IF(B214="","",IFERROR(INDEX('UNIVERSO MAESTRO'!$C$6:$C$497,MATCH(B214,'UNIVERSO MAESTRO'!$A$6:$A$497,0)),"⚠ ID no encontrado"))</f>
        <v>Salesforce</v>
      </c>
      <c r="D214" s="54" t="str">
        <f>IF(B214="","",IFERROR(INDEX('UNIVERSO MAESTRO'!$D$6:$D$497,MATCH(B214,'UNIVERSO MAESTRO'!$A$6:$A$497,0)),""))</f>
        <v>V8</v>
      </c>
      <c r="E214" s="147" t="s">
        <v>614</v>
      </c>
      <c r="F214" s="53" t="str">
        <f>IF(E214="","",IFERROR(INDEX('UNIVERSO MAESTRO'!$C$6:$C$497,MATCH(E214,'UNIVERSO MAESTRO'!$A$6:$A$497,0)),"⚠ ID no encontrado"))</f>
        <v>Federación Mexicana de Fútbol</v>
      </c>
      <c r="G214" s="54" t="str">
        <f>IF(E214="","",IFERROR(INDEX('UNIVERSO MAESTRO'!$D$6:$D$497,MATCH(E214,'UNIVERSO MAESTRO'!$A$6:$A$497,0)),""))</f>
        <v>V1</v>
      </c>
      <c r="H214" s="147" t="s">
        <v>1592</v>
      </c>
      <c r="I214" s="147" t="s">
        <v>1573</v>
      </c>
      <c r="J214" s="147" t="s">
        <v>1574</v>
      </c>
      <c r="K214" s="148" t="s">
        <v>2253</v>
      </c>
      <c r="L214" s="148"/>
      <c r="M214" s="148" t="s">
        <v>2254</v>
      </c>
      <c r="N214" s="54" t="str">
        <f t="shared" si="6"/>
        <v>Sí</v>
      </c>
      <c r="O214" s="54" t="str">
        <f t="shared" si="7"/>
        <v>Sí</v>
      </c>
    </row>
    <row r="215" spans="1:15" ht="60" customHeight="1" x14ac:dyDescent="0.2">
      <c r="A215" s="146" t="s">
        <v>2255</v>
      </c>
      <c r="B215" s="147" t="s">
        <v>1273</v>
      </c>
      <c r="C215" s="147" t="str">
        <f>IF(B215="","",IFERROR(INDEX('UNIVERSO MAESTRO'!$C$6:$C$497,MATCH(B215,'UNIVERSO MAESTRO'!$A$6:$A$497,0)),"⚠ ID no encontrado"))</f>
        <v>Salesforce</v>
      </c>
      <c r="D215" s="54" t="str">
        <f>IF(B215="","",IFERROR(INDEX('UNIVERSO MAESTRO'!$D$6:$D$497,MATCH(B215,'UNIVERSO MAESTRO'!$A$6:$A$497,0)),""))</f>
        <v>V8</v>
      </c>
      <c r="E215" s="147" t="s">
        <v>1149</v>
      </c>
      <c r="F215" s="53" t="str">
        <f>IF(E215="","",IFERROR(INDEX('UNIVERSO MAESTRO'!$C$6:$C$497,MATCH(E215,'UNIVERSO MAESTRO'!$A$6:$A$497,0)),"⚠ ID no encontrado"))</f>
        <v>Ollamani, S.A.B. / Grupo Águilas (Club América + Estadio Banorte)</v>
      </c>
      <c r="G215" s="54" t="str">
        <f>IF(E215="","",IFERROR(INDEX('UNIVERSO MAESTRO'!$D$6:$D$497,MATCH(E215,'UNIVERSO MAESTRO'!$A$6:$A$497,0)),""))</f>
        <v>V9</v>
      </c>
      <c r="H215" s="147" t="s">
        <v>1592</v>
      </c>
      <c r="I215" s="147" t="s">
        <v>1579</v>
      </c>
      <c r="J215" s="147" t="s">
        <v>1574</v>
      </c>
      <c r="K215" s="148" t="s">
        <v>2256</v>
      </c>
      <c r="L215" s="148" t="s">
        <v>2257</v>
      </c>
      <c r="M215" s="148" t="s">
        <v>2258</v>
      </c>
      <c r="N215" s="54" t="str">
        <f t="shared" si="6"/>
        <v>Sí</v>
      </c>
      <c r="O215" s="54" t="str">
        <f t="shared" si="7"/>
        <v>Sí</v>
      </c>
    </row>
    <row r="216" spans="1:15" ht="60" customHeight="1" x14ac:dyDescent="0.2">
      <c r="A216" s="146" t="s">
        <v>2259</v>
      </c>
      <c r="B216" s="147" t="s">
        <v>1281</v>
      </c>
      <c r="C216" s="147" t="str">
        <f>IF(B216="","",IFERROR(INDEX('UNIVERSO MAESTRO'!$C$6:$C$497,MATCH(B216,'UNIVERSO MAESTRO'!$A$6:$A$497,0)),"⚠ ID no encontrado"))</f>
        <v>SAP (Sports One)</v>
      </c>
      <c r="D216" s="54" t="str">
        <f>IF(B216="","",IFERROR(INDEX('UNIVERSO MAESTRO'!$D$6:$D$497,MATCH(B216,'UNIVERSO MAESTRO'!$A$6:$A$497,0)),""))</f>
        <v>V8</v>
      </c>
      <c r="E216" s="147" t="s">
        <v>739</v>
      </c>
      <c r="F216" s="53" t="str">
        <f>IF(E216="","",IFERROR(INDEX('UNIVERSO MAESTRO'!$C$6:$C$497,MATCH(E216,'UNIVERSO MAESTRO'!$A$6:$A$497,0)),"⚠ ID no encontrado"))</f>
        <v>Grupo Caliente / Corporación Caliente, S.A. de C.V.</v>
      </c>
      <c r="G216" s="54" t="str">
        <f>IF(E216="","",IFERROR(INDEX('UNIVERSO MAESTRO'!$D$6:$D$497,MATCH(E216,'UNIVERSO MAESTRO'!$A$6:$A$497,0)),""))</f>
        <v>V9</v>
      </c>
      <c r="H216" s="147" t="s">
        <v>1592</v>
      </c>
      <c r="I216" s="147" t="s">
        <v>1611</v>
      </c>
      <c r="J216" s="147" t="s">
        <v>1574</v>
      </c>
      <c r="K216" s="148" t="s">
        <v>2260</v>
      </c>
      <c r="L216" s="148"/>
      <c r="M216" s="148" t="s">
        <v>2261</v>
      </c>
      <c r="N216" s="54" t="str">
        <f t="shared" si="6"/>
        <v>Sí</v>
      </c>
      <c r="O216" s="54" t="str">
        <f t="shared" si="7"/>
        <v>No</v>
      </c>
    </row>
    <row r="217" spans="1:15" ht="60" customHeight="1" x14ac:dyDescent="0.2">
      <c r="A217" s="146" t="s">
        <v>2262</v>
      </c>
      <c r="B217" s="147" t="s">
        <v>1281</v>
      </c>
      <c r="C217" s="147" t="str">
        <f>IF(B217="","",IFERROR(INDEX('UNIVERSO MAESTRO'!$C$6:$C$497,MATCH(B217,'UNIVERSO MAESTRO'!$A$6:$A$497,0)),"⚠ ID no encontrado"))</f>
        <v>SAP (Sports One)</v>
      </c>
      <c r="D217" s="54" t="str">
        <f>IF(B217="","",IFERROR(INDEX('UNIVERSO MAESTRO'!$D$6:$D$497,MATCH(B217,'UNIVERSO MAESTRO'!$A$6:$A$497,0)),""))</f>
        <v>V8</v>
      </c>
      <c r="E217" s="147" t="s">
        <v>803</v>
      </c>
      <c r="F217" s="53" t="str">
        <f>IF(E217="","",IFERROR(INDEX('UNIVERSO MAESTRO'!$C$6:$C$497,MATCH(E217,'UNIVERSO MAESTRO'!$A$6:$A$497,0)),"⚠ ID no encontrado"))</f>
        <v>Grupo PRODI / José Miguel Bejos</v>
      </c>
      <c r="G217" s="54" t="str">
        <f>IF(E217="","",IFERROR(INDEX('UNIVERSO MAESTRO'!$D$6:$D$497,MATCH(E217,'UNIVERSO MAESTRO'!$A$6:$A$497,0)),""))</f>
        <v>V9</v>
      </c>
      <c r="H217" s="147" t="s">
        <v>1592</v>
      </c>
      <c r="I217" s="147" t="s">
        <v>1611</v>
      </c>
      <c r="J217" s="147" t="s">
        <v>1574</v>
      </c>
      <c r="K217" s="148" t="s">
        <v>2263</v>
      </c>
      <c r="L217" s="148"/>
      <c r="M217" s="148" t="s">
        <v>2261</v>
      </c>
      <c r="N217" s="54" t="str">
        <f t="shared" si="6"/>
        <v>Sí</v>
      </c>
      <c r="O217" s="54" t="str">
        <f t="shared" si="7"/>
        <v>No</v>
      </c>
    </row>
    <row r="218" spans="1:15" ht="60" customHeight="1" x14ac:dyDescent="0.2">
      <c r="A218" s="146" t="s">
        <v>2264</v>
      </c>
      <c r="B218" s="147" t="s">
        <v>1281</v>
      </c>
      <c r="C218" s="147" t="str">
        <f>IF(B218="","",IFERROR(INDEX('UNIVERSO MAESTRO'!$C$6:$C$497,MATCH(B218,'UNIVERSO MAESTRO'!$A$6:$A$497,0)),"⚠ ID no encontrado"))</f>
        <v>SAP (Sports One)</v>
      </c>
      <c r="D218" s="54" t="str">
        <f>IF(B218="","",IFERROR(INDEX('UNIVERSO MAESTRO'!$D$6:$D$497,MATCH(B218,'UNIVERSO MAESTRO'!$A$6:$A$497,0)),""))</f>
        <v>V8</v>
      </c>
      <c r="E218" s="147" t="s">
        <v>1149</v>
      </c>
      <c r="F218" s="53" t="str">
        <f>IF(E218="","",IFERROR(INDEX('UNIVERSO MAESTRO'!$C$6:$C$497,MATCH(E218,'UNIVERSO MAESTRO'!$A$6:$A$497,0)),"⚠ ID no encontrado"))</f>
        <v>Ollamani, S.A.B. / Grupo Águilas (Club América + Estadio Banorte)</v>
      </c>
      <c r="G218" s="54" t="str">
        <f>IF(E218="","",IFERROR(INDEX('UNIVERSO MAESTRO'!$D$6:$D$497,MATCH(E218,'UNIVERSO MAESTRO'!$A$6:$A$497,0)),""))</f>
        <v>V9</v>
      </c>
      <c r="H218" s="147" t="s">
        <v>1592</v>
      </c>
      <c r="I218" s="147" t="s">
        <v>1611</v>
      </c>
      <c r="J218" s="147" t="s">
        <v>1574</v>
      </c>
      <c r="K218" s="148" t="s">
        <v>2265</v>
      </c>
      <c r="L218" s="148"/>
      <c r="M218" s="148" t="s">
        <v>2261</v>
      </c>
      <c r="N218" s="54" t="str">
        <f t="shared" si="6"/>
        <v>Sí</v>
      </c>
      <c r="O218" s="54" t="str">
        <f t="shared" si="7"/>
        <v>No</v>
      </c>
    </row>
    <row r="219" spans="1:15" ht="60" customHeight="1" x14ac:dyDescent="0.2">
      <c r="A219" s="146" t="s">
        <v>2273</v>
      </c>
      <c r="B219" s="147" t="s">
        <v>1296</v>
      </c>
      <c r="C219" s="147" t="str">
        <f>IF(B219="","",IFERROR(INDEX('UNIVERSO MAESTRO'!$C$6:$C$497,MATCH(B219,'UNIVERSO MAESTRO'!$A$6:$A$497,0)),"⚠ ID no encontrado"))</f>
        <v>Seeuplay</v>
      </c>
      <c r="D219" s="54" t="str">
        <f>IF(B219="","",IFERROR(INDEX('UNIVERSO MAESTRO'!$D$6:$D$497,MATCH(B219,'UNIVERSO MAESTRO'!$A$6:$A$497,0)),""))</f>
        <v>V8</v>
      </c>
      <c r="E219" s="147" t="s">
        <v>614</v>
      </c>
      <c r="F219" s="53" t="str">
        <f>IF(E219="","",IFERROR(INDEX('UNIVERSO MAESTRO'!$C$6:$C$497,MATCH(E219,'UNIVERSO MAESTRO'!$A$6:$A$497,0)),"⚠ ID no encontrado"))</f>
        <v>Federación Mexicana de Fútbol</v>
      </c>
      <c r="G219" s="54" t="str">
        <f>IF(E219="","",IFERROR(INDEX('UNIVERSO MAESTRO'!$D$6:$D$497,MATCH(E219,'UNIVERSO MAESTRO'!$A$6:$A$497,0)),""))</f>
        <v>V1</v>
      </c>
      <c r="H219" s="147" t="s">
        <v>1592</v>
      </c>
      <c r="I219" s="147" t="s">
        <v>1573</v>
      </c>
      <c r="J219" s="147" t="s">
        <v>1574</v>
      </c>
      <c r="K219" s="148" t="s">
        <v>2274</v>
      </c>
      <c r="L219" s="148"/>
      <c r="M219" s="148" t="s">
        <v>2275</v>
      </c>
      <c r="N219" s="54" t="str">
        <f t="shared" si="6"/>
        <v>Sí</v>
      </c>
      <c r="O219" s="54" t="str">
        <f t="shared" si="7"/>
        <v>Sí</v>
      </c>
    </row>
    <row r="220" spans="1:15" ht="60" customHeight="1" x14ac:dyDescent="0.2">
      <c r="A220" s="146" t="s">
        <v>2276</v>
      </c>
      <c r="B220" s="147" t="s">
        <v>1296</v>
      </c>
      <c r="C220" s="147" t="str">
        <f>IF(B220="","",IFERROR(INDEX('UNIVERSO MAESTRO'!$C$6:$C$497,MATCH(B220,'UNIVERSO MAESTRO'!$A$6:$A$497,0)),"⚠ ID no encontrado"))</f>
        <v>Seeuplay</v>
      </c>
      <c r="D220" s="54" t="str">
        <f>IF(B220="","",IFERROR(INDEX('UNIVERSO MAESTRO'!$D$6:$D$497,MATCH(B220,'UNIVERSO MAESTRO'!$A$6:$A$497,0)),""))</f>
        <v>V8</v>
      </c>
      <c r="E220" s="147" t="s">
        <v>969</v>
      </c>
      <c r="F220" s="53" t="str">
        <f>IF(E220="","",IFERROR(INDEX('UNIVERSO MAESTRO'!$C$6:$C$497,MATCH(E220,'UNIVERSO MAESTRO'!$A$6:$A$497,0)),"⚠ ID no encontrado"))</f>
        <v>Liga MX</v>
      </c>
      <c r="G220" s="54" t="str">
        <f>IF(E220="","",IFERROR(INDEX('UNIVERSO MAESTRO'!$D$6:$D$497,MATCH(E220,'UNIVERSO MAESTRO'!$A$6:$A$497,0)),""))</f>
        <v>V1</v>
      </c>
      <c r="H220" s="147" t="s">
        <v>1592</v>
      </c>
      <c r="I220" s="147" t="s">
        <v>1573</v>
      </c>
      <c r="J220" s="147" t="s">
        <v>1574</v>
      </c>
      <c r="K220" s="148" t="s">
        <v>2277</v>
      </c>
      <c r="L220" s="148" t="s">
        <v>2278</v>
      </c>
      <c r="M220" s="148" t="s">
        <v>2279</v>
      </c>
      <c r="N220" s="54" t="str">
        <f t="shared" si="6"/>
        <v>Sí</v>
      </c>
      <c r="O220" s="54" t="str">
        <f t="shared" si="7"/>
        <v>Sí</v>
      </c>
    </row>
    <row r="221" spans="1:15" ht="60" customHeight="1" x14ac:dyDescent="0.2">
      <c r="A221" t="s">
        <v>2456</v>
      </c>
      <c r="B221" t="s">
        <v>920</v>
      </c>
      <c r="C221" s="147" t="str">
        <f>IF(B221="","",IFERROR(INDEX('UNIVERSO MAESTRO'!$C$6:$C$497,MATCH(B221,'UNIVERSO MAESTRO'!$A$6:$A$497,0)),"⚠ ID no encontrado"))</f>
        <v>KAGR (Kraft Analytics Group)</v>
      </c>
      <c r="D221" s="54" t="str">
        <f>IF(B221="","",IFERROR(INDEX('UNIVERSO MAESTRO'!$D$6:$D$497,MATCH(B221,'UNIVERSO MAESTRO'!$A$6:$A$497,0)),""))</f>
        <v>V8</v>
      </c>
      <c r="E221" t="s">
        <v>1149</v>
      </c>
      <c r="F221" s="53" t="str">
        <f>IF(E221="","",IFERROR(INDEX('UNIVERSO MAESTRO'!$C$6:$C$497,MATCH(E221,'UNIVERSO MAESTRO'!$A$6:$A$497,0)),"⚠ ID no encontrado"))</f>
        <v>Ollamani, S.A.B. / Grupo Águilas (Club América + Estadio Banorte)</v>
      </c>
      <c r="G221" s="54" t="str">
        <f>IF(E221="","",IFERROR(INDEX('UNIVERSO MAESTRO'!$D$6:$D$497,MATCH(E221,'UNIVERSO MAESTRO'!$A$6:$A$497,0)),""))</f>
        <v>V9</v>
      </c>
      <c r="H221" t="s">
        <v>2452</v>
      </c>
      <c r="I221" t="s">
        <v>1573</v>
      </c>
      <c r="J221" t="s">
        <v>1574</v>
      </c>
      <c r="K221" t="s">
        <v>2457</v>
      </c>
      <c r="L221" t="s">
        <v>2458</v>
      </c>
      <c r="M221" t="s">
        <v>2459</v>
      </c>
      <c r="N221" s="54" t="str">
        <f t="shared" si="6"/>
        <v>Sí</v>
      </c>
      <c r="O221" s="54" t="str">
        <f t="shared" si="7"/>
        <v>Sí</v>
      </c>
    </row>
    <row r="222" spans="1:15" ht="60" customHeight="1" x14ac:dyDescent="0.2">
      <c r="A222" s="146" t="s">
        <v>1609</v>
      </c>
      <c r="B222" s="147" t="s">
        <v>244</v>
      </c>
      <c r="C222" s="147" t="str">
        <f>IF(B222="","",IFERROR(INDEX('UNIVERSO MAESTRO'!$C$6:$C$497,MATCH(B222,'UNIVERSO MAESTRO'!$A$6:$A$497,0)),"⚠ ID no encontrado"))</f>
        <v>Apollo Sports Capital</v>
      </c>
      <c r="D222" s="54" t="str">
        <f>IF(B222="","",IFERROR(INDEX('UNIVERSO MAESTRO'!$D$6:$D$497,MATCH(B222,'UNIVERSO MAESTRO'!$A$6:$A$497,0)),""))</f>
        <v>V9</v>
      </c>
      <c r="E222" s="147" t="s">
        <v>671</v>
      </c>
      <c r="F222" s="53" t="str">
        <f>IF(E222="","",IFERROR(INDEX('UNIVERSO MAESTRO'!$C$6:$C$497,MATCH(E222,'UNIVERSO MAESTRO'!$A$6:$A$497,0)),"⚠ ID no encontrado"))</f>
        <v>General Atlantic</v>
      </c>
      <c r="G222" s="54" t="str">
        <f>IF(E222="","",IFERROR(INDEX('UNIVERSO MAESTRO'!$D$6:$D$497,MATCH(E222,'UNIVERSO MAESTRO'!$A$6:$A$497,0)),""))</f>
        <v>V9</v>
      </c>
      <c r="H222" s="147" t="s">
        <v>1610</v>
      </c>
      <c r="I222" s="147" t="s">
        <v>1611</v>
      </c>
      <c r="J222" s="147" t="s">
        <v>1574</v>
      </c>
      <c r="K222" s="148" t="s">
        <v>1612</v>
      </c>
      <c r="L222" s="148"/>
      <c r="M222" s="148" t="s">
        <v>1613</v>
      </c>
      <c r="N222" s="54" t="str">
        <f t="shared" si="6"/>
        <v>No</v>
      </c>
      <c r="O222" s="54" t="str">
        <f t="shared" si="7"/>
        <v>No</v>
      </c>
    </row>
    <row r="223" spans="1:15" ht="60" customHeight="1" x14ac:dyDescent="0.2">
      <c r="A223" s="146" t="s">
        <v>1614</v>
      </c>
      <c r="B223" s="147" t="s">
        <v>244</v>
      </c>
      <c r="C223" s="147" t="str">
        <f>IF(B223="","",IFERROR(INDEX('UNIVERSO MAESTRO'!$C$6:$C$497,MATCH(B223,'UNIVERSO MAESTRO'!$A$6:$A$497,0)),"⚠ ID no encontrado"))</f>
        <v>Apollo Sports Capital</v>
      </c>
      <c r="D223" s="54" t="str">
        <f>IF(B223="","",IFERROR(INDEX('UNIVERSO MAESTRO'!$D$6:$D$497,MATCH(B223,'UNIVERSO MAESTRO'!$A$6:$A$497,0)),""))</f>
        <v>V9</v>
      </c>
      <c r="E223" s="147" t="s">
        <v>902</v>
      </c>
      <c r="F223" s="53" t="str">
        <f>IF(E223="","",IFERROR(INDEX('UNIVERSO MAESTRO'!$C$6:$C$497,MATCH(E223,'UNIVERSO MAESTRO'!$A$6:$A$497,0)),"⚠ ID no encontrado"))</f>
        <v>Innovatio Capital / Club Querétaro</v>
      </c>
      <c r="G223" s="54" t="str">
        <f>IF(E223="","",IFERROR(INDEX('UNIVERSO MAESTRO'!$D$6:$D$497,MATCH(E223,'UNIVERSO MAESTRO'!$A$6:$A$497,0)),""))</f>
        <v>V9</v>
      </c>
      <c r="H223" s="147" t="s">
        <v>1615</v>
      </c>
      <c r="I223" s="147" t="s">
        <v>1579</v>
      </c>
      <c r="J223" s="147" t="s">
        <v>1574</v>
      </c>
      <c r="K223" s="148" t="s">
        <v>1616</v>
      </c>
      <c r="L223" s="148" t="s">
        <v>1617</v>
      </c>
      <c r="M223" s="148" t="s">
        <v>1618</v>
      </c>
      <c r="N223" s="54" t="str">
        <f t="shared" si="6"/>
        <v>No</v>
      </c>
      <c r="O223" s="54" t="str">
        <f t="shared" si="7"/>
        <v>Sí</v>
      </c>
    </row>
    <row r="224" spans="1:15" ht="60" customHeight="1" x14ac:dyDescent="0.2">
      <c r="A224" s="146" t="s">
        <v>1619</v>
      </c>
      <c r="B224" s="147" t="s">
        <v>244</v>
      </c>
      <c r="C224" s="147" t="str">
        <f>IF(B224="","",IFERROR(INDEX('UNIVERSO MAESTRO'!$C$6:$C$497,MATCH(B224,'UNIVERSO MAESTRO'!$A$6:$A$497,0)),"⚠ ID no encontrado"))</f>
        <v>Apollo Sports Capital</v>
      </c>
      <c r="D224" s="54" t="str">
        <f>IF(B224="","",IFERROR(INDEX('UNIVERSO MAESTRO'!$D$6:$D$497,MATCH(B224,'UNIVERSO MAESTRO'!$A$6:$A$497,0)),""))</f>
        <v>V9</v>
      </c>
      <c r="E224" s="147" t="s">
        <v>1084</v>
      </c>
      <c r="F224" s="53" t="str">
        <f>IF(E224="","",IFERROR(INDEX('UNIVERSO MAESTRO'!$C$6:$C$497,MATCH(E224,'UNIVERSO MAESTRO'!$A$6:$A$497,0)),"⚠ ID no encontrado"))</f>
        <v>Moelis &amp; Co.</v>
      </c>
      <c r="G224" s="54" t="str">
        <f>IF(E224="","",IFERROR(INDEX('UNIVERSO MAESTRO'!$D$6:$D$497,MATCH(E224,'UNIVERSO MAESTRO'!$A$6:$A$497,0)),""))</f>
        <v>V9</v>
      </c>
      <c r="H224" s="147" t="s">
        <v>1620</v>
      </c>
      <c r="I224" s="147" t="s">
        <v>1573</v>
      </c>
      <c r="J224" s="147" t="s">
        <v>1574</v>
      </c>
      <c r="K224" s="148" t="s">
        <v>1621</v>
      </c>
      <c r="L224" s="148" t="s">
        <v>1622</v>
      </c>
      <c r="M224" s="148" t="s">
        <v>1623</v>
      </c>
      <c r="N224" s="54" t="str">
        <f t="shared" si="6"/>
        <v>No</v>
      </c>
      <c r="O224" s="54" t="str">
        <f t="shared" si="7"/>
        <v>Sí</v>
      </c>
    </row>
    <row r="225" spans="1:15" ht="60" customHeight="1" x14ac:dyDescent="0.2">
      <c r="A225" s="146" t="s">
        <v>1772</v>
      </c>
      <c r="B225" s="147" t="s">
        <v>496</v>
      </c>
      <c r="C225" s="147" t="str">
        <f>IF(B225="","",IFERROR(INDEX('UNIVERSO MAESTRO'!$C$6:$C$497,MATCH(B225,'UNIVERSO MAESTRO'!$A$6:$A$497,0)),"⚠ ID no encontrado"))</f>
        <v>CVC Capital Partners</v>
      </c>
      <c r="D225" s="54" t="str">
        <f>IF(B225="","",IFERROR(INDEX('UNIVERSO MAESTRO'!$D$6:$D$497,MATCH(B225,'UNIVERSO MAESTRO'!$A$6:$A$497,0)),""))</f>
        <v>V9</v>
      </c>
      <c r="E225" s="147" t="s">
        <v>969</v>
      </c>
      <c r="F225" s="53" t="str">
        <f>IF(E225="","",IFERROR(INDEX('UNIVERSO MAESTRO'!$C$6:$C$497,MATCH(E225,'UNIVERSO MAESTRO'!$A$6:$A$497,0)),"⚠ ID no encontrado"))</f>
        <v>Liga MX</v>
      </c>
      <c r="G225" s="54" t="str">
        <f>IF(E225="","",IFERROR(INDEX('UNIVERSO MAESTRO'!$D$6:$D$497,MATCH(E225,'UNIVERSO MAESTRO'!$A$6:$A$497,0)),""))</f>
        <v>V1</v>
      </c>
      <c r="H225" s="147" t="s">
        <v>1610</v>
      </c>
      <c r="I225" s="147" t="s">
        <v>1611</v>
      </c>
      <c r="J225" s="147" t="s">
        <v>1574</v>
      </c>
      <c r="K225" s="148" t="s">
        <v>1773</v>
      </c>
      <c r="L225" s="148"/>
      <c r="M225" s="148" t="s">
        <v>1774</v>
      </c>
      <c r="N225" s="54" t="str">
        <f t="shared" si="6"/>
        <v>Sí</v>
      </c>
      <c r="O225" s="54" t="str">
        <f t="shared" si="7"/>
        <v>No</v>
      </c>
    </row>
    <row r="226" spans="1:15" ht="60" customHeight="1" x14ac:dyDescent="0.2">
      <c r="A226" s="146" t="s">
        <v>1806</v>
      </c>
      <c r="B226" s="147" t="s">
        <v>537</v>
      </c>
      <c r="C226" s="147" t="str">
        <f>IF(B226="","",IFERROR(INDEX('UNIVERSO MAESTRO'!$C$6:$C$497,MATCH(B226,'UNIVERSO MAESTRO'!$A$6:$A$497,0)),"⚠ ID no encontrado"))</f>
        <v>Endeavor / WME Group</v>
      </c>
      <c r="D226" s="54" t="str">
        <f>IF(B226="","",IFERROR(INDEX('UNIVERSO MAESTRO'!$D$6:$D$497,MATCH(B226,'UNIVERSO MAESTRO'!$A$6:$A$497,0)),""))</f>
        <v>V9</v>
      </c>
      <c r="E226" s="147" t="s">
        <v>354</v>
      </c>
      <c r="F226" s="53" t="str">
        <f>IF(E226="","",IFERROR(INDEX('UNIVERSO MAESTRO'!$C$6:$C$497,MATCH(E226,'UNIVERSO MAESTRO'!$A$6:$A$497,0)),"⚠ ID no encontrado"))</f>
        <v>Canelo Promotions / Saúl Álvarez</v>
      </c>
      <c r="G226" s="54" t="str">
        <f>IF(E226="","",IFERROR(INDEX('UNIVERSO MAESTRO'!$D$6:$D$497,MATCH(E226,'UNIVERSO MAESTRO'!$A$6:$A$497,0)),""))</f>
        <v>V1</v>
      </c>
      <c r="H226" s="147" t="s">
        <v>1605</v>
      </c>
      <c r="I226" s="147" t="s">
        <v>1611</v>
      </c>
      <c r="J226" s="147" t="s">
        <v>1574</v>
      </c>
      <c r="K226" s="148" t="s">
        <v>1807</v>
      </c>
      <c r="L226" s="148" t="s">
        <v>1808</v>
      </c>
      <c r="M226" s="148" t="s">
        <v>1809</v>
      </c>
      <c r="N226" s="54" t="str">
        <f t="shared" si="6"/>
        <v>Sí</v>
      </c>
      <c r="O226" s="54" t="str">
        <f t="shared" si="7"/>
        <v>No</v>
      </c>
    </row>
    <row r="227" spans="1:15" ht="60" customHeight="1" x14ac:dyDescent="0.2">
      <c r="A227" s="146" t="s">
        <v>1810</v>
      </c>
      <c r="B227" s="147" t="s">
        <v>537</v>
      </c>
      <c r="C227" s="147" t="str">
        <f>IF(B227="","",IFERROR(INDEX('UNIVERSO MAESTRO'!$C$6:$C$497,MATCH(B227,'UNIVERSO MAESTRO'!$A$6:$A$497,0)),"⚠ ID no encontrado"))</f>
        <v>Endeavor / WME Group</v>
      </c>
      <c r="D227" s="54" t="str">
        <f>IF(B227="","",IFERROR(INDEX('UNIVERSO MAESTRO'!$D$6:$D$497,MATCH(B227,'UNIVERSO MAESTRO'!$A$6:$A$497,0)),""))</f>
        <v>V9</v>
      </c>
      <c r="E227" s="147" t="s">
        <v>622</v>
      </c>
      <c r="F227" s="53" t="str">
        <f>IF(E227="","",IFERROR(INDEX('UNIVERSO MAESTRO'!$C$6:$C$497,MATCH(E227,'UNIVERSO MAESTRO'!$A$6:$A$497,0)),"⚠ ID no encontrado"))</f>
        <v>FEMSA / Club de Fútbol Monterrey Rayados</v>
      </c>
      <c r="G227" s="54" t="str">
        <f>IF(E227="","",IFERROR(INDEX('UNIVERSO MAESTRO'!$D$6:$D$497,MATCH(E227,'UNIVERSO MAESTRO'!$A$6:$A$497,0)),""))</f>
        <v>V9</v>
      </c>
      <c r="H227" s="147" t="s">
        <v>1736</v>
      </c>
      <c r="I227" s="147" t="s">
        <v>1579</v>
      </c>
      <c r="J227" s="147" t="s">
        <v>1574</v>
      </c>
      <c r="K227" s="148" t="s">
        <v>1811</v>
      </c>
      <c r="L227" s="148" t="s">
        <v>1812</v>
      </c>
      <c r="M227" s="148" t="s">
        <v>1813</v>
      </c>
      <c r="N227" s="54" t="str">
        <f t="shared" si="6"/>
        <v>No</v>
      </c>
      <c r="O227" s="54" t="str">
        <f t="shared" si="7"/>
        <v>Sí</v>
      </c>
    </row>
    <row r="228" spans="1:15" ht="60" customHeight="1" x14ac:dyDescent="0.2">
      <c r="A228" s="146" t="s">
        <v>1814</v>
      </c>
      <c r="B228" s="147" t="s">
        <v>537</v>
      </c>
      <c r="C228" s="147" t="str">
        <f>IF(B228="","",IFERROR(INDEX('UNIVERSO MAESTRO'!$C$6:$C$497,MATCH(B228,'UNIVERSO MAESTRO'!$A$6:$A$497,0)),"⚠ ID no encontrado"))</f>
        <v>Endeavor / WME Group</v>
      </c>
      <c r="D228" s="54" t="str">
        <f>IF(B228="","",IFERROR(INDEX('UNIVERSO MAESTRO'!$D$6:$D$497,MATCH(B228,'UNIVERSO MAESTRO'!$A$6:$A$497,0)),""))</f>
        <v>V9</v>
      </c>
      <c r="E228" s="147" t="s">
        <v>720</v>
      </c>
      <c r="F228" s="53" t="str">
        <f>IF(E228="","",IFERROR(INDEX('UNIVERSO MAESTRO'!$C$6:$C$497,MATCH(E228,'UNIVERSO MAESTRO'!$A$6:$A$497,0)),"⚠ ID no encontrado"))</f>
        <v>Grupo Avalanz / Zignia (Guillermo Salinas Pliego)</v>
      </c>
      <c r="G228" s="54" t="str">
        <f>IF(E228="","",IFERROR(INDEX('UNIVERSO MAESTRO'!$D$6:$D$497,MATCH(E228,'UNIVERSO MAESTRO'!$A$6:$A$497,0)),""))</f>
        <v>V9</v>
      </c>
      <c r="H228" s="147" t="s">
        <v>1615</v>
      </c>
      <c r="I228" s="147" t="s">
        <v>1573</v>
      </c>
      <c r="J228" s="147" t="s">
        <v>1574</v>
      </c>
      <c r="K228" s="148" t="s">
        <v>1815</v>
      </c>
      <c r="L228" s="148" t="s">
        <v>1816</v>
      </c>
      <c r="M228" s="148" t="s">
        <v>1817</v>
      </c>
      <c r="N228" s="54" t="str">
        <f t="shared" si="6"/>
        <v>No</v>
      </c>
      <c r="O228" s="54" t="str">
        <f t="shared" si="7"/>
        <v>Sí</v>
      </c>
    </row>
    <row r="229" spans="1:15" ht="60" customHeight="1" x14ac:dyDescent="0.2">
      <c r="A229" s="146" t="s">
        <v>1818</v>
      </c>
      <c r="B229" s="147" t="s">
        <v>537</v>
      </c>
      <c r="C229" s="147" t="str">
        <f>IF(B229="","",IFERROR(INDEX('UNIVERSO MAESTRO'!$C$6:$C$497,MATCH(B229,'UNIVERSO MAESTRO'!$A$6:$A$497,0)),"⚠ ID no encontrado"))</f>
        <v>Endeavor / WME Group</v>
      </c>
      <c r="D229" s="54" t="str">
        <f>IF(B229="","",IFERROR(INDEX('UNIVERSO MAESTRO'!$D$6:$D$497,MATCH(B229,'UNIVERSO MAESTRO'!$A$6:$A$497,0)),""))</f>
        <v>V9</v>
      </c>
      <c r="E229" s="147" t="s">
        <v>760</v>
      </c>
      <c r="F229" s="53" t="str">
        <f>IF(E229="","",IFERROR(INDEX('UNIVERSO MAESTRO'!$C$6:$C$497,MATCH(E229,'UNIVERSO MAESTRO'!$A$6:$A$497,0)),"⚠ ID no encontrado"))</f>
        <v>Grupo Mundomex</v>
      </c>
      <c r="G229" s="54" t="str">
        <f>IF(E229="","",IFERROR(INDEX('UNIVERSO MAESTRO'!$D$6:$D$497,MATCH(E229,'UNIVERSO MAESTRO'!$A$6:$A$497,0)),""))</f>
        <v>V5</v>
      </c>
      <c r="H229" s="147" t="s">
        <v>1620</v>
      </c>
      <c r="I229" s="147" t="s">
        <v>1579</v>
      </c>
      <c r="J229" s="147" t="s">
        <v>1574</v>
      </c>
      <c r="K229" s="148" t="s">
        <v>1819</v>
      </c>
      <c r="L229" s="148" t="s">
        <v>1820</v>
      </c>
      <c r="M229" s="148" t="s">
        <v>1821</v>
      </c>
      <c r="N229" s="54" t="str">
        <f t="shared" si="6"/>
        <v>Sí</v>
      </c>
      <c r="O229" s="54" t="str">
        <f t="shared" si="7"/>
        <v>Sí</v>
      </c>
    </row>
    <row r="230" spans="1:15" ht="60" customHeight="1" x14ac:dyDescent="0.2">
      <c r="A230" s="146" t="s">
        <v>1822</v>
      </c>
      <c r="B230" s="147" t="s">
        <v>537</v>
      </c>
      <c r="C230" s="147" t="str">
        <f>IF(B230="","",IFERROR(INDEX('UNIVERSO MAESTRO'!$C$6:$C$497,MATCH(B230,'UNIVERSO MAESTRO'!$A$6:$A$497,0)),"⚠ ID no encontrado"))</f>
        <v>Endeavor / WME Group</v>
      </c>
      <c r="D230" s="54" t="str">
        <f>IF(B230="","",IFERROR(INDEX('UNIVERSO MAESTRO'!$D$6:$D$497,MATCH(B230,'UNIVERSO MAESTRO'!$A$6:$A$497,0)),""))</f>
        <v>V9</v>
      </c>
      <c r="E230" s="147" t="s">
        <v>771</v>
      </c>
      <c r="F230" s="53" t="str">
        <f>IF(E230="","",IFERROR(INDEX('UNIVERSO MAESTRO'!$C$6:$C$497,MATCH(E230,'UNIVERSO MAESTRO'!$A$6:$A$497,0)),"⚠ ID no encontrado"))</f>
        <v>Grupo Omnilife / Amaury Vergara / Chivas</v>
      </c>
      <c r="G230" s="54" t="str">
        <f>IF(E230="","",IFERROR(INDEX('UNIVERSO MAESTRO'!$D$6:$D$497,MATCH(E230,'UNIVERSO MAESTRO'!$A$6:$A$497,0)),""))</f>
        <v>V9</v>
      </c>
      <c r="H230" s="147" t="s">
        <v>1736</v>
      </c>
      <c r="I230" s="147" t="s">
        <v>1579</v>
      </c>
      <c r="J230" s="147" t="s">
        <v>1574</v>
      </c>
      <c r="K230" s="148" t="s">
        <v>1823</v>
      </c>
      <c r="L230" s="148" t="s">
        <v>1824</v>
      </c>
      <c r="M230" s="148" t="s">
        <v>1813</v>
      </c>
      <c r="N230" s="54" t="str">
        <f t="shared" si="6"/>
        <v>No</v>
      </c>
      <c r="O230" s="54" t="str">
        <f t="shared" si="7"/>
        <v>Sí</v>
      </c>
    </row>
    <row r="231" spans="1:15" ht="60" customHeight="1" x14ac:dyDescent="0.2">
      <c r="A231" s="146" t="s">
        <v>1825</v>
      </c>
      <c r="B231" s="147" t="s">
        <v>537</v>
      </c>
      <c r="C231" s="147" t="str">
        <f>IF(B231="","",IFERROR(INDEX('UNIVERSO MAESTRO'!$C$6:$C$497,MATCH(B231,'UNIVERSO MAESTRO'!$A$6:$A$497,0)),"⚠ ID no encontrado"))</f>
        <v>Endeavor / WME Group</v>
      </c>
      <c r="D231" s="54" t="str">
        <f>IF(B231="","",IFERROR(INDEX('UNIVERSO MAESTRO'!$D$6:$D$497,MATCH(B231,'UNIVERSO MAESTRO'!$A$6:$A$497,0)),""))</f>
        <v>V9</v>
      </c>
      <c r="E231" s="147" t="s">
        <v>1149</v>
      </c>
      <c r="F231" s="53" t="str">
        <f>IF(E231="","",IFERROR(INDEX('UNIVERSO MAESTRO'!$C$6:$C$497,MATCH(E231,'UNIVERSO MAESTRO'!$A$6:$A$497,0)),"⚠ ID no encontrado"))</f>
        <v>Ollamani, S.A.B. / Grupo Águilas (Club América + Estadio Banorte)</v>
      </c>
      <c r="G231" s="54" t="str">
        <f>IF(E231="","",IFERROR(INDEX('UNIVERSO MAESTRO'!$D$6:$D$497,MATCH(E231,'UNIVERSO MAESTRO'!$A$6:$A$497,0)),""))</f>
        <v>V9</v>
      </c>
      <c r="H231" s="147" t="s">
        <v>1736</v>
      </c>
      <c r="I231" s="147" t="s">
        <v>1579</v>
      </c>
      <c r="J231" s="147" t="s">
        <v>1574</v>
      </c>
      <c r="K231" s="148" t="s">
        <v>1826</v>
      </c>
      <c r="L231" s="148" t="s">
        <v>1827</v>
      </c>
      <c r="M231" s="148" t="s">
        <v>1813</v>
      </c>
      <c r="N231" s="54" t="str">
        <f t="shared" si="6"/>
        <v>No</v>
      </c>
      <c r="O231" s="54" t="str">
        <f t="shared" si="7"/>
        <v>Sí</v>
      </c>
    </row>
    <row r="232" spans="1:15" ht="60" customHeight="1" x14ac:dyDescent="0.2">
      <c r="A232" s="146" t="s">
        <v>1842</v>
      </c>
      <c r="B232" s="147" t="s">
        <v>592</v>
      </c>
      <c r="C232" s="147" t="str">
        <f>IF(B232="","",IFERROR(INDEX('UNIVERSO MAESTRO'!$C$6:$C$497,MATCH(B232,'UNIVERSO MAESTRO'!$A$6:$A$497,0)),"⚠ ID no encontrado"))</f>
        <v>Familia Slim / Grupo Carso</v>
      </c>
      <c r="D232" s="54" t="str">
        <f>IF(B232="","",IFERROR(INDEX('UNIVERSO MAESTRO'!$D$6:$D$497,MATCH(B232,'UNIVERSO MAESTRO'!$A$6:$A$497,0)),""))</f>
        <v>V9</v>
      </c>
      <c r="E232" s="147" t="s">
        <v>1073</v>
      </c>
      <c r="F232" s="53" t="str">
        <f>IF(E232="","",IFERROR(INDEX('UNIVERSO MAESTRO'!$C$6:$C$497,MATCH(E232,'UNIVERSO MAESTRO'!$A$6:$A$497,0)),"⚠ ID no encontrado"))</f>
        <v>Mextenis S.A. de C.V. (Grupo Pegaso)</v>
      </c>
      <c r="G232" s="54" t="str">
        <f>IF(E232="","",IFERROR(INDEX('UNIVERSO MAESTRO'!$D$6:$D$497,MATCH(E232,'UNIVERSO MAESTRO'!$A$6:$A$497,0)),""))</f>
        <v>V5</v>
      </c>
      <c r="H232" s="147" t="s">
        <v>1572</v>
      </c>
      <c r="I232" s="147" t="s">
        <v>1573</v>
      </c>
      <c r="J232" s="147" t="s">
        <v>1574</v>
      </c>
      <c r="K232" s="148" t="s">
        <v>1843</v>
      </c>
      <c r="L232" s="148" t="s">
        <v>1844</v>
      </c>
      <c r="M232" s="148" t="s">
        <v>1845</v>
      </c>
      <c r="N232" s="54" t="str">
        <f t="shared" si="6"/>
        <v>Sí</v>
      </c>
      <c r="O232" s="54" t="str">
        <f t="shared" si="7"/>
        <v>Sí</v>
      </c>
    </row>
    <row r="233" spans="1:15" ht="60" customHeight="1" x14ac:dyDescent="0.2">
      <c r="A233" s="146" t="s">
        <v>1846</v>
      </c>
      <c r="B233" s="147" t="s">
        <v>592</v>
      </c>
      <c r="C233" s="147" t="str">
        <f>IF(B233="","",IFERROR(INDEX('UNIVERSO MAESTRO'!$C$6:$C$497,MATCH(B233,'UNIVERSO MAESTRO'!$A$6:$A$497,0)),"⚠ ID no encontrado"))</f>
        <v>Familia Slim / Grupo Carso</v>
      </c>
      <c r="D233" s="54" t="str">
        <f>IF(B233="","",IFERROR(INDEX('UNIVERSO MAESTRO'!$D$6:$D$497,MATCH(B233,'UNIVERSO MAESTRO'!$A$6:$A$497,0)),""))</f>
        <v>V9</v>
      </c>
      <c r="E233" s="147" t="s">
        <v>400</v>
      </c>
      <c r="F233" s="53" t="str">
        <f>IF(E233="","",IFERROR(INDEX('UNIVERSO MAESTRO'!$C$6:$C$497,MATCH(E233,'UNIVERSO MAESTRO'!$A$6:$A$497,0)),"⚠ ID no encontrado"))</f>
        <v>CIE / OCESA (V5 Experiencias)</v>
      </c>
      <c r="G233" s="54" t="str">
        <f>IF(E233="","",IFERROR(INDEX('UNIVERSO MAESTRO'!$D$6:$D$497,MATCH(E233,'UNIVERSO MAESTRO'!$A$6:$A$497,0)),""))</f>
        <v>V5</v>
      </c>
      <c r="H233" s="147" t="s">
        <v>1610</v>
      </c>
      <c r="I233" s="147" t="s">
        <v>1579</v>
      </c>
      <c r="J233" s="147" t="s">
        <v>1574</v>
      </c>
      <c r="K233" s="148" t="s">
        <v>1847</v>
      </c>
      <c r="L233" s="148" t="s">
        <v>1848</v>
      </c>
      <c r="M233" s="148" t="s">
        <v>1849</v>
      </c>
      <c r="N233" s="54" t="str">
        <f t="shared" si="6"/>
        <v>Sí</v>
      </c>
      <c r="O233" s="54" t="str">
        <f t="shared" si="7"/>
        <v>Sí</v>
      </c>
    </row>
    <row r="234" spans="1:15" ht="60" customHeight="1" x14ac:dyDescent="0.2">
      <c r="A234" s="146" t="s">
        <v>1850</v>
      </c>
      <c r="B234" s="147" t="s">
        <v>592</v>
      </c>
      <c r="C234" s="147" t="str">
        <f>IF(B234="","",IFERROR(INDEX('UNIVERSO MAESTRO'!$C$6:$C$497,MATCH(B234,'UNIVERSO MAESTRO'!$A$6:$A$497,0)),"⚠ ID no encontrado"))</f>
        <v>Familia Slim / Grupo Carso</v>
      </c>
      <c r="D234" s="54" t="str">
        <f>IF(B234="","",IFERROR(INDEX('UNIVERSO MAESTRO'!$D$6:$D$497,MATCH(B234,'UNIVERSO MAESTRO'!$A$6:$A$497,0)),""))</f>
        <v>V9</v>
      </c>
      <c r="E234" s="147" t="s">
        <v>622</v>
      </c>
      <c r="F234" s="53" t="str">
        <f>IF(E234="","",IFERROR(INDEX('UNIVERSO MAESTRO'!$C$6:$C$497,MATCH(E234,'UNIVERSO MAESTRO'!$A$6:$A$497,0)),"⚠ ID no encontrado"))</f>
        <v>FEMSA / Club de Fútbol Monterrey Rayados</v>
      </c>
      <c r="G234" s="54" t="str">
        <f>IF(E234="","",IFERROR(INDEX('UNIVERSO MAESTRO'!$D$6:$D$497,MATCH(E234,'UNIVERSO MAESTRO'!$A$6:$A$497,0)),""))</f>
        <v>V9</v>
      </c>
      <c r="H234" s="147" t="s">
        <v>1592</v>
      </c>
      <c r="I234" s="147" t="s">
        <v>1579</v>
      </c>
      <c r="J234" s="147" t="s">
        <v>1574</v>
      </c>
      <c r="K234" s="148" t="s">
        <v>1851</v>
      </c>
      <c r="L234" s="148" t="s">
        <v>1852</v>
      </c>
      <c r="M234" s="148" t="s">
        <v>1853</v>
      </c>
      <c r="N234" s="54" t="str">
        <f t="shared" si="6"/>
        <v>No</v>
      </c>
      <c r="O234" s="54" t="str">
        <f t="shared" si="7"/>
        <v>Sí</v>
      </c>
    </row>
    <row r="235" spans="1:15" ht="60" customHeight="1" x14ac:dyDescent="0.2">
      <c r="A235" s="146" t="s">
        <v>1854</v>
      </c>
      <c r="B235" s="147" t="s">
        <v>592</v>
      </c>
      <c r="C235" s="147" t="str">
        <f>IF(B235="","",IFERROR(INDEX('UNIVERSO MAESTRO'!$C$6:$C$497,MATCH(B235,'UNIVERSO MAESTRO'!$A$6:$A$497,0)),"⚠ ID no encontrado"))</f>
        <v>Familia Slim / Grupo Carso</v>
      </c>
      <c r="D235" s="54" t="str">
        <f>IF(B235="","",IFERROR(INDEX('UNIVERSO MAESTRO'!$D$6:$D$497,MATCH(B235,'UNIVERSO MAESTRO'!$A$6:$A$497,0)),""))</f>
        <v>V9</v>
      </c>
      <c r="E235" s="147" t="s">
        <v>712</v>
      </c>
      <c r="F235" s="53" t="str">
        <f>IF(E235="","",IFERROR(INDEX('UNIVERSO MAESTRO'!$C$6:$C$497,MATCH(E235,'UNIVERSO MAESTRO'!$A$6:$A$497,0)),"⚠ ID no encontrado"))</f>
        <v>Gran Premio de México — Fórmula 1</v>
      </c>
      <c r="G235" s="54" t="str">
        <f>IF(E235="","",IFERROR(INDEX('UNIVERSO MAESTRO'!$D$6:$D$497,MATCH(E235,'UNIVERSO MAESTRO'!$A$6:$A$497,0)),""))</f>
        <v>V1</v>
      </c>
      <c r="H235" s="147" t="s">
        <v>1572</v>
      </c>
      <c r="I235" s="147" t="s">
        <v>1573</v>
      </c>
      <c r="J235" s="147" t="s">
        <v>1574</v>
      </c>
      <c r="K235" s="148" t="s">
        <v>1855</v>
      </c>
      <c r="L235" s="148" t="s">
        <v>1856</v>
      </c>
      <c r="M235" s="148" t="s">
        <v>1857</v>
      </c>
      <c r="N235" s="54" t="str">
        <f t="shared" si="6"/>
        <v>Sí</v>
      </c>
      <c r="O235" s="54" t="str">
        <f t="shared" si="7"/>
        <v>Sí</v>
      </c>
    </row>
    <row r="236" spans="1:15" ht="60" customHeight="1" x14ac:dyDescent="0.2">
      <c r="A236" s="146" t="s">
        <v>1858</v>
      </c>
      <c r="B236" s="147" t="s">
        <v>592</v>
      </c>
      <c r="C236" s="147" t="str">
        <f>IF(B236="","",IFERROR(INDEX('UNIVERSO MAESTRO'!$C$6:$C$497,MATCH(B236,'UNIVERSO MAESTRO'!$A$6:$A$497,0)),"⚠ ID no encontrado"))</f>
        <v>Familia Slim / Grupo Carso</v>
      </c>
      <c r="D236" s="54" t="str">
        <f>IF(B236="","",IFERROR(INDEX('UNIVERSO MAESTRO'!$D$6:$D$497,MATCH(B236,'UNIVERSO MAESTRO'!$A$6:$A$497,0)),""))</f>
        <v>V9</v>
      </c>
      <c r="E236" s="147" t="s">
        <v>771</v>
      </c>
      <c r="F236" s="53" t="str">
        <f>IF(E236="","",IFERROR(INDEX('UNIVERSO MAESTRO'!$C$6:$C$497,MATCH(E236,'UNIVERSO MAESTRO'!$A$6:$A$497,0)),"⚠ ID no encontrado"))</f>
        <v>Grupo Omnilife / Amaury Vergara / Chivas</v>
      </c>
      <c r="G236" s="54" t="str">
        <f>IF(E236="","",IFERROR(INDEX('UNIVERSO MAESTRO'!$D$6:$D$497,MATCH(E236,'UNIVERSO MAESTRO'!$A$6:$A$497,0)),""))</f>
        <v>V9</v>
      </c>
      <c r="H236" s="147" t="s">
        <v>1592</v>
      </c>
      <c r="I236" s="147" t="s">
        <v>1579</v>
      </c>
      <c r="J236" s="147" t="s">
        <v>1574</v>
      </c>
      <c r="K236" s="148" t="s">
        <v>1859</v>
      </c>
      <c r="L236" s="148" t="s">
        <v>1860</v>
      </c>
      <c r="M236" s="148" t="s">
        <v>1853</v>
      </c>
      <c r="N236" s="54" t="str">
        <f t="shared" si="6"/>
        <v>No</v>
      </c>
      <c r="O236" s="54" t="str">
        <f t="shared" si="7"/>
        <v>Sí</v>
      </c>
    </row>
    <row r="237" spans="1:15" ht="60" customHeight="1" x14ac:dyDescent="0.2">
      <c r="A237" s="146" t="s">
        <v>1861</v>
      </c>
      <c r="B237" s="147" t="s">
        <v>592</v>
      </c>
      <c r="C237" s="147" t="str">
        <f>IF(B237="","",IFERROR(INDEX('UNIVERSO MAESTRO'!$C$6:$C$497,MATCH(B237,'UNIVERSO MAESTRO'!$A$6:$A$497,0)),"⚠ ID no encontrado"))</f>
        <v>Familia Slim / Grupo Carso</v>
      </c>
      <c r="D237" s="54" t="str">
        <f>IF(B237="","",IFERROR(INDEX('UNIVERSO MAESTRO'!$D$6:$D$497,MATCH(B237,'UNIVERSO MAESTRO'!$A$6:$A$497,0)),""))</f>
        <v>V9</v>
      </c>
      <c r="E237" s="147" t="s">
        <v>997</v>
      </c>
      <c r="F237" s="53" t="str">
        <f>IF(E237="","",IFERROR(INDEX('UNIVERSO MAESTRO'!$C$6:$C$497,MATCH(E237,'UNIVERSO MAESTRO'!$A$6:$A$497,0)),"⚠ ID no encontrado"))</f>
        <v>Maratón de la Ciudad de México Telcel</v>
      </c>
      <c r="G237" s="54" t="str">
        <f>IF(E237="","",IFERROR(INDEX('UNIVERSO MAESTRO'!$D$6:$D$497,MATCH(E237,'UNIVERSO MAESTRO'!$A$6:$A$497,0)),""))</f>
        <v>V1</v>
      </c>
      <c r="H237" s="147" t="s">
        <v>1572</v>
      </c>
      <c r="I237" s="147" t="s">
        <v>1579</v>
      </c>
      <c r="J237" s="147" t="s">
        <v>1574</v>
      </c>
      <c r="K237" s="148" t="s">
        <v>1862</v>
      </c>
      <c r="L237" s="148" t="s">
        <v>1863</v>
      </c>
      <c r="M237" s="148" t="s">
        <v>1864</v>
      </c>
      <c r="N237" s="54" t="str">
        <f t="shared" si="6"/>
        <v>Sí</v>
      </c>
      <c r="O237" s="54" t="str">
        <f t="shared" si="7"/>
        <v>Sí</v>
      </c>
    </row>
    <row r="238" spans="1:15" ht="60" customHeight="1" x14ac:dyDescent="0.2">
      <c r="A238" s="146" t="s">
        <v>1865</v>
      </c>
      <c r="B238" s="147" t="s">
        <v>592</v>
      </c>
      <c r="C238" s="147" t="str">
        <f>IF(B238="","",IFERROR(INDEX('UNIVERSO MAESTRO'!$C$6:$C$497,MATCH(B238,'UNIVERSO MAESTRO'!$A$6:$A$497,0)),"⚠ ID no encontrado"))</f>
        <v>Familia Slim / Grupo Carso</v>
      </c>
      <c r="D238" s="54" t="str">
        <f>IF(B238="","",IFERROR(INDEX('UNIVERSO MAESTRO'!$D$6:$D$497,MATCH(B238,'UNIVERSO MAESTRO'!$A$6:$A$497,0)),""))</f>
        <v>V9</v>
      </c>
      <c r="E238" s="147" t="s">
        <v>1149</v>
      </c>
      <c r="F238" s="53" t="str">
        <f>IF(E238="","",IFERROR(INDEX('UNIVERSO MAESTRO'!$C$6:$C$497,MATCH(E238,'UNIVERSO MAESTRO'!$A$6:$A$497,0)),"⚠ ID no encontrado"))</f>
        <v>Ollamani, S.A.B. / Grupo Águilas (Club América + Estadio Banorte)</v>
      </c>
      <c r="G238" s="54" t="str">
        <f>IF(E238="","",IFERROR(INDEX('UNIVERSO MAESTRO'!$D$6:$D$497,MATCH(E238,'UNIVERSO MAESTRO'!$A$6:$A$497,0)),""))</f>
        <v>V9</v>
      </c>
      <c r="H238" s="147" t="s">
        <v>1592</v>
      </c>
      <c r="I238" s="147" t="s">
        <v>1579</v>
      </c>
      <c r="J238" s="147" t="s">
        <v>1574</v>
      </c>
      <c r="K238" s="148" t="s">
        <v>1866</v>
      </c>
      <c r="L238" s="148" t="s">
        <v>1867</v>
      </c>
      <c r="M238" s="148" t="s">
        <v>1853</v>
      </c>
      <c r="N238" s="54" t="str">
        <f t="shared" si="6"/>
        <v>No</v>
      </c>
      <c r="O238" s="54" t="str">
        <f t="shared" si="7"/>
        <v>Sí</v>
      </c>
    </row>
    <row r="239" spans="1:15" ht="60" customHeight="1" x14ac:dyDescent="0.2">
      <c r="A239" s="146" t="s">
        <v>1895</v>
      </c>
      <c r="B239" s="147" t="s">
        <v>640</v>
      </c>
      <c r="C239" s="147" t="str">
        <f>IF(B239="","",IFERROR(INDEX('UNIVERSO MAESTRO'!$C$6:$C$497,MATCH(B239,'UNIVERSO MAESTRO'!$A$6:$A$497,0)),"⚠ ID no encontrado"))</f>
        <v>Fillip Holdings</v>
      </c>
      <c r="D239" s="54" t="str">
        <f>IF(B239="","",IFERROR(INDEX('UNIVERSO MAESTRO'!$D$6:$D$497,MATCH(B239,'UNIVERSO MAESTRO'!$A$6:$A$497,0)),""))</f>
        <v>V9</v>
      </c>
      <c r="E239" s="147" t="s">
        <v>537</v>
      </c>
      <c r="F239" s="53" t="str">
        <f>IF(E239="","",IFERROR(INDEX('UNIVERSO MAESTRO'!$C$6:$C$497,MATCH(E239,'UNIVERSO MAESTRO'!$A$6:$A$497,0)),"⚠ ID no encontrado"))</f>
        <v>Endeavor / WME Group</v>
      </c>
      <c r="G239" s="54" t="str">
        <f>IF(E239="","",IFERROR(INDEX('UNIVERSO MAESTRO'!$D$6:$D$497,MATCH(E239,'UNIVERSO MAESTRO'!$A$6:$A$497,0)),""))</f>
        <v>V9</v>
      </c>
      <c r="H239" s="147" t="s">
        <v>1610</v>
      </c>
      <c r="I239" s="147" t="s">
        <v>1573</v>
      </c>
      <c r="J239" s="147" t="s">
        <v>1574</v>
      </c>
      <c r="K239" s="148" t="s">
        <v>1896</v>
      </c>
      <c r="L239" s="148" t="s">
        <v>1897</v>
      </c>
      <c r="M239" s="148" t="s">
        <v>1898</v>
      </c>
      <c r="N239" s="54" t="str">
        <f t="shared" si="6"/>
        <v>No</v>
      </c>
      <c r="O239" s="54" t="str">
        <f t="shared" si="7"/>
        <v>Sí</v>
      </c>
    </row>
    <row r="240" spans="1:15" ht="60" customHeight="1" x14ac:dyDescent="0.2">
      <c r="A240" s="146" t="s">
        <v>1928</v>
      </c>
      <c r="B240" s="147" t="s">
        <v>671</v>
      </c>
      <c r="C240" s="147" t="str">
        <f>IF(B240="","",IFERROR(INDEX('UNIVERSO MAESTRO'!$C$6:$C$497,MATCH(B240,'UNIVERSO MAESTRO'!$A$6:$A$497,0)),"⚠ ID no encontrado"))</f>
        <v>General Atlantic</v>
      </c>
      <c r="D240" s="54" t="str">
        <f>IF(B240="","",IFERROR(INDEX('UNIVERSO MAESTRO'!$D$6:$D$497,MATCH(B240,'UNIVERSO MAESTRO'!$A$6:$A$497,0)),""))</f>
        <v>V9</v>
      </c>
      <c r="E240" s="147" t="s">
        <v>920</v>
      </c>
      <c r="F240" s="53" t="str">
        <f>IF(E240="","",IFERROR(INDEX('UNIVERSO MAESTRO'!$C$6:$C$497,MATCH(E240,'UNIVERSO MAESTRO'!$A$6:$A$497,0)),"⚠ ID no encontrado"))</f>
        <v>KAGR (Kraft Analytics Group)</v>
      </c>
      <c r="G240" s="54" t="str">
        <f>IF(E240="","",IFERROR(INDEX('UNIVERSO MAESTRO'!$D$6:$D$497,MATCH(E240,'UNIVERSO MAESTRO'!$A$6:$A$497,0)),""))</f>
        <v>V8</v>
      </c>
      <c r="H240" s="147" t="s">
        <v>1592</v>
      </c>
      <c r="I240" s="147" t="s">
        <v>1573</v>
      </c>
      <c r="J240" s="147" t="s">
        <v>1574</v>
      </c>
      <c r="K240" s="148" t="s">
        <v>1929</v>
      </c>
      <c r="L240" s="148" t="s">
        <v>1930</v>
      </c>
      <c r="M240" s="148" t="s">
        <v>1931</v>
      </c>
      <c r="N240" s="54" t="str">
        <f t="shared" si="6"/>
        <v>Sí</v>
      </c>
      <c r="O240" s="54" t="str">
        <f t="shared" si="7"/>
        <v>Sí</v>
      </c>
    </row>
    <row r="241" spans="1:15" ht="60" customHeight="1" x14ac:dyDescent="0.2">
      <c r="A241" s="146" t="s">
        <v>1932</v>
      </c>
      <c r="B241" s="147" t="s">
        <v>671</v>
      </c>
      <c r="C241" s="147" t="str">
        <f>IF(B241="","",IFERROR(INDEX('UNIVERSO MAESTRO'!$C$6:$C$497,MATCH(B241,'UNIVERSO MAESTRO'!$A$6:$A$497,0)),"⚠ ID no encontrado"))</f>
        <v>General Atlantic</v>
      </c>
      <c r="D241" s="54" t="str">
        <f>IF(B241="","",IFERROR(INDEX('UNIVERSO MAESTRO'!$D$6:$D$497,MATCH(B241,'UNIVERSO MAESTRO'!$A$6:$A$497,0)),""))</f>
        <v>V9</v>
      </c>
      <c r="E241" s="147" t="s">
        <v>1149</v>
      </c>
      <c r="F241" s="53" t="str">
        <f>IF(E241="","",IFERROR(INDEX('UNIVERSO MAESTRO'!$C$6:$C$497,MATCH(E241,'UNIVERSO MAESTRO'!$A$6:$A$497,0)),"⚠ ID no encontrado"))</f>
        <v>Ollamani, S.A.B. / Grupo Águilas (Club América + Estadio Banorte)</v>
      </c>
      <c r="G241" s="54" t="str">
        <f>IF(E241="","",IFERROR(INDEX('UNIVERSO MAESTRO'!$D$6:$D$497,MATCH(E241,'UNIVERSO MAESTRO'!$A$6:$A$497,0)),""))</f>
        <v>V9</v>
      </c>
      <c r="H241" s="147" t="s">
        <v>1610</v>
      </c>
      <c r="I241" s="147" t="s">
        <v>1579</v>
      </c>
      <c r="J241" s="147" t="s">
        <v>1574</v>
      </c>
      <c r="K241" s="148" t="s">
        <v>1933</v>
      </c>
      <c r="L241" s="148" t="s">
        <v>1934</v>
      </c>
      <c r="M241" s="148" t="s">
        <v>1935</v>
      </c>
      <c r="N241" s="54" t="str">
        <f t="shared" si="6"/>
        <v>No</v>
      </c>
      <c r="O241" s="54" t="str">
        <f t="shared" si="7"/>
        <v>Sí</v>
      </c>
    </row>
    <row r="242" spans="1:15" ht="60" customHeight="1" x14ac:dyDescent="0.2">
      <c r="A242" s="146" t="s">
        <v>1968</v>
      </c>
      <c r="B242" s="147" t="s">
        <v>739</v>
      </c>
      <c r="C242" s="147" t="str">
        <f>IF(B242="","",IFERROR(INDEX('UNIVERSO MAESTRO'!$C$6:$C$497,MATCH(B242,'UNIVERSO MAESTRO'!$A$6:$A$497,0)),"⚠ ID no encontrado"))</f>
        <v>Grupo Caliente / Corporación Caliente, S.A. de C.V.</v>
      </c>
      <c r="D242" s="54" t="str">
        <f>IF(B242="","",IFERROR(INDEX('UNIVERSO MAESTRO'!$D$6:$D$497,MATCH(B242,'UNIVERSO MAESTRO'!$A$6:$A$497,0)),""))</f>
        <v>V9</v>
      </c>
      <c r="E242" s="147" t="s">
        <v>244</v>
      </c>
      <c r="F242" s="53" t="str">
        <f>IF(E242="","",IFERROR(INDEX('UNIVERSO MAESTRO'!$C$6:$C$497,MATCH(E242,'UNIVERSO MAESTRO'!$A$6:$A$497,0)),"⚠ ID no encontrado"))</f>
        <v>Apollo Sports Capital</v>
      </c>
      <c r="G242" s="54" t="str">
        <f>IF(E242="","",IFERROR(INDEX('UNIVERSO MAESTRO'!$D$6:$D$497,MATCH(E242,'UNIVERSO MAESTRO'!$A$6:$A$497,0)),""))</f>
        <v>V9</v>
      </c>
      <c r="H242" s="147" t="s">
        <v>1572</v>
      </c>
      <c r="I242" s="147" t="s">
        <v>1611</v>
      </c>
      <c r="J242" s="147" t="s">
        <v>1574</v>
      </c>
      <c r="K242" s="148" t="s">
        <v>1969</v>
      </c>
      <c r="L242" s="148"/>
      <c r="M242" s="148" t="s">
        <v>977</v>
      </c>
      <c r="N242" s="54" t="str">
        <f t="shared" si="6"/>
        <v>No</v>
      </c>
      <c r="O242" s="54" t="str">
        <f t="shared" si="7"/>
        <v>No</v>
      </c>
    </row>
    <row r="243" spans="1:15" ht="60" customHeight="1" x14ac:dyDescent="0.2">
      <c r="A243" s="146" t="s">
        <v>1970</v>
      </c>
      <c r="B243" s="147" t="s">
        <v>739</v>
      </c>
      <c r="C243" s="147" t="str">
        <f>IF(B243="","",IFERROR(INDEX('UNIVERSO MAESTRO'!$C$6:$C$497,MATCH(B243,'UNIVERSO MAESTRO'!$A$6:$A$497,0)),"⚠ ID no encontrado"))</f>
        <v>Grupo Caliente / Corporación Caliente, S.A. de C.V.</v>
      </c>
      <c r="D243" s="54" t="str">
        <f>IF(B243="","",IFERROR(INDEX('UNIVERSO MAESTRO'!$D$6:$D$497,MATCH(B243,'UNIVERSO MAESTRO'!$A$6:$A$497,0)),""))</f>
        <v>V9</v>
      </c>
      <c r="E243" s="147" t="s">
        <v>413</v>
      </c>
      <c r="F243" s="53" t="str">
        <f>IF(E243="","",IFERROR(INDEX('UNIVERSO MAESTRO'!$C$6:$C$497,MATCH(E243,'UNIVERSO MAESTRO'!$A$6:$A$497,0)),"⚠ ID no encontrado"))</f>
        <v>Club Necaxa</v>
      </c>
      <c r="G243" s="54" t="str">
        <f>IF(E243="","",IFERROR(INDEX('UNIVERSO MAESTRO'!$D$6:$D$497,MATCH(E243,'UNIVERSO MAESTRO'!$A$6:$A$497,0)),""))</f>
        <v>V1</v>
      </c>
      <c r="H243" s="147" t="s">
        <v>1572</v>
      </c>
      <c r="I243" s="147" t="s">
        <v>1611</v>
      </c>
      <c r="J243" s="147" t="s">
        <v>1574</v>
      </c>
      <c r="K243" s="148" t="s">
        <v>1971</v>
      </c>
      <c r="L243" s="148"/>
      <c r="M243" s="148" t="s">
        <v>1972</v>
      </c>
      <c r="N243" s="54" t="str">
        <f t="shared" si="6"/>
        <v>Sí</v>
      </c>
      <c r="O243" s="54" t="str">
        <f t="shared" si="7"/>
        <v>No</v>
      </c>
    </row>
    <row r="244" spans="1:15" ht="60" customHeight="1" x14ac:dyDescent="0.2">
      <c r="A244" s="146" t="s">
        <v>1973</v>
      </c>
      <c r="B244" s="147" t="s">
        <v>739</v>
      </c>
      <c r="C244" s="147" t="str">
        <f>IF(B244="","",IFERROR(INDEX('UNIVERSO MAESTRO'!$C$6:$C$497,MATCH(B244,'UNIVERSO MAESTRO'!$A$6:$A$497,0)),"⚠ ID no encontrado"))</f>
        <v>Grupo Caliente / Corporación Caliente, S.A. de C.V.</v>
      </c>
      <c r="D244" s="54" t="str">
        <f>IF(B244="","",IFERROR(INDEX('UNIVERSO MAESTRO'!$D$6:$D$497,MATCH(B244,'UNIVERSO MAESTRO'!$A$6:$A$497,0)),""))</f>
        <v>V9</v>
      </c>
      <c r="E244" s="147" t="s">
        <v>424</v>
      </c>
      <c r="F244" s="53" t="str">
        <f>IF(E244="","",IFERROR(INDEX('UNIVERSO MAESTRO'!$C$6:$C$497,MATCH(E244,'UNIVERSO MAESTRO'!$A$6:$A$497,0)),"⚠ ID no encontrado"))</f>
        <v>Club Toluca</v>
      </c>
      <c r="G244" s="54" t="str">
        <f>IF(E244="","",IFERROR(INDEX('UNIVERSO MAESTRO'!$D$6:$D$497,MATCH(E244,'UNIVERSO MAESTRO'!$A$6:$A$497,0)),""))</f>
        <v>V1</v>
      </c>
      <c r="H244" s="147" t="s">
        <v>1572</v>
      </c>
      <c r="I244" s="147" t="s">
        <v>1579</v>
      </c>
      <c r="J244" s="147" t="s">
        <v>1574</v>
      </c>
      <c r="K244" s="148" t="s">
        <v>1974</v>
      </c>
      <c r="L244" s="148" t="s">
        <v>1975</v>
      </c>
      <c r="M244" s="148" t="s">
        <v>1976</v>
      </c>
      <c r="N244" s="54" t="str">
        <f t="shared" si="6"/>
        <v>Sí</v>
      </c>
      <c r="O244" s="54" t="str">
        <f t="shared" si="7"/>
        <v>Sí</v>
      </c>
    </row>
    <row r="245" spans="1:15" ht="60" customHeight="1" x14ac:dyDescent="0.2">
      <c r="A245" s="146" t="s">
        <v>1977</v>
      </c>
      <c r="B245" s="147" t="s">
        <v>739</v>
      </c>
      <c r="C245" s="147" t="str">
        <f>IF(B245="","",IFERROR(INDEX('UNIVERSO MAESTRO'!$C$6:$C$497,MATCH(B245,'UNIVERSO MAESTRO'!$A$6:$A$497,0)),"⚠ ID no encontrado"))</f>
        <v>Grupo Caliente / Corporación Caliente, S.A. de C.V.</v>
      </c>
      <c r="D245" s="54" t="str">
        <f>IF(B245="","",IFERROR(INDEX('UNIVERSO MAESTRO'!$D$6:$D$497,MATCH(B245,'UNIVERSO MAESTRO'!$A$6:$A$497,0)),""))</f>
        <v>V9</v>
      </c>
      <c r="E245" s="147" t="s">
        <v>489</v>
      </c>
      <c r="F245" s="53" t="str">
        <f>IF(E245="","",IFERROR(INDEX('UNIVERSO MAESTRO'!$C$6:$C$497,MATCH(E245,'UNIVERSO MAESTRO'!$A$6:$A$497,0)),"⚠ ID no encontrado"))</f>
        <v>Cruz Azul FC</v>
      </c>
      <c r="G245" s="54" t="str">
        <f>IF(E245="","",IFERROR(INDEX('UNIVERSO MAESTRO'!$D$6:$D$497,MATCH(E245,'UNIVERSO MAESTRO'!$A$6:$A$497,0)),""))</f>
        <v>V1</v>
      </c>
      <c r="H245" s="147" t="s">
        <v>1572</v>
      </c>
      <c r="I245" s="147" t="s">
        <v>1573</v>
      </c>
      <c r="J245" s="147" t="s">
        <v>1574</v>
      </c>
      <c r="K245" s="148" t="s">
        <v>1978</v>
      </c>
      <c r="L245" s="148"/>
      <c r="M245" s="148" t="s">
        <v>1976</v>
      </c>
      <c r="N245" s="54" t="str">
        <f t="shared" si="6"/>
        <v>Sí</v>
      </c>
      <c r="O245" s="54" t="str">
        <f t="shared" si="7"/>
        <v>Sí</v>
      </c>
    </row>
    <row r="246" spans="1:15" ht="60" customHeight="1" x14ac:dyDescent="0.2">
      <c r="A246" s="146" t="s">
        <v>1979</v>
      </c>
      <c r="B246" s="147" t="s">
        <v>739</v>
      </c>
      <c r="C246" s="147" t="str">
        <f>IF(B246="","",IFERROR(INDEX('UNIVERSO MAESTRO'!$C$6:$C$497,MATCH(B246,'UNIVERSO MAESTRO'!$A$6:$A$497,0)),"⚠ ID no encontrado"))</f>
        <v>Grupo Caliente / Corporación Caliente, S.A. de C.V.</v>
      </c>
      <c r="D246" s="54" t="str">
        <f>IF(B246="","",IFERROR(INDEX('UNIVERSO MAESTRO'!$D$6:$D$497,MATCH(B246,'UNIVERSO MAESTRO'!$A$6:$A$497,0)),""))</f>
        <v>V9</v>
      </c>
      <c r="E246" s="147" t="s">
        <v>513</v>
      </c>
      <c r="F246" s="53" t="str">
        <f>IF(E246="","",IFERROR(INDEX('UNIVERSO MAESTRO'!$C$6:$C$497,MATCH(E246,'UNIVERSO MAESTRO'!$A$6:$A$497,0)),"⚠ ID no encontrado"))</f>
        <v>Draftea</v>
      </c>
      <c r="G246" s="54" t="str">
        <f>IF(E246="","",IFERROR(INDEX('UNIVERSO MAESTRO'!$D$6:$D$497,MATCH(E246,'UNIVERSO MAESTRO'!$A$6:$A$497,0)),""))</f>
        <v>V8</v>
      </c>
      <c r="H246" s="147" t="s">
        <v>1592</v>
      </c>
      <c r="I246" s="147" t="s">
        <v>1573</v>
      </c>
      <c r="J246" s="147" t="s">
        <v>1574</v>
      </c>
      <c r="K246" s="148" t="s">
        <v>1980</v>
      </c>
      <c r="L246" s="148"/>
      <c r="M246" s="148" t="s">
        <v>1981</v>
      </c>
      <c r="N246" s="54" t="str">
        <f t="shared" si="6"/>
        <v>Sí</v>
      </c>
      <c r="O246" s="54" t="str">
        <f t="shared" si="7"/>
        <v>Sí</v>
      </c>
    </row>
    <row r="247" spans="1:15" ht="30" customHeight="1" x14ac:dyDescent="0.2">
      <c r="A247" s="146" t="s">
        <v>1982</v>
      </c>
      <c r="B247" s="147" t="s">
        <v>739</v>
      </c>
      <c r="C247" s="147" t="str">
        <f>IF(B247="","",IFERROR(INDEX('UNIVERSO MAESTRO'!$C$6:$C$497,MATCH(B247,'UNIVERSO MAESTRO'!$A$6:$A$497,0)),"⚠ ID no encontrado"))</f>
        <v>Grupo Caliente / Corporación Caliente, S.A. de C.V.</v>
      </c>
      <c r="D247" s="54" t="str">
        <f>IF(B247="","",IFERROR(INDEX('UNIVERSO MAESTRO'!$D$6:$D$497,MATCH(B247,'UNIVERSO MAESTRO'!$A$6:$A$497,0)),""))</f>
        <v>V9</v>
      </c>
      <c r="E247" s="147" t="s">
        <v>781</v>
      </c>
      <c r="F247" s="53" t="str">
        <f>IF(E247="","",IFERROR(INDEX('UNIVERSO MAESTRO'!$C$6:$C$497,MATCH(E247,'UNIVERSO MAESTRO'!$A$6:$A$497,0)),"⚠ ID no encontrado"))</f>
        <v>Grupo Orlegi</v>
      </c>
      <c r="G247" s="54" t="str">
        <f>IF(E247="","",IFERROR(INDEX('UNIVERSO MAESTRO'!$D$6:$D$497,MATCH(E247,'UNIVERSO MAESTRO'!$A$6:$A$497,0)),""))</f>
        <v>V9</v>
      </c>
      <c r="H247" s="147" t="s">
        <v>1572</v>
      </c>
      <c r="I247" s="147" t="s">
        <v>1573</v>
      </c>
      <c r="J247" s="147" t="s">
        <v>1574</v>
      </c>
      <c r="K247" s="148" t="s">
        <v>1983</v>
      </c>
      <c r="L247" s="148"/>
      <c r="M247" s="148" t="s">
        <v>1984</v>
      </c>
      <c r="N247" s="54" t="str">
        <f t="shared" si="6"/>
        <v>No</v>
      </c>
      <c r="O247" s="54" t="str">
        <f t="shared" si="7"/>
        <v>Sí</v>
      </c>
    </row>
    <row r="248" spans="1:15" ht="30" customHeight="1" x14ac:dyDescent="0.2">
      <c r="A248" s="146" t="s">
        <v>1985</v>
      </c>
      <c r="B248" s="147" t="s">
        <v>739</v>
      </c>
      <c r="C248" s="147" t="str">
        <f>IF(B248="","",IFERROR(INDEX('UNIVERSO MAESTRO'!$C$6:$C$497,MATCH(B248,'UNIVERSO MAESTRO'!$A$6:$A$497,0)),"⚠ ID no encontrado"))</f>
        <v>Grupo Caliente / Corporación Caliente, S.A. de C.V.</v>
      </c>
      <c r="D248" s="54" t="str">
        <f>IF(B248="","",IFERROR(INDEX('UNIVERSO MAESTRO'!$D$6:$D$497,MATCH(B248,'UNIVERSO MAESTRO'!$A$6:$A$497,0)),""))</f>
        <v>V9</v>
      </c>
      <c r="E248" s="147" t="s">
        <v>793</v>
      </c>
      <c r="F248" s="53" t="str">
        <f>IF(E248="","",IFERROR(INDEX('UNIVERSO MAESTRO'!$C$6:$C$497,MATCH(E248,'UNIVERSO MAESTRO'!$A$6:$A$497,0)),"⚠ ID no encontrado"))</f>
        <v>Grupo Pachuca</v>
      </c>
      <c r="G248" s="54" t="str">
        <f>IF(E248="","",IFERROR(INDEX('UNIVERSO MAESTRO'!$D$6:$D$497,MATCH(E248,'UNIVERSO MAESTRO'!$A$6:$A$497,0)),""))</f>
        <v>V9</v>
      </c>
      <c r="H248" s="147" t="s">
        <v>1572</v>
      </c>
      <c r="I248" s="147" t="s">
        <v>1573</v>
      </c>
      <c r="J248" s="147" t="s">
        <v>1574</v>
      </c>
      <c r="K248" s="148" t="s">
        <v>1986</v>
      </c>
      <c r="L248" s="148"/>
      <c r="M248" s="148" t="s">
        <v>977</v>
      </c>
      <c r="N248" s="54" t="str">
        <f t="shared" si="6"/>
        <v>No</v>
      </c>
      <c r="O248" s="54" t="str">
        <f t="shared" si="7"/>
        <v>Sí</v>
      </c>
    </row>
    <row r="249" spans="1:15" ht="30" customHeight="1" x14ac:dyDescent="0.2">
      <c r="A249" s="146" t="s">
        <v>1987</v>
      </c>
      <c r="B249" s="147" t="s">
        <v>739</v>
      </c>
      <c r="C249" s="147" t="str">
        <f>IF(B249="","",IFERROR(INDEX('UNIVERSO MAESTRO'!$C$6:$C$497,MATCH(B249,'UNIVERSO MAESTRO'!$A$6:$A$497,0)),"⚠ ID no encontrado"))</f>
        <v>Grupo Caliente / Corporación Caliente, S.A. de C.V.</v>
      </c>
      <c r="D249" s="54" t="str">
        <f>IF(B249="","",IFERROR(INDEX('UNIVERSO MAESTRO'!$D$6:$D$497,MATCH(B249,'UNIVERSO MAESTRO'!$A$6:$A$497,0)),""))</f>
        <v>V9</v>
      </c>
      <c r="E249" s="147" t="s">
        <v>803</v>
      </c>
      <c r="F249" s="53" t="str">
        <f>IF(E249="","",IFERROR(INDEX('UNIVERSO MAESTRO'!$C$6:$C$497,MATCH(E249,'UNIVERSO MAESTRO'!$A$6:$A$497,0)),"⚠ ID no encontrado"))</f>
        <v>Grupo PRODI / José Miguel Bejos</v>
      </c>
      <c r="G249" s="54" t="str">
        <f>IF(E249="","",IFERROR(INDEX('UNIVERSO MAESTRO'!$D$6:$D$497,MATCH(E249,'UNIVERSO MAESTRO'!$A$6:$A$497,0)),""))</f>
        <v>V9</v>
      </c>
      <c r="H249" s="147" t="s">
        <v>1572</v>
      </c>
      <c r="I249" s="147" t="s">
        <v>1573</v>
      </c>
      <c r="J249" s="147" t="s">
        <v>1574</v>
      </c>
      <c r="K249" s="148" t="s">
        <v>1988</v>
      </c>
      <c r="L249" s="148"/>
      <c r="M249" s="148" t="s">
        <v>1989</v>
      </c>
      <c r="N249" s="54" t="str">
        <f t="shared" si="6"/>
        <v>No</v>
      </c>
      <c r="O249" s="54" t="str">
        <f t="shared" si="7"/>
        <v>Sí</v>
      </c>
    </row>
    <row r="250" spans="1:15" ht="30" customHeight="1" x14ac:dyDescent="0.2">
      <c r="A250" s="146" t="s">
        <v>1990</v>
      </c>
      <c r="B250" s="147" t="s">
        <v>739</v>
      </c>
      <c r="C250" s="147" t="str">
        <f>IF(B250="","",IFERROR(INDEX('UNIVERSO MAESTRO'!$C$6:$C$497,MATCH(B250,'UNIVERSO MAESTRO'!$A$6:$A$497,0)),"⚠ ID no encontrado"))</f>
        <v>Grupo Caliente / Corporación Caliente, S.A. de C.V.</v>
      </c>
      <c r="D250" s="54" t="str">
        <f>IF(B250="","",IFERROR(INDEX('UNIVERSO MAESTRO'!$D$6:$D$497,MATCH(B250,'UNIVERSO MAESTRO'!$A$6:$A$497,0)),""))</f>
        <v>V9</v>
      </c>
      <c r="E250" s="147" t="s">
        <v>811</v>
      </c>
      <c r="F250" s="53" t="str">
        <f>IF(E250="","",IFERROR(INDEX('UNIVERSO MAESTRO'!$C$6:$C$497,MATCH(E250,'UNIVERSO MAESTRO'!$A$6:$A$497,0)),"⚠ ID no encontrado"))</f>
        <v>Grupo Salinas / TV Azteca</v>
      </c>
      <c r="G250" s="54" t="str">
        <f>IF(E250="","",IFERROR(INDEX('UNIVERSO MAESTRO'!$D$6:$D$497,MATCH(E250,'UNIVERSO MAESTRO'!$A$6:$A$497,0)),""))</f>
        <v>V9</v>
      </c>
      <c r="H250" s="147" t="s">
        <v>1572</v>
      </c>
      <c r="I250" s="147" t="s">
        <v>1611</v>
      </c>
      <c r="J250" s="147" t="s">
        <v>1574</v>
      </c>
      <c r="K250" s="148" t="s">
        <v>1991</v>
      </c>
      <c r="L250" s="148"/>
      <c r="M250" s="148" t="s">
        <v>977</v>
      </c>
      <c r="N250" s="54" t="str">
        <f t="shared" si="6"/>
        <v>No</v>
      </c>
      <c r="O250" s="54" t="str">
        <f t="shared" si="7"/>
        <v>No</v>
      </c>
    </row>
    <row r="251" spans="1:15" ht="30" customHeight="1" x14ac:dyDescent="0.2">
      <c r="A251" s="146" t="s">
        <v>1992</v>
      </c>
      <c r="B251" s="147" t="s">
        <v>739</v>
      </c>
      <c r="C251" s="147" t="str">
        <f>IF(B251="","",IFERROR(INDEX('UNIVERSO MAESTRO'!$C$6:$C$497,MATCH(B251,'UNIVERSO MAESTRO'!$A$6:$A$497,0)),"⚠ ID no encontrado"))</f>
        <v>Grupo Caliente / Corporación Caliente, S.A. de C.V.</v>
      </c>
      <c r="D251" s="54" t="str">
        <f>IF(B251="","",IFERROR(INDEX('UNIVERSO MAESTRO'!$D$6:$D$497,MATCH(B251,'UNIVERSO MAESTRO'!$A$6:$A$497,0)),""))</f>
        <v>V9</v>
      </c>
      <c r="E251" s="147" t="s">
        <v>902</v>
      </c>
      <c r="F251" s="53" t="str">
        <f>IF(E251="","",IFERROR(INDEX('UNIVERSO MAESTRO'!$C$6:$C$497,MATCH(E251,'UNIVERSO MAESTRO'!$A$6:$A$497,0)),"⚠ ID no encontrado"))</f>
        <v>Innovatio Capital / Club Querétaro</v>
      </c>
      <c r="G251" s="54" t="str">
        <f>IF(E251="","",IFERROR(INDEX('UNIVERSO MAESTRO'!$D$6:$D$497,MATCH(E251,'UNIVERSO MAESTRO'!$A$6:$A$497,0)),""))</f>
        <v>V9</v>
      </c>
      <c r="H251" s="147" t="s">
        <v>1572</v>
      </c>
      <c r="I251" s="147" t="s">
        <v>1611</v>
      </c>
      <c r="J251" s="147" t="s">
        <v>1574</v>
      </c>
      <c r="K251" s="148" t="s">
        <v>1993</v>
      </c>
      <c r="L251" s="148"/>
      <c r="M251" s="148" t="s">
        <v>977</v>
      </c>
      <c r="N251" s="54" t="str">
        <f t="shared" si="6"/>
        <v>No</v>
      </c>
      <c r="O251" s="54" t="str">
        <f t="shared" si="7"/>
        <v>No</v>
      </c>
    </row>
    <row r="252" spans="1:15" ht="30" customHeight="1" x14ac:dyDescent="0.2">
      <c r="A252" s="146" t="s">
        <v>1994</v>
      </c>
      <c r="B252" s="147" t="s">
        <v>739</v>
      </c>
      <c r="C252" s="147" t="str">
        <f>IF(B252="","",IFERROR(INDEX('UNIVERSO MAESTRO'!$C$6:$C$497,MATCH(B252,'UNIVERSO MAESTRO'!$A$6:$A$497,0)),"⚠ ID no encontrado"))</f>
        <v>Grupo Caliente / Corporación Caliente, S.A. de C.V.</v>
      </c>
      <c r="D252" s="54" t="str">
        <f>IF(B252="","",IFERROR(INDEX('UNIVERSO MAESTRO'!$D$6:$D$497,MATCH(B252,'UNIVERSO MAESTRO'!$A$6:$A$497,0)),""))</f>
        <v>V9</v>
      </c>
      <c r="E252" s="147" t="s">
        <v>969</v>
      </c>
      <c r="F252" s="53" t="str">
        <f>IF(E252="","",IFERROR(INDEX('UNIVERSO MAESTRO'!$C$6:$C$497,MATCH(E252,'UNIVERSO MAESTRO'!$A$6:$A$497,0)),"⚠ ID no encontrado"))</f>
        <v>Liga MX</v>
      </c>
      <c r="G252" s="54" t="str">
        <f>IF(E252="","",IFERROR(INDEX('UNIVERSO MAESTRO'!$D$6:$D$497,MATCH(E252,'UNIVERSO MAESTRO'!$A$6:$A$497,0)),""))</f>
        <v>V1</v>
      </c>
      <c r="H252" s="147" t="s">
        <v>1572</v>
      </c>
      <c r="I252" s="147" t="s">
        <v>1579</v>
      </c>
      <c r="J252" s="147" t="s">
        <v>1574</v>
      </c>
      <c r="K252" s="148" t="s">
        <v>1995</v>
      </c>
      <c r="L252" s="148" t="s">
        <v>1996</v>
      </c>
      <c r="M252" s="148" t="s">
        <v>1997</v>
      </c>
      <c r="N252" s="54" t="str">
        <f t="shared" si="6"/>
        <v>Sí</v>
      </c>
      <c r="O252" s="54" t="str">
        <f t="shared" si="7"/>
        <v>Sí</v>
      </c>
    </row>
    <row r="253" spans="1:15" ht="30" customHeight="1" x14ac:dyDescent="0.2">
      <c r="A253" s="146" t="s">
        <v>1998</v>
      </c>
      <c r="B253" s="147" t="s">
        <v>739</v>
      </c>
      <c r="C253" s="147" t="str">
        <f>IF(B253="","",IFERROR(INDEX('UNIVERSO MAESTRO'!$C$6:$C$497,MATCH(B253,'UNIVERSO MAESTRO'!$A$6:$A$497,0)),"⚠ ID no encontrado"))</f>
        <v>Grupo Caliente / Corporación Caliente, S.A. de C.V.</v>
      </c>
      <c r="D253" s="54" t="str">
        <f>IF(B253="","",IFERROR(INDEX('UNIVERSO MAESTRO'!$D$6:$D$497,MATCH(B253,'UNIVERSO MAESTRO'!$A$6:$A$497,0)),""))</f>
        <v>V9</v>
      </c>
      <c r="E253" s="147" t="s">
        <v>1149</v>
      </c>
      <c r="F253" s="53" t="str">
        <f>IF(E253="","",IFERROR(INDEX('UNIVERSO MAESTRO'!$C$6:$C$497,MATCH(E253,'UNIVERSO MAESTRO'!$A$6:$A$497,0)),"⚠ ID no encontrado"))</f>
        <v>Ollamani, S.A.B. / Grupo Águilas (Club América + Estadio Banorte)</v>
      </c>
      <c r="G253" s="54" t="str">
        <f>IF(E253="","",IFERROR(INDEX('UNIVERSO MAESTRO'!$D$6:$D$497,MATCH(E253,'UNIVERSO MAESTRO'!$A$6:$A$497,0)),""))</f>
        <v>V9</v>
      </c>
      <c r="H253" s="147" t="s">
        <v>1572</v>
      </c>
      <c r="I253" s="147" t="s">
        <v>1579</v>
      </c>
      <c r="J253" s="147" t="s">
        <v>1574</v>
      </c>
      <c r="K253" s="148" t="s">
        <v>1999</v>
      </c>
      <c r="L253" s="148" t="s">
        <v>2000</v>
      </c>
      <c r="M253" s="148" t="s">
        <v>2001</v>
      </c>
      <c r="N253" s="54" t="str">
        <f t="shared" si="6"/>
        <v>No</v>
      </c>
      <c r="O253" s="54" t="str">
        <f t="shared" si="7"/>
        <v>Sí</v>
      </c>
    </row>
    <row r="254" spans="1:15" ht="30" customHeight="1" x14ac:dyDescent="0.2">
      <c r="A254" s="146" t="s">
        <v>2002</v>
      </c>
      <c r="B254" s="147" t="s">
        <v>739</v>
      </c>
      <c r="C254" s="147" t="str">
        <f>IF(B254="","",IFERROR(INDEX('UNIVERSO MAESTRO'!$C$6:$C$497,MATCH(B254,'UNIVERSO MAESTRO'!$A$6:$A$497,0)),"⚠ ID no encontrado"))</f>
        <v>Grupo Caliente / Corporación Caliente, S.A. de C.V.</v>
      </c>
      <c r="D254" s="54" t="str">
        <f>IF(B254="","",IFERROR(INDEX('UNIVERSO MAESTRO'!$D$6:$D$497,MATCH(B254,'UNIVERSO MAESTRO'!$A$6:$A$497,0)),""))</f>
        <v>V9</v>
      </c>
      <c r="E254" s="147" t="s">
        <v>1242</v>
      </c>
      <c r="F254" s="53" t="str">
        <f>IF(E254="","",IFERROR(INDEX('UNIVERSO MAESTRO'!$C$6:$C$497,MATCH(E254,'UNIVERSO MAESTRO'!$A$6:$A$497,0)),"⚠ ID no encontrado"))</f>
        <v>Pumas UNAM</v>
      </c>
      <c r="G254" s="54" t="str">
        <f>IF(E254="","",IFERROR(INDEX('UNIVERSO MAESTRO'!$D$6:$D$497,MATCH(E254,'UNIVERSO MAESTRO'!$A$6:$A$497,0)),""))</f>
        <v>V1</v>
      </c>
      <c r="H254" s="147" t="s">
        <v>1572</v>
      </c>
      <c r="I254" s="147" t="s">
        <v>1573</v>
      </c>
      <c r="J254" s="147" t="s">
        <v>1574</v>
      </c>
      <c r="K254" s="148" t="s">
        <v>2003</v>
      </c>
      <c r="L254" s="148"/>
      <c r="M254" s="148" t="s">
        <v>977</v>
      </c>
      <c r="N254" s="54" t="str">
        <f t="shared" si="6"/>
        <v>Sí</v>
      </c>
      <c r="O254" s="54" t="str">
        <f t="shared" si="7"/>
        <v>Sí</v>
      </c>
    </row>
    <row r="255" spans="1:15" ht="30" customHeight="1" x14ac:dyDescent="0.2">
      <c r="A255" s="146" t="s">
        <v>2004</v>
      </c>
      <c r="B255" s="147" t="s">
        <v>751</v>
      </c>
      <c r="C255" s="147" t="str">
        <f>IF(B255="","",IFERROR(INDEX('UNIVERSO MAESTRO'!$C$6:$C$497,MATCH(B255,'UNIVERSO MAESTRO'!$A$6:$A$497,0)),"⚠ ID no encontrado"))</f>
        <v>Grupo Martí / Familia Harp Helú</v>
      </c>
      <c r="D255" s="54" t="str">
        <f>IF(B255="","",IFERROR(INDEX('UNIVERSO MAESTRO'!$D$6:$D$497,MATCH(B255,'UNIVERSO MAESTRO'!$A$6:$A$497,0)),""))</f>
        <v>V9</v>
      </c>
      <c r="E255" s="147" t="s">
        <v>811</v>
      </c>
      <c r="F255" s="53" t="str">
        <f>IF(E255="","",IFERROR(INDEX('UNIVERSO MAESTRO'!$C$6:$C$497,MATCH(E255,'UNIVERSO MAESTRO'!$A$6:$A$497,0)),"⚠ ID no encontrado"))</f>
        <v>Grupo Salinas / TV Azteca</v>
      </c>
      <c r="G255" s="54" t="str">
        <f>IF(E255="","",IFERROR(INDEX('UNIVERSO MAESTRO'!$D$6:$D$497,MATCH(E255,'UNIVERSO MAESTRO'!$A$6:$A$497,0)),""))</f>
        <v>V9</v>
      </c>
      <c r="H255" s="147" t="s">
        <v>1615</v>
      </c>
      <c r="I255" s="147" t="s">
        <v>1573</v>
      </c>
      <c r="J255" s="147" t="s">
        <v>1574</v>
      </c>
      <c r="K255" s="148" t="s">
        <v>2005</v>
      </c>
      <c r="L255" s="148"/>
      <c r="M255" s="148" t="s">
        <v>2006</v>
      </c>
      <c r="N255" s="54" t="str">
        <f t="shared" si="6"/>
        <v>No</v>
      </c>
      <c r="O255" s="54" t="str">
        <f t="shared" si="7"/>
        <v>Sí</v>
      </c>
    </row>
    <row r="256" spans="1:15" ht="30" customHeight="1" x14ac:dyDescent="0.2">
      <c r="A256" s="146" t="s">
        <v>2007</v>
      </c>
      <c r="B256" s="147" t="s">
        <v>751</v>
      </c>
      <c r="C256" s="147" t="str">
        <f>IF(B256="","",IFERROR(INDEX('UNIVERSO MAESTRO'!$C$6:$C$497,MATCH(B256,'UNIVERSO MAESTRO'!$A$6:$A$497,0)),"⚠ ID no encontrado"))</f>
        <v>Grupo Martí / Familia Harp Helú</v>
      </c>
      <c r="D256" s="54" t="str">
        <f>IF(B256="","",IFERROR(INDEX('UNIVERSO MAESTRO'!$D$6:$D$497,MATCH(B256,'UNIVERSO MAESTRO'!$A$6:$A$497,0)),""))</f>
        <v>V9</v>
      </c>
      <c r="E256" s="147" t="s">
        <v>997</v>
      </c>
      <c r="F256" s="53" t="str">
        <f>IF(E256="","",IFERROR(INDEX('UNIVERSO MAESTRO'!$C$6:$C$497,MATCH(E256,'UNIVERSO MAESTRO'!$A$6:$A$497,0)),"⚠ ID no encontrado"))</f>
        <v>Maratón de la Ciudad de México Telcel</v>
      </c>
      <c r="G256" s="54" t="str">
        <f>IF(E256="","",IFERROR(INDEX('UNIVERSO MAESTRO'!$D$6:$D$497,MATCH(E256,'UNIVERSO MAESTRO'!$A$6:$A$497,0)),""))</f>
        <v>V1</v>
      </c>
      <c r="H256" s="147" t="s">
        <v>1615</v>
      </c>
      <c r="I256" s="147" t="s">
        <v>1579</v>
      </c>
      <c r="J256" s="147" t="s">
        <v>1574</v>
      </c>
      <c r="K256" s="148" t="s">
        <v>2008</v>
      </c>
      <c r="L256" s="148" t="s">
        <v>2009</v>
      </c>
      <c r="M256" s="148" t="s">
        <v>2010</v>
      </c>
      <c r="N256" s="54" t="str">
        <f t="shared" si="6"/>
        <v>Sí</v>
      </c>
      <c r="O256" s="54" t="str">
        <f t="shared" si="7"/>
        <v>Sí</v>
      </c>
    </row>
    <row r="257" spans="1:15" ht="30" customHeight="1" x14ac:dyDescent="0.2">
      <c r="A257" s="146" t="s">
        <v>2011</v>
      </c>
      <c r="B257" s="147" t="s">
        <v>751</v>
      </c>
      <c r="C257" s="147" t="str">
        <f>IF(B257="","",IFERROR(INDEX('UNIVERSO MAESTRO'!$C$6:$C$497,MATCH(B257,'UNIVERSO MAESTRO'!$A$6:$A$497,0)),"⚠ ID no encontrado"))</f>
        <v>Grupo Martí / Familia Harp Helú</v>
      </c>
      <c r="D257" s="54" t="str">
        <f>IF(B257="","",IFERROR(INDEX('UNIVERSO MAESTRO'!$D$6:$D$497,MATCH(B257,'UNIVERSO MAESTRO'!$A$6:$A$497,0)),""))</f>
        <v>V9</v>
      </c>
      <c r="E257" s="147" t="s">
        <v>1039</v>
      </c>
      <c r="F257" s="53" t="str">
        <f>IF(E257="","",IFERROR(INDEX('UNIVERSO MAESTRO'!$C$6:$C$497,MATCH(E257,'UNIVERSO MAESTRO'!$A$6:$A$497,0)),"⚠ ID no encontrado"))</f>
        <v>Medio Maratón de la Ciudad de México BBVA</v>
      </c>
      <c r="G257" s="54" t="str">
        <f>IF(E257="","",IFERROR(INDEX('UNIVERSO MAESTRO'!$D$6:$D$497,MATCH(E257,'UNIVERSO MAESTRO'!$A$6:$A$497,0)),""))</f>
        <v>V1</v>
      </c>
      <c r="H257" s="147" t="s">
        <v>1615</v>
      </c>
      <c r="I257" s="147" t="s">
        <v>1579</v>
      </c>
      <c r="J257" s="147" t="s">
        <v>1574</v>
      </c>
      <c r="K257" s="148" t="s">
        <v>2012</v>
      </c>
      <c r="L257" s="148" t="s">
        <v>2013</v>
      </c>
      <c r="M257" s="148" t="s">
        <v>2014</v>
      </c>
      <c r="N257" s="54" t="str">
        <f t="shared" si="6"/>
        <v>Sí</v>
      </c>
      <c r="O257" s="54" t="str">
        <f t="shared" si="7"/>
        <v>Sí</v>
      </c>
    </row>
    <row r="258" spans="1:15" ht="30" customHeight="1" x14ac:dyDescent="0.2">
      <c r="A258" s="146" t="s">
        <v>2015</v>
      </c>
      <c r="B258" s="147" t="s">
        <v>751</v>
      </c>
      <c r="C258" s="147" t="str">
        <f>IF(B258="","",IFERROR(INDEX('UNIVERSO MAESTRO'!$C$6:$C$497,MATCH(B258,'UNIVERSO MAESTRO'!$A$6:$A$497,0)),"⚠ ID no encontrado"))</f>
        <v>Grupo Martí / Familia Harp Helú</v>
      </c>
      <c r="D258" s="54" t="str">
        <f>IF(B258="","",IFERROR(INDEX('UNIVERSO MAESTRO'!$D$6:$D$497,MATCH(B258,'UNIVERSO MAESTRO'!$A$6:$A$497,0)),""))</f>
        <v>V9</v>
      </c>
      <c r="E258" s="147" t="s">
        <v>1196</v>
      </c>
      <c r="F258" s="53" t="str">
        <f>IF(E258="","",IFERROR(INDEX('UNIVERSO MAESTRO'!$C$6:$C$497,MATCH(E258,'UNIVERSO MAESTRO'!$A$6:$A$497,0)),"⚠ ID no encontrado"))</f>
        <v>PIF (Saudi Public Investment Fund)</v>
      </c>
      <c r="G258" s="54" t="str">
        <f>IF(E258="","",IFERROR(INDEX('UNIVERSO MAESTRO'!$D$6:$D$497,MATCH(E258,'UNIVERSO MAESTRO'!$A$6:$A$497,0)),""))</f>
        <v>V9</v>
      </c>
      <c r="H258" s="147" t="s">
        <v>1610</v>
      </c>
      <c r="I258" s="147" t="s">
        <v>1579</v>
      </c>
      <c r="J258" s="147" t="s">
        <v>1574</v>
      </c>
      <c r="K258" s="148" t="s">
        <v>2016</v>
      </c>
      <c r="L258" s="148" t="s">
        <v>2017</v>
      </c>
      <c r="M258" s="148" t="s">
        <v>2018</v>
      </c>
      <c r="N258" s="54" t="str">
        <f t="shared" si="6"/>
        <v>No</v>
      </c>
      <c r="O258" s="54" t="str">
        <f t="shared" si="7"/>
        <v>Sí</v>
      </c>
    </row>
    <row r="259" spans="1:15" ht="30" customHeight="1" x14ac:dyDescent="0.2">
      <c r="A259" s="146" t="s">
        <v>2028</v>
      </c>
      <c r="B259" s="147" t="s">
        <v>803</v>
      </c>
      <c r="C259" s="147" t="str">
        <f>IF(B259="","",IFERROR(INDEX('UNIVERSO MAESTRO'!$C$6:$C$497,MATCH(B259,'UNIVERSO MAESTRO'!$A$6:$A$497,0)),"⚠ ID no encontrado"))</f>
        <v>Grupo PRODI / José Miguel Bejos</v>
      </c>
      <c r="D259" s="54" t="str">
        <f>IF(B259="","",IFERROR(INDEX('UNIVERSO MAESTRO'!$D$6:$D$497,MATCH(B259,'UNIVERSO MAESTRO'!$A$6:$A$497,0)),""))</f>
        <v>V9</v>
      </c>
      <c r="E259" s="147" t="s">
        <v>568</v>
      </c>
      <c r="F259" s="53" t="str">
        <f>IF(E259="","",IFERROR(INDEX('UNIVERSO MAESTRO'!$C$6:$C$497,MATCH(E259,'UNIVERSO MAESTRO'!$A$6:$A$497,0)),"⚠ ID no encontrado"))</f>
        <v>Estadio Jalisco</v>
      </c>
      <c r="G259" s="54" t="str">
        <f>IF(E259="","",IFERROR(INDEX('UNIVERSO MAESTRO'!$D$6:$D$497,MATCH(E259,'UNIVERSO MAESTRO'!$A$6:$A$497,0)),""))</f>
        <v>V7</v>
      </c>
      <c r="H259" s="147" t="s">
        <v>1615</v>
      </c>
      <c r="I259" s="147" t="s">
        <v>1611</v>
      </c>
      <c r="J259" s="147" t="s">
        <v>1574</v>
      </c>
      <c r="K259" s="148" t="s">
        <v>2029</v>
      </c>
      <c r="L259" s="148"/>
      <c r="M259" s="148" t="s">
        <v>2030</v>
      </c>
      <c r="N259" s="54" t="str">
        <f t="shared" si="6"/>
        <v>Sí</v>
      </c>
      <c r="O259" s="54" t="str">
        <f t="shared" si="7"/>
        <v>No</v>
      </c>
    </row>
    <row r="260" spans="1:15" ht="30" customHeight="1" x14ac:dyDescent="0.2">
      <c r="A260" s="146" t="s">
        <v>2194</v>
      </c>
      <c r="B260" s="147" t="s">
        <v>1149</v>
      </c>
      <c r="C260" s="147" t="str">
        <f>IF(B260="","",IFERROR(INDEX('UNIVERSO MAESTRO'!$C$6:$C$497,MATCH(B260,'UNIVERSO MAESTRO'!$A$6:$A$497,0)),"⚠ ID no encontrado"))</f>
        <v>Ollamani, S.A.B. / Grupo Águilas (Club América + Estadio Banorte)</v>
      </c>
      <c r="D260" s="54" t="str">
        <f>IF(B260="","",IFERROR(INDEX('UNIVERSO MAESTRO'!$D$6:$D$497,MATCH(B260,'UNIVERSO MAESTRO'!$A$6:$A$497,0)),""))</f>
        <v>V9</v>
      </c>
      <c r="E260" s="147" t="s">
        <v>528</v>
      </c>
      <c r="F260" s="53" t="str">
        <f>IF(E260="","",IFERROR(INDEX('UNIVERSO MAESTRO'!$C$6:$C$497,MATCH(E260,'UNIVERSO MAESTRO'!$A$6:$A$497,0)),"⚠ ID no encontrado"))</f>
        <v>Elevate Sports Ventures</v>
      </c>
      <c r="G260" s="54" t="str">
        <f>IF(E260="","",IFERROR(INDEX('UNIVERSO MAESTRO'!$D$6:$D$497,MATCH(E260,'UNIVERSO MAESTRO'!$A$6:$A$497,0)),""))</f>
        <v>V5</v>
      </c>
      <c r="H260" s="147" t="s">
        <v>1615</v>
      </c>
      <c r="I260" s="147" t="s">
        <v>1573</v>
      </c>
      <c r="J260" s="147" t="s">
        <v>1574</v>
      </c>
      <c r="K260" s="148" t="s">
        <v>2195</v>
      </c>
      <c r="L260" s="148" t="s">
        <v>2196</v>
      </c>
      <c r="M260" s="148" t="s">
        <v>1805</v>
      </c>
      <c r="N260" s="54" t="str">
        <f t="shared" si="6"/>
        <v>Sí</v>
      </c>
      <c r="O260" s="54" t="str">
        <f t="shared" si="7"/>
        <v>Sí</v>
      </c>
    </row>
    <row r="261" spans="1:15" ht="30" customHeight="1" x14ac:dyDescent="0.2">
      <c r="A261" s="146" t="s">
        <v>2207</v>
      </c>
      <c r="B261" s="147" t="s">
        <v>1196</v>
      </c>
      <c r="C261" s="147" t="str">
        <f>IF(B261="","",IFERROR(INDEX('UNIVERSO MAESTRO'!$C$6:$C$497,MATCH(B261,'UNIVERSO MAESTRO'!$A$6:$A$497,0)),"⚠ ID no encontrado"))</f>
        <v>PIF (Saudi Public Investment Fund)</v>
      </c>
      <c r="D261" s="54" t="str">
        <f>IF(B261="","",IFERROR(INDEX('UNIVERSO MAESTRO'!$D$6:$D$497,MATCH(B261,'UNIVERSO MAESTRO'!$A$6:$A$497,0)),""))</f>
        <v>V9</v>
      </c>
      <c r="E261" s="147" t="s">
        <v>822</v>
      </c>
      <c r="F261" s="53" t="str">
        <f>IF(E261="","",IFERROR(INDEX('UNIVERSO MAESTRO'!$C$6:$C$497,MATCH(E261,'UNIVERSO MAESTRO'!$A$6:$A$497,0)),"⚠ ID no encontrado"))</f>
        <v>Grupo Vidanta</v>
      </c>
      <c r="G261" s="54" t="str">
        <f>IF(E261="","",IFERROR(INDEX('UNIVERSO MAESTRO'!$D$6:$D$497,MATCH(E261,'UNIVERSO MAESTRO'!$A$6:$A$497,0)),""))</f>
        <v>V9</v>
      </c>
      <c r="H261" s="147" t="s">
        <v>1615</v>
      </c>
      <c r="I261" s="147" t="s">
        <v>1573</v>
      </c>
      <c r="J261" s="147" t="s">
        <v>1574</v>
      </c>
      <c r="K261" s="148" t="s">
        <v>2208</v>
      </c>
      <c r="L261" s="148" t="s">
        <v>2209</v>
      </c>
      <c r="M261" s="148" t="s">
        <v>1618</v>
      </c>
      <c r="N261" s="54" t="str">
        <f t="shared" si="6"/>
        <v>No</v>
      </c>
      <c r="O261" s="54" t="str">
        <f t="shared" si="7"/>
        <v>Sí</v>
      </c>
    </row>
    <row r="262" spans="1:15" ht="30" customHeight="1" x14ac:dyDescent="0.2">
      <c r="A262" s="146" t="s">
        <v>2282</v>
      </c>
      <c r="B262" s="147" t="s">
        <v>1319</v>
      </c>
      <c r="C262" s="147" t="str">
        <f>IF(B262="","",IFERROR(INDEX('UNIVERSO MAESTRO'!$C$6:$C$497,MATCH(B262,'UNIVERSO MAESTRO'!$A$6:$A$497,0)),"⚠ ID no encontrado"))</f>
        <v>Silver Lake</v>
      </c>
      <c r="D262" s="54" t="str">
        <f>IF(B262="","",IFERROR(INDEX('UNIVERSO MAESTRO'!$D$6:$D$497,MATCH(B262,'UNIVERSO MAESTRO'!$A$6:$A$497,0)),""))</f>
        <v>V9</v>
      </c>
      <c r="E262" s="147" t="s">
        <v>537</v>
      </c>
      <c r="F262" s="53" t="str">
        <f>IF(E262="","",IFERROR(INDEX('UNIVERSO MAESTRO'!$C$6:$C$497,MATCH(E262,'UNIVERSO MAESTRO'!$A$6:$A$497,0)),"⚠ ID no encontrado"))</f>
        <v>Endeavor / WME Group</v>
      </c>
      <c r="G262" s="54" t="str">
        <f>IF(E262="","",IFERROR(INDEX('UNIVERSO MAESTRO'!$D$6:$D$497,MATCH(E262,'UNIVERSO MAESTRO'!$A$6:$A$497,0)),""))</f>
        <v>V9</v>
      </c>
      <c r="H262" s="147" t="s">
        <v>1610</v>
      </c>
      <c r="I262" s="147" t="s">
        <v>1579</v>
      </c>
      <c r="J262" s="147" t="s">
        <v>1574</v>
      </c>
      <c r="K262" s="148" t="s">
        <v>2283</v>
      </c>
      <c r="L262" s="148" t="s">
        <v>2284</v>
      </c>
      <c r="M262" s="148" t="s">
        <v>2285</v>
      </c>
      <c r="N262" s="54" t="str">
        <f t="shared" si="6"/>
        <v>No</v>
      </c>
      <c r="O262" s="54" t="str">
        <f t="shared" si="7"/>
        <v>Sí</v>
      </c>
    </row>
    <row r="263" spans="1:15" ht="30" customHeight="1" x14ac:dyDescent="0.2">
      <c r="A263" s="146" t="s">
        <v>2447</v>
      </c>
      <c r="B263" s="147" t="s">
        <v>671</v>
      </c>
      <c r="C263" s="147" t="str">
        <f>IF(B263="","",IFERROR(INDEX('UNIVERSO MAESTRO'!$C$6:$C$497,MATCH(B263,'UNIVERSO MAESTRO'!$A$6:$A$497,0)),"⚠ ID no encontrado"))</f>
        <v>General Atlantic</v>
      </c>
      <c r="D263" s="54" t="str">
        <f>IF(B263="","",IFERROR(INDEX('UNIVERSO MAESTRO'!$D$6:$D$497,MATCH(B263,'UNIVERSO MAESTRO'!$A$6:$A$497,0)),""))</f>
        <v>V9</v>
      </c>
      <c r="E263" t="s">
        <v>1149</v>
      </c>
      <c r="F263" s="53" t="str">
        <f>IF(E263="","",IFERROR(INDEX('UNIVERSO MAESTRO'!$C$6:$C$497,MATCH(E263,'UNIVERSO MAESTRO'!$A$6:$A$497,0)),"⚠ ID no encontrado"))</f>
        <v>Ollamani, S.A.B. / Grupo Águilas (Club América + Estadio Banorte)</v>
      </c>
      <c r="G263" s="54" t="str">
        <f>IF(E263="","",IFERROR(INDEX('UNIVERSO MAESTRO'!$D$6:$D$497,MATCH(E263,'UNIVERSO MAESTRO'!$A$6:$A$497,0)),""))</f>
        <v>V9</v>
      </c>
      <c r="H263" t="s">
        <v>1610</v>
      </c>
      <c r="I263" t="s">
        <v>1579</v>
      </c>
      <c r="J263" t="s">
        <v>1574</v>
      </c>
      <c r="K263" t="s">
        <v>2448</v>
      </c>
      <c r="L263" t="s">
        <v>2449</v>
      </c>
      <c r="M263" t="s">
        <v>2450</v>
      </c>
      <c r="N263" s="54" t="str">
        <f t="shared" si="6"/>
        <v>No</v>
      </c>
      <c r="O263" s="54" t="str">
        <f t="shared" si="7"/>
        <v>Sí</v>
      </c>
    </row>
    <row r="264" spans="1:15" ht="30" customHeight="1" x14ac:dyDescent="0.2">
      <c r="A264" s="146" t="s">
        <v>2451</v>
      </c>
      <c r="B264" s="147" t="s">
        <v>671</v>
      </c>
      <c r="C264" s="147" t="str">
        <f>IF(B264="","",IFERROR(INDEX('UNIVERSO MAESTRO'!$C$6:$C$497,MATCH(B264,'UNIVERSO MAESTRO'!$A$6:$A$497,0)),"⚠ ID no encontrado"))</f>
        <v>General Atlantic</v>
      </c>
      <c r="D264" s="54" t="str">
        <f>IF(B264="","",IFERROR(INDEX('UNIVERSO MAESTRO'!$D$6:$D$497,MATCH(B264,'UNIVERSO MAESTRO'!$A$6:$A$497,0)),""))</f>
        <v>V9</v>
      </c>
      <c r="E264" t="s">
        <v>920</v>
      </c>
      <c r="F264" s="53" t="str">
        <f>IF(E264="","",IFERROR(INDEX('UNIVERSO MAESTRO'!$C$6:$C$497,MATCH(E264,'UNIVERSO MAESTRO'!$A$6:$A$497,0)),"⚠ ID no encontrado"))</f>
        <v>KAGR (Kraft Analytics Group)</v>
      </c>
      <c r="G264" s="54" t="str">
        <f>IF(E264="","",IFERROR(INDEX('UNIVERSO MAESTRO'!$D$6:$D$497,MATCH(E264,'UNIVERSO MAESTRO'!$A$6:$A$497,0)),""))</f>
        <v>V8</v>
      </c>
      <c r="H264" t="s">
        <v>2452</v>
      </c>
      <c r="I264" t="s">
        <v>1579</v>
      </c>
      <c r="J264" t="s">
        <v>1574</v>
      </c>
      <c r="K264" t="s">
        <v>2453</v>
      </c>
      <c r="L264" t="s">
        <v>2454</v>
      </c>
      <c r="M264" t="s">
        <v>2455</v>
      </c>
      <c r="N264" s="54" t="str">
        <f t="shared" si="6"/>
        <v>Sí</v>
      </c>
      <c r="O264" s="54" t="str">
        <f t="shared" si="7"/>
        <v>Sí</v>
      </c>
    </row>
    <row r="265" spans="1:15" ht="15" customHeight="1" x14ac:dyDescent="0.2"/>
    <row r="266" spans="1:15" ht="15" customHeight="1" x14ac:dyDescent="0.2"/>
    <row r="267" spans="1:15" ht="15" customHeight="1" x14ac:dyDescent="0.2"/>
    <row r="268" spans="1:15" ht="15" customHeight="1" x14ac:dyDescent="0.2"/>
    <row r="269" spans="1:15" ht="15" customHeight="1" x14ac:dyDescent="0.2"/>
    <row r="270" spans="1:15" ht="15" customHeight="1" x14ac:dyDescent="0.2"/>
    <row r="271" spans="1:15" ht="15" customHeight="1" x14ac:dyDescent="0.2"/>
    <row r="272" spans="1:15"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sheetData>
  <autoFilter ref="A5:O5" xr:uid="{00000000-0001-0000-0300-000000000000}">
    <sortState xmlns:xlrd2="http://schemas.microsoft.com/office/spreadsheetml/2017/richdata2" ref="A6:O591">
      <sortCondition ref="D5:D591"/>
    </sortState>
  </autoFilter>
  <mergeCells count="3">
    <mergeCell ref="B1:O1"/>
    <mergeCell ref="B2:O2"/>
    <mergeCell ref="A3:O3"/>
  </mergeCells>
  <dataValidations count="3">
    <dataValidation type="list" allowBlank="1" sqref="H6:H271" xr:uid="{00000000-0002-0000-0300-000000000000}">
      <formula1>L_TIPO_RELACION</formula1>
      <formula2>0</formula2>
    </dataValidation>
    <dataValidation type="list" allowBlank="1" sqref="I6:I271" xr:uid="{00000000-0002-0000-0300-000001000000}">
      <formula1>L_NIVEL_REL</formula1>
      <formula2>0</formula2>
    </dataValidation>
    <dataValidation type="list" allowBlank="1" sqref="J6:J271" xr:uid="{00000000-0002-0000-0300-000002000000}">
      <formula1>L_DIRECCION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K373"/>
  <sheetViews>
    <sheetView zoomScale="75" zoomScaleNormal="100" workbookViewId="0">
      <pane xSplit="5" ySplit="5" topLeftCell="F123" activePane="bottomRight" state="frozen"/>
      <selection pane="topRight" activeCell="F1" sqref="F1"/>
      <selection pane="bottomLeft" activeCell="A7" sqref="A7"/>
      <selection pane="bottomRight" activeCell="K132" sqref="K132"/>
    </sheetView>
  </sheetViews>
  <sheetFormatPr baseColWidth="10" defaultColWidth="8.83203125" defaultRowHeight="15" x14ac:dyDescent="0.2"/>
  <cols>
    <col min="1" max="1" width="10" customWidth="1"/>
    <col min="2" max="2" width="14" customWidth="1"/>
    <col min="3" max="3" width="32" customWidth="1"/>
    <col min="4" max="4" width="10" customWidth="1"/>
    <col min="5" max="5" width="28" customWidth="1"/>
    <col min="6" max="6" width="40" customWidth="1"/>
    <col min="7" max="7" width="14" customWidth="1"/>
    <col min="8" max="8" width="44" customWidth="1"/>
    <col min="9" max="9" width="14" customWidth="1"/>
    <col min="10" max="10" width="13" customWidth="1"/>
  </cols>
  <sheetData>
    <row r="1" spans="1:11" ht="31.5" customHeight="1" x14ac:dyDescent="0.2">
      <c r="A1" s="43" t="s">
        <v>178</v>
      </c>
      <c r="B1" s="150" t="s">
        <v>104</v>
      </c>
      <c r="C1" s="150"/>
      <c r="D1" s="150"/>
      <c r="E1" s="150"/>
      <c r="F1" s="150"/>
      <c r="G1" s="150"/>
      <c r="H1" s="150"/>
      <c r="I1" s="150"/>
      <c r="J1" s="150"/>
      <c r="K1" s="150"/>
    </row>
    <row r="2" spans="1:11" ht="21.75" customHeight="1" x14ac:dyDescent="0.2">
      <c r="A2" s="45" t="s">
        <v>179</v>
      </c>
      <c r="B2" s="151" t="s">
        <v>2460</v>
      </c>
      <c r="C2" s="151"/>
      <c r="D2" s="151"/>
      <c r="E2" s="151"/>
      <c r="F2" s="151"/>
      <c r="G2" s="151"/>
      <c r="H2" s="151"/>
      <c r="I2" s="151"/>
      <c r="J2" s="151"/>
      <c r="K2" s="151"/>
    </row>
    <row r="3" spans="1:11" ht="18" customHeight="1" x14ac:dyDescent="0.2">
      <c r="A3" s="152" t="s">
        <v>181</v>
      </c>
      <c r="B3" s="152"/>
      <c r="C3" s="152"/>
      <c r="D3" s="152"/>
      <c r="E3" s="152"/>
      <c r="F3" s="152"/>
      <c r="G3" s="152"/>
      <c r="H3" s="152"/>
      <c r="I3" s="152"/>
      <c r="J3" s="152"/>
      <c r="K3" s="152"/>
    </row>
    <row r="4" spans="1:11" ht="6" customHeight="1" x14ac:dyDescent="0.2"/>
    <row r="5" spans="1:11" ht="39.75" customHeight="1" x14ac:dyDescent="0.2">
      <c r="A5" s="47" t="s">
        <v>2461</v>
      </c>
      <c r="B5" s="47" t="s">
        <v>2462</v>
      </c>
      <c r="C5" s="47" t="s">
        <v>2463</v>
      </c>
      <c r="D5" s="47" t="s">
        <v>2464</v>
      </c>
      <c r="E5" s="47" t="s">
        <v>2465</v>
      </c>
      <c r="F5" s="47" t="s">
        <v>2466</v>
      </c>
      <c r="G5" s="47" t="s">
        <v>2467</v>
      </c>
      <c r="H5" s="47" t="s">
        <v>193</v>
      </c>
      <c r="I5" s="47" t="s">
        <v>2468</v>
      </c>
      <c r="J5" s="47" t="s">
        <v>198</v>
      </c>
      <c r="K5" s="47" t="s">
        <v>1570</v>
      </c>
    </row>
    <row r="6" spans="1:11" ht="69.75" customHeight="1" x14ac:dyDescent="0.2">
      <c r="A6" s="55" t="s">
        <v>2489</v>
      </c>
      <c r="B6" s="55" t="s">
        <v>614</v>
      </c>
      <c r="C6" s="56" t="str">
        <f>IF(B6="","",IFERROR(INDEX('UNIVERSO MAESTRO'!$C$6:$C$497,MATCH(B6,'UNIVERSO MAESTRO'!$A$6:$A$497,0)),"⚠ ID no encontrado"))</f>
        <v>Federación Mexicana de Fútbol</v>
      </c>
      <c r="D6" s="57" t="str">
        <f>IF(B6="","",IFERROR(INDEX('UNIVERSO MAESTRO'!$D$6:$D$497,MATCH(B6,'UNIVERSO MAESTRO'!$A$6:$A$497,0)),""))</f>
        <v>V1</v>
      </c>
      <c r="E6" s="58" t="s">
        <v>2490</v>
      </c>
      <c r="F6" s="58" t="s">
        <v>2491</v>
      </c>
      <c r="G6" s="55" t="s">
        <v>205</v>
      </c>
      <c r="H6" s="58" t="s">
        <v>2492</v>
      </c>
      <c r="I6" s="58" t="s">
        <v>2493</v>
      </c>
      <c r="J6" s="55" t="s">
        <v>225</v>
      </c>
      <c r="K6" s="55" t="s">
        <v>1530</v>
      </c>
    </row>
    <row r="7" spans="1:11" ht="69.75" customHeight="1" x14ac:dyDescent="0.2">
      <c r="A7" s="55" t="s">
        <v>2494</v>
      </c>
      <c r="B7" s="55" t="s">
        <v>614</v>
      </c>
      <c r="C7" s="56" t="str">
        <f>IF(B7="","",IFERROR(INDEX('UNIVERSO MAESTRO'!$C$6:$C$497,MATCH(B7,'UNIVERSO MAESTRO'!$A$6:$A$497,0)),"⚠ ID no encontrado"))</f>
        <v>Federación Mexicana de Fútbol</v>
      </c>
      <c r="D7" s="57" t="str">
        <f>IF(B7="","",IFERROR(INDEX('UNIVERSO MAESTRO'!$D$6:$D$497,MATCH(B7,'UNIVERSO MAESTRO'!$A$6:$A$497,0)),""))</f>
        <v>V1</v>
      </c>
      <c r="E7" s="58" t="s">
        <v>2495</v>
      </c>
      <c r="F7" s="58" t="s">
        <v>2496</v>
      </c>
      <c r="G7" s="55" t="s">
        <v>230</v>
      </c>
      <c r="H7" s="58" t="s">
        <v>2497</v>
      </c>
      <c r="I7" s="58" t="s">
        <v>2498</v>
      </c>
      <c r="J7" s="55" t="s">
        <v>225</v>
      </c>
      <c r="K7" s="55" t="s">
        <v>353</v>
      </c>
    </row>
    <row r="8" spans="1:11" ht="69.75" customHeight="1" x14ac:dyDescent="0.2">
      <c r="A8" s="55" t="s">
        <v>2509</v>
      </c>
      <c r="B8" s="55" t="s">
        <v>712</v>
      </c>
      <c r="C8" s="56" t="str">
        <f>IF(B8="","",IFERROR(INDEX('UNIVERSO MAESTRO'!$C$6:$C$497,MATCH(B8,'UNIVERSO MAESTRO'!$A$6:$A$497,0)),"⚠ ID no encontrado"))</f>
        <v>Gran Premio de México — Fórmula 1</v>
      </c>
      <c r="D8" s="57" t="str">
        <f>IF(B8="","",IFERROR(INDEX('UNIVERSO MAESTRO'!$D$6:$D$497,MATCH(B8,'UNIVERSO MAESTRO'!$A$6:$A$497,0)),""))</f>
        <v>V1</v>
      </c>
      <c r="E8" s="58" t="s">
        <v>2510</v>
      </c>
      <c r="F8" s="58" t="s">
        <v>2511</v>
      </c>
      <c r="G8" s="55" t="s">
        <v>205</v>
      </c>
      <c r="H8" s="58" t="s">
        <v>2512</v>
      </c>
      <c r="I8" s="58" t="s">
        <v>2513</v>
      </c>
      <c r="J8" s="55" t="s">
        <v>225</v>
      </c>
      <c r="K8" s="55" t="s">
        <v>1530</v>
      </c>
    </row>
    <row r="9" spans="1:11" ht="69.75" customHeight="1" x14ac:dyDescent="0.2">
      <c r="A9" s="55" t="s">
        <v>2544</v>
      </c>
      <c r="B9" s="55" t="s">
        <v>451</v>
      </c>
      <c r="C9" s="56" t="str">
        <f>IF(B9="","",IFERROR(INDEX('UNIVERSO MAESTRO'!$C$6:$C$497,MATCH(B9,'UNIVERSO MAESTRO'!$A$6:$A$497,0)),"⚠ ID no encontrado"))</f>
        <v>Consejo Mundial de Lucha Libre (CMLL)</v>
      </c>
      <c r="D9" s="57" t="str">
        <f>IF(B9="","",IFERROR(INDEX('UNIVERSO MAESTRO'!$D$6:$D$497,MATCH(B9,'UNIVERSO MAESTRO'!$A$6:$A$497,0)),""))</f>
        <v>V1</v>
      </c>
      <c r="E9" s="58" t="s">
        <v>2545</v>
      </c>
      <c r="F9" s="58" t="s">
        <v>2546</v>
      </c>
      <c r="G9" s="55" t="s">
        <v>205</v>
      </c>
      <c r="H9" s="58" t="s">
        <v>2547</v>
      </c>
      <c r="I9" s="58" t="s">
        <v>2548</v>
      </c>
      <c r="J9" s="55" t="s">
        <v>225</v>
      </c>
      <c r="K9" s="55" t="s">
        <v>1530</v>
      </c>
    </row>
    <row r="10" spans="1:11" ht="69.75" customHeight="1" x14ac:dyDescent="0.2">
      <c r="A10" s="55" t="s">
        <v>2559</v>
      </c>
      <c r="B10" s="55" t="s">
        <v>688</v>
      </c>
      <c r="C10" s="56" t="str">
        <f>IF(B10="","",IFERROR(INDEX('UNIVERSO MAESTRO'!$C$6:$C$497,MATCH(B10,'UNIVERSO MAESTRO'!$A$6:$A$497,0)),"⚠ ID no encontrado"))</f>
        <v>Global Champions Tour — LGCT México</v>
      </c>
      <c r="D10" s="57" t="str">
        <f>IF(B10="","",IFERROR(INDEX('UNIVERSO MAESTRO'!$D$6:$D$497,MATCH(B10,'UNIVERSO MAESTRO'!$A$6:$A$497,0)),""))</f>
        <v>V1</v>
      </c>
      <c r="E10" s="58" t="s">
        <v>2560</v>
      </c>
      <c r="F10" s="58" t="s">
        <v>2561</v>
      </c>
      <c r="G10" s="55" t="s">
        <v>205</v>
      </c>
      <c r="H10" s="58" t="s">
        <v>2562</v>
      </c>
      <c r="I10" s="58" t="s">
        <v>2563</v>
      </c>
      <c r="J10" s="55" t="s">
        <v>225</v>
      </c>
      <c r="K10" s="55" t="s">
        <v>1530</v>
      </c>
    </row>
    <row r="11" spans="1:11" ht="69.75" customHeight="1" x14ac:dyDescent="0.2">
      <c r="A11" s="55" t="s">
        <v>2604</v>
      </c>
      <c r="B11" s="55" t="s">
        <v>960</v>
      </c>
      <c r="C11" s="56" t="str">
        <f>IF(B11="","",IFERROR(INDEX('UNIVERSO MAESTRO'!$C$6:$C$497,MATCH(B11,'UNIVERSO MAESTRO'!$A$6:$A$497,0)),"⚠ ID no encontrado"))</f>
        <v>Liga Mexicana del Pacífico (LMP)</v>
      </c>
      <c r="D11" s="57" t="str">
        <f>IF(B11="","",IFERROR(INDEX('UNIVERSO MAESTRO'!$D$6:$D$497,MATCH(B11,'UNIVERSO MAESTRO'!$A$6:$A$497,0)),""))</f>
        <v>V1</v>
      </c>
      <c r="E11" s="58" t="s">
        <v>2605</v>
      </c>
      <c r="F11" s="58" t="s">
        <v>2606</v>
      </c>
      <c r="G11" s="55" t="s">
        <v>205</v>
      </c>
      <c r="H11" s="58" t="s">
        <v>2607</v>
      </c>
      <c r="I11" s="58" t="s">
        <v>2608</v>
      </c>
      <c r="J11" s="55" t="s">
        <v>225</v>
      </c>
      <c r="K11" s="55" t="s">
        <v>1530</v>
      </c>
    </row>
    <row r="12" spans="1:11" ht="69.75" customHeight="1" x14ac:dyDescent="0.2">
      <c r="A12" s="55" t="s">
        <v>2609</v>
      </c>
      <c r="B12" s="55" t="s">
        <v>969</v>
      </c>
      <c r="C12" s="56" t="str">
        <f>IF(B12="","",IFERROR(INDEX('UNIVERSO MAESTRO'!$C$6:$C$497,MATCH(B12,'UNIVERSO MAESTRO'!$A$6:$A$497,0)),"⚠ ID no encontrado"))</f>
        <v>Liga MX</v>
      </c>
      <c r="D12" s="57" t="str">
        <f>IF(B12="","",IFERROR(INDEX('UNIVERSO MAESTRO'!$D$6:$D$497,MATCH(B12,'UNIVERSO MAESTRO'!$A$6:$A$497,0)),""))</f>
        <v>V1</v>
      </c>
      <c r="E12" s="58" t="s">
        <v>2610</v>
      </c>
      <c r="F12" s="58" t="s">
        <v>2611</v>
      </c>
      <c r="G12" s="55" t="s">
        <v>230</v>
      </c>
      <c r="H12" s="58" t="s">
        <v>2612</v>
      </c>
      <c r="I12" s="58" t="s">
        <v>2613</v>
      </c>
      <c r="J12" s="55" t="s">
        <v>225</v>
      </c>
      <c r="K12" s="55" t="s">
        <v>1530</v>
      </c>
    </row>
    <row r="13" spans="1:11" ht="69.75" customHeight="1" x14ac:dyDescent="0.2">
      <c r="A13" s="55" t="s">
        <v>2614</v>
      </c>
      <c r="B13" s="55" t="s">
        <v>979</v>
      </c>
      <c r="C13" s="56" t="str">
        <f>IF(B13="","",IFERROR(INDEX('UNIVERSO MAESTRO'!$C$6:$C$497,MATCH(B13,'UNIVERSO MAESTRO'!$A$6:$A$497,0)),"⚠ ID no encontrado"))</f>
        <v>LIV Golf League (Mexico City)</v>
      </c>
      <c r="D13" s="57" t="str">
        <f>IF(B13="","",IFERROR(INDEX('UNIVERSO MAESTRO'!$D$6:$D$497,MATCH(B13,'UNIVERSO MAESTRO'!$A$6:$A$497,0)),""))</f>
        <v>V1</v>
      </c>
      <c r="E13" s="58" t="s">
        <v>2615</v>
      </c>
      <c r="F13" s="58" t="s">
        <v>2616</v>
      </c>
      <c r="G13" s="55" t="s">
        <v>205</v>
      </c>
      <c r="H13" s="58" t="s">
        <v>2617</v>
      </c>
      <c r="I13" s="58" t="s">
        <v>2618</v>
      </c>
      <c r="J13" s="55" t="s">
        <v>225</v>
      </c>
      <c r="K13" s="55" t="s">
        <v>1530</v>
      </c>
    </row>
    <row r="14" spans="1:11" ht="69.75" customHeight="1" x14ac:dyDescent="0.2">
      <c r="A14" s="55" t="s">
        <v>2634</v>
      </c>
      <c r="B14" s="55" t="s">
        <v>1123</v>
      </c>
      <c r="C14" s="56" t="str">
        <f>IF(B14="","",IFERROR(INDEX('UNIVERSO MAESTRO'!$C$6:$C$497,MATCH(B14,'UNIVERSO MAESTRO'!$A$6:$A$497,0)),"⚠ ID no encontrado"))</f>
        <v>NFL México City Games</v>
      </c>
      <c r="D14" s="57" t="str">
        <f>IF(B14="","",IFERROR(INDEX('UNIVERSO MAESTRO'!$D$6:$D$497,MATCH(B14,'UNIVERSO MAESTRO'!$A$6:$A$497,0)),""))</f>
        <v>V1</v>
      </c>
      <c r="E14" s="58" t="s">
        <v>2635</v>
      </c>
      <c r="F14" s="58" t="s">
        <v>2636</v>
      </c>
      <c r="G14" s="55" t="s">
        <v>205</v>
      </c>
      <c r="H14" s="58" t="s">
        <v>2637</v>
      </c>
      <c r="I14" s="58" t="s">
        <v>2638</v>
      </c>
      <c r="J14" s="55" t="s">
        <v>225</v>
      </c>
      <c r="K14" s="55" t="s">
        <v>1530</v>
      </c>
    </row>
    <row r="15" spans="1:11" ht="69.75" customHeight="1" x14ac:dyDescent="0.2">
      <c r="A15" s="55" t="s">
        <v>2679</v>
      </c>
      <c r="B15" s="55" t="s">
        <v>424</v>
      </c>
      <c r="C15" s="56" t="str">
        <f>IF(B15="","",IFERROR(INDEX('UNIVERSO MAESTRO'!$C$6:$C$497,MATCH(B15,'UNIVERSO MAESTRO'!$A$6:$A$497,0)),"⚠ ID no encontrado"))</f>
        <v>Club Toluca</v>
      </c>
      <c r="D15" s="57" t="str">
        <f>IF(B15="","",IFERROR(INDEX('UNIVERSO MAESTRO'!$D$6:$D$497,MATCH(B15,'UNIVERSO MAESTRO'!$A$6:$A$497,0)),""))</f>
        <v>V1</v>
      </c>
      <c r="E15" s="58" t="s">
        <v>2680</v>
      </c>
      <c r="F15" s="58" t="s">
        <v>2681</v>
      </c>
      <c r="G15" s="55" t="s">
        <v>205</v>
      </c>
      <c r="H15" s="58" t="s">
        <v>2682</v>
      </c>
      <c r="I15" s="58" t="s">
        <v>2683</v>
      </c>
      <c r="J15" s="55" t="s">
        <v>225</v>
      </c>
      <c r="K15" s="55" t="s">
        <v>1530</v>
      </c>
    </row>
    <row r="16" spans="1:11" ht="69.75" customHeight="1" x14ac:dyDescent="0.2">
      <c r="A16" s="55" t="s">
        <v>2684</v>
      </c>
      <c r="B16" s="55" t="s">
        <v>471</v>
      </c>
      <c r="C16" s="56" t="str">
        <f>IF(B16="","",IFERROR(INDEX('UNIVERSO MAESTRO'!$C$6:$C$497,MATCH(B16,'UNIVERSO MAESTRO'!$A$6:$A$497,0)),"⚠ ID no encontrado"))</f>
        <v>Copa Mundial FIFA 2026 en México</v>
      </c>
      <c r="D16" s="57" t="str">
        <f>IF(B16="","",IFERROR(INDEX('UNIVERSO MAESTRO'!$D$6:$D$497,MATCH(B16,'UNIVERSO MAESTRO'!$A$6:$A$497,0)),""))</f>
        <v>V1</v>
      </c>
      <c r="E16" s="58" t="s">
        <v>2685</v>
      </c>
      <c r="F16" s="58" t="s">
        <v>2686</v>
      </c>
      <c r="G16" s="55" t="s">
        <v>205</v>
      </c>
      <c r="H16" s="58" t="s">
        <v>2687</v>
      </c>
      <c r="I16" s="58" t="s">
        <v>2688</v>
      </c>
      <c r="J16" s="55" t="s">
        <v>225</v>
      </c>
      <c r="K16" s="55" t="s">
        <v>1530</v>
      </c>
    </row>
    <row r="17" spans="1:11" ht="69.75" customHeight="1" x14ac:dyDescent="0.2">
      <c r="A17" s="55" t="s">
        <v>2758</v>
      </c>
      <c r="B17" s="55" t="s">
        <v>997</v>
      </c>
      <c r="C17" s="56" t="str">
        <f>IF(B17="","",IFERROR(INDEX('UNIVERSO MAESTRO'!$C$6:$C$497,MATCH(B17,'UNIVERSO MAESTRO'!$A$6:$A$497,0)),"⚠ ID no encontrado"))</f>
        <v>Maratón de la Ciudad de México Telcel</v>
      </c>
      <c r="D17" s="57" t="str">
        <f>IF(B17="","",IFERROR(INDEX('UNIVERSO MAESTRO'!$D$6:$D$497,MATCH(B17,'UNIVERSO MAESTRO'!$A$6:$A$497,0)),""))</f>
        <v>V1</v>
      </c>
      <c r="E17" s="58" t="s">
        <v>2700</v>
      </c>
      <c r="F17" s="58" t="s">
        <v>2759</v>
      </c>
      <c r="G17" s="55" t="s">
        <v>205</v>
      </c>
      <c r="H17" s="58" t="s">
        <v>2760</v>
      </c>
      <c r="I17" s="58" t="s">
        <v>2761</v>
      </c>
      <c r="J17" s="55" t="s">
        <v>225</v>
      </c>
      <c r="K17" s="55" t="s">
        <v>1530</v>
      </c>
    </row>
    <row r="18" spans="1:11" ht="69.75" customHeight="1" x14ac:dyDescent="0.2">
      <c r="A18" s="55" t="s">
        <v>2762</v>
      </c>
      <c r="B18" s="55" t="s">
        <v>1039</v>
      </c>
      <c r="C18" s="56" t="str">
        <f>IF(B18="","",IFERROR(INDEX('UNIVERSO MAESTRO'!$C$6:$C$497,MATCH(B18,'UNIVERSO MAESTRO'!$A$6:$A$497,0)),"⚠ ID no encontrado"))</f>
        <v>Medio Maratón de la Ciudad de México BBVA</v>
      </c>
      <c r="D18" s="57" t="str">
        <f>IF(B18="","",IFERROR(INDEX('UNIVERSO MAESTRO'!$D$6:$D$497,MATCH(B18,'UNIVERSO MAESTRO'!$A$6:$A$497,0)),""))</f>
        <v>V1</v>
      </c>
      <c r="E18" s="58" t="s">
        <v>2763</v>
      </c>
      <c r="F18" s="58" t="s">
        <v>2764</v>
      </c>
      <c r="G18" s="55" t="s">
        <v>230</v>
      </c>
      <c r="H18" s="58" t="s">
        <v>2765</v>
      </c>
      <c r="I18" s="58" t="s">
        <v>2766</v>
      </c>
      <c r="J18" s="55" t="s">
        <v>225</v>
      </c>
      <c r="K18" s="55" t="s">
        <v>353</v>
      </c>
    </row>
    <row r="19" spans="1:11" ht="69.75" customHeight="1" x14ac:dyDescent="0.2">
      <c r="A19" s="55" t="s">
        <v>2767</v>
      </c>
      <c r="B19" s="55" t="s">
        <v>1049</v>
      </c>
      <c r="C19" s="56" t="str">
        <f>IF(B19="","",IFERROR(INDEX('UNIVERSO MAESTRO'!$C$6:$C$497,MATCH(B19,'UNIVERSO MAESTRO'!$A$6:$A$497,0)),"⚠ ID no encontrado"))</f>
        <v>Medio Maratón Internacional Guadalajara Electrolit</v>
      </c>
      <c r="D19" s="57" t="str">
        <f>IF(B19="","",IFERROR(INDEX('UNIVERSO MAESTRO'!$D$6:$D$497,MATCH(B19,'UNIVERSO MAESTRO'!$A$6:$A$497,0)),""))</f>
        <v>V1</v>
      </c>
      <c r="E19" s="58" t="s">
        <v>2690</v>
      </c>
      <c r="F19" s="58" t="s">
        <v>2768</v>
      </c>
      <c r="G19" s="55" t="s">
        <v>205</v>
      </c>
      <c r="H19" s="58" t="s">
        <v>2769</v>
      </c>
      <c r="I19" s="58" t="s">
        <v>2770</v>
      </c>
      <c r="J19" s="55" t="s">
        <v>225</v>
      </c>
      <c r="K19" s="55" t="s">
        <v>353</v>
      </c>
    </row>
    <row r="20" spans="1:11" ht="69.75" customHeight="1" x14ac:dyDescent="0.2">
      <c r="A20" s="55" t="s">
        <v>2781</v>
      </c>
      <c r="B20" s="55" t="s">
        <v>1464</v>
      </c>
      <c r="C20" s="56" t="str">
        <f>IF(B20="","",IFERROR(INDEX('UNIVERSO MAESTRO'!$C$6:$C$497,MATCH(B20,'UNIVERSO MAESTRO'!$A$6:$A$497,0)),"⚠ ID no encontrado"))</f>
        <v>Victum Sports México (HYROX México)</v>
      </c>
      <c r="D20" s="57" t="str">
        <f>IF(B20="","",IFERROR(INDEX('UNIVERSO MAESTRO'!$D$6:$D$497,MATCH(B20,'UNIVERSO MAESTRO'!$A$6:$A$497,0)),""))</f>
        <v>V1</v>
      </c>
      <c r="E20" s="58" t="s">
        <v>2782</v>
      </c>
      <c r="F20" s="58" t="s">
        <v>2783</v>
      </c>
      <c r="G20" s="55" t="s">
        <v>205</v>
      </c>
      <c r="H20" s="58" t="s">
        <v>2784</v>
      </c>
      <c r="I20" s="58" t="s">
        <v>2785</v>
      </c>
      <c r="J20" s="55" t="s">
        <v>225</v>
      </c>
      <c r="K20" s="55" t="s">
        <v>1530</v>
      </c>
    </row>
    <row r="21" spans="1:11" ht="69.75" customHeight="1" x14ac:dyDescent="0.2">
      <c r="A21" s="55" t="s">
        <v>2816</v>
      </c>
      <c r="B21" s="55" t="s">
        <v>354</v>
      </c>
      <c r="C21" s="56" t="str">
        <f>IF(B21="","",IFERROR(INDEX('UNIVERSO MAESTRO'!$C$6:$C$497,MATCH(B21,'UNIVERSO MAESTRO'!$A$6:$A$497,0)),"⚠ ID no encontrado"))</f>
        <v>Canelo Promotions / Saúl Álvarez</v>
      </c>
      <c r="D21" s="57" t="str">
        <f>IF(B21="","",IFERROR(INDEX('UNIVERSO MAESTRO'!$D$6:$D$497,MATCH(B21,'UNIVERSO MAESTRO'!$A$6:$A$497,0)),""))</f>
        <v>V1</v>
      </c>
      <c r="E21" s="58" t="s">
        <v>2817</v>
      </c>
      <c r="F21" s="58" t="s">
        <v>2818</v>
      </c>
      <c r="G21" s="55" t="s">
        <v>205</v>
      </c>
      <c r="H21" s="58" t="s">
        <v>2819</v>
      </c>
      <c r="I21" s="58" t="s">
        <v>2820</v>
      </c>
      <c r="J21" s="55" t="s">
        <v>225</v>
      </c>
      <c r="K21" s="55" t="s">
        <v>1530</v>
      </c>
    </row>
    <row r="22" spans="1:11" ht="69.75" customHeight="1" x14ac:dyDescent="0.2">
      <c r="A22" s="55" t="s">
        <v>2821</v>
      </c>
      <c r="B22" s="55" t="s">
        <v>413</v>
      </c>
      <c r="C22" s="56" t="str">
        <f>IF(B22="","",IFERROR(INDEX('UNIVERSO MAESTRO'!$C$6:$C$497,MATCH(B22,'UNIVERSO MAESTRO'!$A$6:$A$497,0)),"⚠ ID no encontrado"))</f>
        <v>Club Necaxa</v>
      </c>
      <c r="D22" s="57" t="str">
        <f>IF(B22="","",IFERROR(INDEX('UNIVERSO MAESTRO'!$D$6:$D$497,MATCH(B22,'UNIVERSO MAESTRO'!$A$6:$A$497,0)),""))</f>
        <v>V1</v>
      </c>
      <c r="E22" s="58" t="s">
        <v>2792</v>
      </c>
      <c r="F22" s="58" t="s">
        <v>2822</v>
      </c>
      <c r="G22" s="55" t="s">
        <v>205</v>
      </c>
      <c r="H22" s="58" t="s">
        <v>2823</v>
      </c>
      <c r="I22" s="58" t="s">
        <v>2824</v>
      </c>
      <c r="J22" s="55" t="s">
        <v>225</v>
      </c>
      <c r="K22" s="55" t="s">
        <v>1530</v>
      </c>
    </row>
    <row r="23" spans="1:11" ht="69.75" customHeight="1" x14ac:dyDescent="0.2">
      <c r="A23" s="55" t="s">
        <v>2835</v>
      </c>
      <c r="B23" s="55" t="s">
        <v>489</v>
      </c>
      <c r="C23" s="56" t="str">
        <f>IF(B23="","",IFERROR(INDEX('UNIVERSO MAESTRO'!$C$6:$C$497,MATCH(B23,'UNIVERSO MAESTRO'!$A$6:$A$497,0)),"⚠ ID no encontrado"))</f>
        <v>Cruz Azul FC</v>
      </c>
      <c r="D23" s="57" t="str">
        <f>IF(B23="","",IFERROR(INDEX('UNIVERSO MAESTRO'!$D$6:$D$497,MATCH(B23,'UNIVERSO MAESTRO'!$A$6:$A$497,0)),""))</f>
        <v>V1</v>
      </c>
      <c r="E23" s="58" t="s">
        <v>2836</v>
      </c>
      <c r="F23" s="58" t="s">
        <v>2837</v>
      </c>
      <c r="G23" s="55" t="s">
        <v>205</v>
      </c>
      <c r="H23" s="58" t="s">
        <v>2838</v>
      </c>
      <c r="I23" s="58" t="s">
        <v>2839</v>
      </c>
      <c r="J23" s="55" t="s">
        <v>225</v>
      </c>
      <c r="K23" s="55" t="s">
        <v>1530</v>
      </c>
    </row>
    <row r="24" spans="1:11" ht="69.75" customHeight="1" x14ac:dyDescent="0.2">
      <c r="A24" s="55" t="s">
        <v>2890</v>
      </c>
      <c r="B24" s="55" t="s">
        <v>1242</v>
      </c>
      <c r="C24" s="56" t="str">
        <f>IF(B24="","",IFERROR(INDEX('UNIVERSO MAESTRO'!$C$6:$C$497,MATCH(B24,'UNIVERSO MAESTRO'!$A$6:$A$497,0)),"⚠ ID no encontrado"))</f>
        <v>Pumas UNAM</v>
      </c>
      <c r="D24" s="57" t="str">
        <f>IF(B24="","",IFERROR(INDEX('UNIVERSO MAESTRO'!$D$6:$D$497,MATCH(B24,'UNIVERSO MAESTRO'!$A$6:$A$497,0)),""))</f>
        <v>V1</v>
      </c>
      <c r="E24" s="58" t="s">
        <v>2891</v>
      </c>
      <c r="F24" s="58" t="s">
        <v>2892</v>
      </c>
      <c r="G24" s="55" t="s">
        <v>205</v>
      </c>
      <c r="H24" s="58" t="s">
        <v>2893</v>
      </c>
      <c r="I24" s="58" t="s">
        <v>2894</v>
      </c>
      <c r="J24" s="55" t="s">
        <v>225</v>
      </c>
      <c r="K24" s="55" t="s">
        <v>1530</v>
      </c>
    </row>
    <row r="25" spans="1:11" ht="69.75" customHeight="1" x14ac:dyDescent="0.2">
      <c r="A25" s="55" t="s">
        <v>2895</v>
      </c>
      <c r="B25" s="55" t="s">
        <v>1303</v>
      </c>
      <c r="C25" s="56" t="str">
        <f>IF(B25="","",IFERROR(INDEX('UNIVERSO MAESTRO'!$C$6:$C$497,MATCH(B25,'UNIVERSO MAESTRO'!$A$6:$A$497,0)),"⚠ ID no encontrado"))</f>
        <v>Selección Mexicana de Fútbol</v>
      </c>
      <c r="D25" s="57" t="str">
        <f>IF(B25="","",IFERROR(INDEX('UNIVERSO MAESTRO'!$D$6:$D$497,MATCH(B25,'UNIVERSO MAESTRO'!$A$6:$A$497,0)),""))</f>
        <v>V1</v>
      </c>
      <c r="E25" s="58" t="s">
        <v>2896</v>
      </c>
      <c r="F25" s="58" t="s">
        <v>2897</v>
      </c>
      <c r="G25" s="55" t="s">
        <v>205</v>
      </c>
      <c r="H25" s="58" t="s">
        <v>2898</v>
      </c>
      <c r="I25" s="58" t="s">
        <v>2899</v>
      </c>
      <c r="J25" s="55" t="s">
        <v>225</v>
      </c>
      <c r="K25" s="55" t="s">
        <v>1530</v>
      </c>
    </row>
    <row r="26" spans="1:11" ht="69.75" customHeight="1" x14ac:dyDescent="0.2">
      <c r="A26" s="55" t="s">
        <v>2900</v>
      </c>
      <c r="B26" s="55" t="s">
        <v>1312</v>
      </c>
      <c r="C26" s="56" t="str">
        <f>IF(B26="","",IFERROR(INDEX('UNIVERSO MAESTRO'!$C$6:$C$497,MATCH(B26,'UNIVERSO MAESTRO'!$A$6:$A$497,0)),"⚠ ID no encontrado"))</f>
        <v>Selección Mexicana Femenil</v>
      </c>
      <c r="D26" s="57" t="str">
        <f>IF(B26="","",IFERROR(INDEX('UNIVERSO MAESTRO'!$D$6:$D$497,MATCH(B26,'UNIVERSO MAESTRO'!$A$6:$A$497,0)),""))</f>
        <v>V1</v>
      </c>
      <c r="E26" s="58" t="s">
        <v>2901</v>
      </c>
      <c r="F26" s="58" t="s">
        <v>2902</v>
      </c>
      <c r="G26" s="55" t="s">
        <v>205</v>
      </c>
      <c r="H26" s="58" t="s">
        <v>2903</v>
      </c>
      <c r="I26" s="58" t="s">
        <v>2904</v>
      </c>
      <c r="J26" s="55" t="s">
        <v>225</v>
      </c>
      <c r="K26" s="55" t="s">
        <v>1530</v>
      </c>
    </row>
    <row r="27" spans="1:11" ht="69.75" customHeight="1" x14ac:dyDescent="0.2">
      <c r="A27" s="55" t="s">
        <v>2960</v>
      </c>
      <c r="B27" s="55" t="s">
        <v>614</v>
      </c>
      <c r="C27" s="56" t="str">
        <f>IF(B27="","",IFERROR(INDEX('UNIVERSO MAESTRO'!$C$6:$C$497,MATCH(B27,'UNIVERSO MAESTRO'!$A$6:$A$497,0)),"⚠ ID no encontrado"))</f>
        <v>Federación Mexicana de Fútbol</v>
      </c>
      <c r="D27" s="57" t="str">
        <f>IF(B27="","",IFERROR(INDEX('UNIVERSO MAESTRO'!$D$6:$D$497,MATCH(B27,'UNIVERSO MAESTRO'!$A$6:$A$497,0)),""))</f>
        <v>V1</v>
      </c>
      <c r="E27" s="58" t="s">
        <v>2961</v>
      </c>
      <c r="F27" s="58" t="s">
        <v>2962</v>
      </c>
      <c r="G27" s="55" t="s">
        <v>205</v>
      </c>
      <c r="H27" s="58" t="s">
        <v>2963</v>
      </c>
      <c r="I27" s="58" t="s">
        <v>2964</v>
      </c>
      <c r="J27" s="55" t="s">
        <v>225</v>
      </c>
      <c r="K27" s="55" t="s">
        <v>1530</v>
      </c>
    </row>
    <row r="28" spans="1:11" ht="69.75" customHeight="1" x14ac:dyDescent="0.2">
      <c r="A28" s="55" t="s">
        <v>2995</v>
      </c>
      <c r="B28" s="55" t="s">
        <v>979</v>
      </c>
      <c r="C28" s="56" t="str">
        <f>IF(B28="","",IFERROR(INDEX('UNIVERSO MAESTRO'!$C$6:$C$497,MATCH(B28,'UNIVERSO MAESTRO'!$A$6:$A$497,0)),"⚠ ID no encontrado"))</f>
        <v>LIV Golf League (Mexico City)</v>
      </c>
      <c r="D28" s="57" t="str">
        <f>IF(B28="","",IFERROR(INDEX('UNIVERSO MAESTRO'!$D$6:$D$497,MATCH(B28,'UNIVERSO MAESTRO'!$A$6:$A$497,0)),""))</f>
        <v>V1</v>
      </c>
      <c r="E28" s="58" t="s">
        <v>2996</v>
      </c>
      <c r="F28" s="58" t="s">
        <v>2997</v>
      </c>
      <c r="G28" s="55" t="s">
        <v>230</v>
      </c>
      <c r="H28" s="58" t="s">
        <v>2998</v>
      </c>
      <c r="I28" s="58" t="s">
        <v>2999</v>
      </c>
      <c r="J28" s="55" t="s">
        <v>225</v>
      </c>
      <c r="K28" s="55" t="s">
        <v>1530</v>
      </c>
    </row>
    <row r="29" spans="1:11" ht="69.75" customHeight="1" x14ac:dyDescent="0.2">
      <c r="A29" s="55" t="s">
        <v>3176</v>
      </c>
      <c r="B29" s="55" t="s">
        <v>367</v>
      </c>
      <c r="C29" s="56" t="str">
        <f>IF(B29="","",IFERROR(INDEX('UNIVERSO MAESTRO'!$C$6:$C$497,MATCH(B29,'UNIVERSO MAESTRO'!$A$6:$A$497,0)),"⚠ ID no encontrado"))</f>
        <v>Capitanes de Ciudad de México (NBA G-League)</v>
      </c>
      <c r="D29" s="57" t="str">
        <f>IF(B29="","",IFERROR(INDEX('UNIVERSO MAESTRO'!$D$6:$D$497,MATCH(B29,'UNIVERSO MAESTRO'!$A$6:$A$497,0)),""))</f>
        <v>V1</v>
      </c>
      <c r="E29" s="58" t="s">
        <v>3177</v>
      </c>
      <c r="F29" s="58" t="s">
        <v>3178</v>
      </c>
      <c r="G29" s="55" t="s">
        <v>205</v>
      </c>
      <c r="H29" s="58" t="s">
        <v>3179</v>
      </c>
      <c r="I29" s="58" t="s">
        <v>3180</v>
      </c>
      <c r="J29" s="55" t="s">
        <v>225</v>
      </c>
      <c r="K29" s="55" t="s">
        <v>1530</v>
      </c>
    </row>
    <row r="30" spans="1:11" ht="69.75" customHeight="1" x14ac:dyDescent="0.2">
      <c r="A30" s="55" t="s">
        <v>3181</v>
      </c>
      <c r="B30" s="55" t="s">
        <v>389</v>
      </c>
      <c r="C30" s="56" t="str">
        <f>IF(B30="","",IFERROR(INDEX('UNIVERSO MAESTRO'!$C$6:$C$497,MATCH(B30,'UNIVERSO MAESTRO'!$A$6:$A$497,0)),"⚠ ID no encontrado"))</f>
        <v>Charros de Jalisco (LMB + LMP)</v>
      </c>
      <c r="D30" s="57" t="str">
        <f>IF(B30="","",IFERROR(INDEX('UNIVERSO MAESTRO'!$D$6:$D$497,MATCH(B30,'UNIVERSO MAESTRO'!$A$6:$A$497,0)),""))</f>
        <v>V1</v>
      </c>
      <c r="E30" s="58" t="s">
        <v>3182</v>
      </c>
      <c r="F30" s="58" t="s">
        <v>3183</v>
      </c>
      <c r="G30" s="55" t="s">
        <v>205</v>
      </c>
      <c r="H30" s="58" t="s">
        <v>3184</v>
      </c>
      <c r="I30" s="58" t="s">
        <v>3185</v>
      </c>
      <c r="J30" s="55" t="s">
        <v>213</v>
      </c>
      <c r="K30" s="55" t="s">
        <v>1530</v>
      </c>
    </row>
    <row r="31" spans="1:11" ht="69.75" customHeight="1" x14ac:dyDescent="0.2">
      <c r="A31" s="55" t="s">
        <v>3186</v>
      </c>
      <c r="B31" s="55" t="s">
        <v>1093</v>
      </c>
      <c r="C31" s="56" t="str">
        <f>IF(B31="","",IFERROR(INDEX('UNIVERSO MAESTRO'!$C$6:$C$497,MATCH(B31,'UNIVERSO MAESTRO'!$A$6:$A$497,0)),"⚠ ID no encontrado"))</f>
        <v>Naranjeros de Hermosillo (LMP)</v>
      </c>
      <c r="D31" s="57" t="str">
        <f>IF(B31="","",IFERROR(INDEX('UNIVERSO MAESTRO'!$D$6:$D$497,MATCH(B31,'UNIVERSO MAESTRO'!$A$6:$A$497,0)),""))</f>
        <v>V1</v>
      </c>
      <c r="E31" s="58" t="s">
        <v>3187</v>
      </c>
      <c r="F31" s="58" t="s">
        <v>3188</v>
      </c>
      <c r="G31" s="55" t="s">
        <v>205</v>
      </c>
      <c r="H31" s="58" t="s">
        <v>3189</v>
      </c>
      <c r="I31" s="58" t="s">
        <v>3190</v>
      </c>
      <c r="J31" s="55" t="s">
        <v>225</v>
      </c>
      <c r="K31" s="55" t="s">
        <v>1530</v>
      </c>
    </row>
    <row r="32" spans="1:11" ht="69.75" customHeight="1" x14ac:dyDescent="0.2">
      <c r="A32" s="55" t="s">
        <v>3191</v>
      </c>
      <c r="B32" s="55" t="s">
        <v>1381</v>
      </c>
      <c r="C32" s="56" t="str">
        <f>IF(B32="","",IFERROR(INDEX('UNIVERSO MAESTRO'!$C$6:$C$497,MATCH(B32,'UNIVERSO MAESTRO'!$A$6:$A$497,0)),"⚠ ID no encontrado"))</f>
        <v>Sultanes de Monterrey (LMB)</v>
      </c>
      <c r="D32" s="57" t="str">
        <f>IF(B32="","",IFERROR(INDEX('UNIVERSO MAESTRO'!$D$6:$D$497,MATCH(B32,'UNIVERSO MAESTRO'!$A$6:$A$497,0)),""))</f>
        <v>V1</v>
      </c>
      <c r="E32" s="58" t="s">
        <v>3192</v>
      </c>
      <c r="F32" s="58" t="s">
        <v>3193</v>
      </c>
      <c r="G32" s="55" t="s">
        <v>205</v>
      </c>
      <c r="H32" s="58" t="s">
        <v>3194</v>
      </c>
      <c r="I32" s="58" t="s">
        <v>3195</v>
      </c>
      <c r="J32" s="55" t="s">
        <v>213</v>
      </c>
      <c r="K32" s="55" t="s">
        <v>1530</v>
      </c>
    </row>
    <row r="33" spans="1:11" ht="69.75" customHeight="1" x14ac:dyDescent="0.2">
      <c r="A33" s="55" t="s">
        <v>3196</v>
      </c>
      <c r="B33" s="55" t="s">
        <v>1426</v>
      </c>
      <c r="C33" s="56" t="str">
        <f>IF(B33="","",IFERROR(INDEX('UNIVERSO MAESTRO'!$C$6:$C$497,MATCH(B33,'UNIVERSO MAESTRO'!$A$6:$A$497,0)),"⚠ ID no encontrado"))</f>
        <v>Tomateros de Culiacán (LMP)</v>
      </c>
      <c r="D33" s="57" t="str">
        <f>IF(B33="","",IFERROR(INDEX('UNIVERSO MAESTRO'!$D$6:$D$497,MATCH(B33,'UNIVERSO MAESTRO'!$A$6:$A$497,0)),""))</f>
        <v>V1</v>
      </c>
      <c r="E33" s="58" t="s">
        <v>3197</v>
      </c>
      <c r="F33" s="58" t="s">
        <v>3198</v>
      </c>
      <c r="G33" s="55" t="s">
        <v>205</v>
      </c>
      <c r="H33" s="58" t="s">
        <v>3199</v>
      </c>
      <c r="I33" s="58" t="s">
        <v>3200</v>
      </c>
      <c r="J33" s="55" t="s">
        <v>213</v>
      </c>
      <c r="K33" s="55" t="s">
        <v>1530</v>
      </c>
    </row>
    <row r="34" spans="1:11" ht="69.75" customHeight="1" x14ac:dyDescent="0.2">
      <c r="A34" s="55" t="s">
        <v>3201</v>
      </c>
      <c r="B34" s="55" t="s">
        <v>1434</v>
      </c>
      <c r="C34" s="56" t="str">
        <f>IF(B34="","",IFERROR(INDEX('UNIVERSO MAESTRO'!$C$6:$C$497,MATCH(B34,'UNIVERSO MAESTRO'!$A$6:$A$497,0)),"⚠ ID no encontrado"))</f>
        <v>Toros de Tijuana (LMB)</v>
      </c>
      <c r="D34" s="57" t="str">
        <f>IF(B34="","",IFERROR(INDEX('UNIVERSO MAESTRO'!$D$6:$D$497,MATCH(B34,'UNIVERSO MAESTRO'!$A$6:$A$497,0)),""))</f>
        <v>V1</v>
      </c>
      <c r="E34" s="58" t="s">
        <v>3202</v>
      </c>
      <c r="F34" s="58" t="s">
        <v>3203</v>
      </c>
      <c r="G34" s="55" t="s">
        <v>205</v>
      </c>
      <c r="H34" s="58" t="s">
        <v>3204</v>
      </c>
      <c r="I34" s="58" t="s">
        <v>3205</v>
      </c>
      <c r="J34" s="55" t="s">
        <v>225</v>
      </c>
      <c r="K34" s="55" t="s">
        <v>1530</v>
      </c>
    </row>
    <row r="35" spans="1:11" ht="69.75" customHeight="1" x14ac:dyDescent="0.2">
      <c r="A35" s="55" t="s">
        <v>3206</v>
      </c>
      <c r="B35" s="55" t="s">
        <v>1449</v>
      </c>
      <c r="C35" s="56" t="str">
        <f>IF(B35="","",IFERROR(INDEX('UNIVERSO MAESTRO'!$C$6:$C$497,MATCH(B35,'UNIVERSO MAESTRO'!$A$6:$A$497,0)),"⚠ ID no encontrado"))</f>
        <v>Venados de Mazatlán (LMP)</v>
      </c>
      <c r="D35" s="57" t="str">
        <f>IF(B35="","",IFERROR(INDEX('UNIVERSO MAESTRO'!$D$6:$D$497,MATCH(B35,'UNIVERSO MAESTRO'!$A$6:$A$497,0)),""))</f>
        <v>V1</v>
      </c>
      <c r="E35" s="58" t="s">
        <v>3207</v>
      </c>
      <c r="F35" s="58" t="s">
        <v>3208</v>
      </c>
      <c r="G35" s="55" t="s">
        <v>205</v>
      </c>
      <c r="H35" s="58" t="s">
        <v>3209</v>
      </c>
      <c r="I35" s="58" t="s">
        <v>3210</v>
      </c>
      <c r="J35" s="55" t="s">
        <v>213</v>
      </c>
      <c r="K35" s="55" t="s">
        <v>1530</v>
      </c>
    </row>
    <row r="36" spans="1:11" ht="69.75" customHeight="1" x14ac:dyDescent="0.2">
      <c r="A36" s="55" t="s">
        <v>3211</v>
      </c>
      <c r="B36" s="55" t="s">
        <v>1500</v>
      </c>
      <c r="C36" s="56" t="str">
        <f>IF(B36="","",IFERROR(INDEX('UNIVERSO MAESTRO'!$C$6:$C$497,MATCH(B36,'UNIVERSO MAESTRO'!$A$6:$A$497,0)),"⚠ ID no encontrado"))</f>
        <v>World Boxing Council (WBC) — sede CDMX</v>
      </c>
      <c r="D36" s="57" t="str">
        <f>IF(B36="","",IFERROR(INDEX('UNIVERSO MAESTRO'!$D$6:$D$497,MATCH(B36,'UNIVERSO MAESTRO'!$A$6:$A$497,0)),""))</f>
        <v>V1</v>
      </c>
      <c r="E36" s="58" t="s">
        <v>3212</v>
      </c>
      <c r="F36" s="58" t="s">
        <v>3213</v>
      </c>
      <c r="G36" s="55" t="s">
        <v>205</v>
      </c>
      <c r="H36" s="58" t="s">
        <v>3214</v>
      </c>
      <c r="I36" s="58" t="s">
        <v>3215</v>
      </c>
      <c r="J36" s="55" t="s">
        <v>225</v>
      </c>
      <c r="K36" s="55" t="s">
        <v>1530</v>
      </c>
    </row>
    <row r="37" spans="1:11" ht="69.75" customHeight="1" x14ac:dyDescent="0.2">
      <c r="A37" s="55" t="s">
        <v>3256</v>
      </c>
      <c r="B37" s="55" t="s">
        <v>894</v>
      </c>
      <c r="C37" s="56" t="str">
        <f>IF(B37="","",IFERROR(INDEX('UNIVERSO MAESTRO'!$C$6:$C$497,MATCH(B37,'UNIVERSO MAESTRO'!$A$6:$A$497,0)),"⚠ ID no encontrado"))</f>
        <v>INDEPORTE — Instituto del Deporte de la Ciudad de México</v>
      </c>
      <c r="D37" s="57" t="str">
        <f>IF(B37="","",IFERROR(INDEX('UNIVERSO MAESTRO'!$D$6:$D$497,MATCH(B37,'UNIVERSO MAESTRO'!$A$6:$A$497,0)),""))</f>
        <v>V1</v>
      </c>
      <c r="E37" s="58" t="s">
        <v>3257</v>
      </c>
      <c r="F37" s="58" t="s">
        <v>3258</v>
      </c>
      <c r="G37" s="55" t="s">
        <v>205</v>
      </c>
      <c r="H37" s="58" t="s">
        <v>3259</v>
      </c>
      <c r="I37" s="58" t="s">
        <v>3260</v>
      </c>
      <c r="J37" s="55" t="s">
        <v>213</v>
      </c>
      <c r="K37" s="55" t="s">
        <v>1530</v>
      </c>
    </row>
    <row r="38" spans="1:11" ht="69.75" customHeight="1" x14ac:dyDescent="0.2">
      <c r="A38" s="55" t="s">
        <v>2529</v>
      </c>
      <c r="B38" s="55" t="s">
        <v>236</v>
      </c>
      <c r="C38" s="56" t="str">
        <f>IF(B38="","",IFERROR(INDEX('UNIVERSO MAESTRO'!$C$6:$C$497,MATCH(B38,'UNIVERSO MAESTRO'!$A$6:$A$497,0)),"⚠ ID no encontrado"))</f>
        <v>Amazon Prime Video</v>
      </c>
      <c r="D38" s="57" t="str">
        <f>IF(B38="","",IFERROR(INDEX('UNIVERSO MAESTRO'!$D$6:$D$497,MATCH(B38,'UNIVERSO MAESTRO'!$A$6:$A$497,0)),""))</f>
        <v>V2</v>
      </c>
      <c r="E38" s="58" t="s">
        <v>2530</v>
      </c>
      <c r="F38" s="58" t="s">
        <v>2531</v>
      </c>
      <c r="G38" s="55" t="s">
        <v>205</v>
      </c>
      <c r="H38" s="58" t="s">
        <v>2532</v>
      </c>
      <c r="I38" s="58" t="s">
        <v>2533</v>
      </c>
      <c r="J38" s="55" t="s">
        <v>225</v>
      </c>
      <c r="K38" s="55" t="s">
        <v>1530</v>
      </c>
    </row>
    <row r="39" spans="1:11" ht="69.75" customHeight="1" x14ac:dyDescent="0.2">
      <c r="A39" s="55" t="s">
        <v>2549</v>
      </c>
      <c r="B39" s="55" t="s">
        <v>549</v>
      </c>
      <c r="C39" s="56" t="str">
        <f>IF(B39="","",IFERROR(INDEX('UNIVERSO MAESTRO'!$C$6:$C$497,MATCH(B39,'UNIVERSO MAESTRO'!$A$6:$A$497,0)),"⚠ ID no encontrado"))</f>
        <v>ESPN / Disney+ México</v>
      </c>
      <c r="D39" s="57" t="str">
        <f>IF(B39="","",IFERROR(INDEX('UNIVERSO MAESTRO'!$D$6:$D$497,MATCH(B39,'UNIVERSO MAESTRO'!$A$6:$A$497,0)),""))</f>
        <v>V2</v>
      </c>
      <c r="E39" s="58" t="s">
        <v>2550</v>
      </c>
      <c r="F39" s="58" t="s">
        <v>2551</v>
      </c>
      <c r="G39" s="55" t="s">
        <v>205</v>
      </c>
      <c r="H39" s="58" t="s">
        <v>2552</v>
      </c>
      <c r="I39" s="58" t="s">
        <v>2553</v>
      </c>
      <c r="J39" s="55" t="s">
        <v>225</v>
      </c>
      <c r="K39" s="55" t="s">
        <v>1530</v>
      </c>
    </row>
    <row r="40" spans="1:11" ht="69.75" customHeight="1" x14ac:dyDescent="0.2">
      <c r="A40" s="55" t="s">
        <v>2659</v>
      </c>
      <c r="B40" s="55" t="s">
        <v>1416</v>
      </c>
      <c r="C40" s="56" t="str">
        <f>IF(B40="","",IFERROR(INDEX('UNIVERSO MAESTRO'!$C$6:$C$497,MATCH(B40,'UNIVERSO MAESTRO'!$A$6:$A$497,0)),"⚠ ID no encontrado"))</f>
        <v>TelevisaUnivision</v>
      </c>
      <c r="D40" s="57" t="str">
        <f>IF(B40="","",IFERROR(INDEX('UNIVERSO MAESTRO'!$D$6:$D$497,MATCH(B40,'UNIVERSO MAESTRO'!$A$6:$A$497,0)),""))</f>
        <v>V2</v>
      </c>
      <c r="E40" s="58" t="s">
        <v>2660</v>
      </c>
      <c r="F40" s="58" t="s">
        <v>2661</v>
      </c>
      <c r="G40" s="55" t="s">
        <v>205</v>
      </c>
      <c r="H40" s="58" t="s">
        <v>2662</v>
      </c>
      <c r="I40" s="58" t="s">
        <v>2663</v>
      </c>
      <c r="J40" s="55" t="s">
        <v>225</v>
      </c>
      <c r="K40" s="55" t="s">
        <v>1530</v>
      </c>
    </row>
    <row r="41" spans="1:11" ht="69.75" customHeight="1" x14ac:dyDescent="0.2">
      <c r="A41" s="55" t="s">
        <v>2664</v>
      </c>
      <c r="B41" s="55" t="s">
        <v>1416</v>
      </c>
      <c r="C41" s="56" t="str">
        <f>IF(B41="","",IFERROR(INDEX('UNIVERSO MAESTRO'!$C$6:$C$497,MATCH(B41,'UNIVERSO MAESTRO'!$A$6:$A$497,0)),"⚠ ID no encontrado"))</f>
        <v>TelevisaUnivision</v>
      </c>
      <c r="D41" s="57" t="str">
        <f>IF(B41="","",IFERROR(INDEX('UNIVERSO MAESTRO'!$D$6:$D$497,MATCH(B41,'UNIVERSO MAESTRO'!$A$6:$A$497,0)),""))</f>
        <v>V2</v>
      </c>
      <c r="E41" s="58" t="s">
        <v>2665</v>
      </c>
      <c r="F41" s="58" t="s">
        <v>2666</v>
      </c>
      <c r="G41" s="55" t="s">
        <v>230</v>
      </c>
      <c r="H41" s="58" t="s">
        <v>2667</v>
      </c>
      <c r="I41" s="58" t="s">
        <v>2668</v>
      </c>
      <c r="J41" s="55" t="s">
        <v>225</v>
      </c>
      <c r="K41" s="55" t="s">
        <v>353</v>
      </c>
    </row>
    <row r="42" spans="1:11" ht="69.75" customHeight="1" x14ac:dyDescent="0.2">
      <c r="A42" s="55" t="s">
        <v>2704</v>
      </c>
      <c r="B42" s="55" t="s">
        <v>647</v>
      </c>
      <c r="C42" s="56" t="str">
        <f>IF(B42="","",IFERROR(INDEX('UNIVERSO MAESTRO'!$C$6:$C$497,MATCH(B42,'UNIVERSO MAESTRO'!$A$6:$A$497,0)),"⚠ ID no encontrado"))</f>
        <v>Fox Corporation / FOX One / Tubi México</v>
      </c>
      <c r="D42" s="57" t="str">
        <f>IF(B42="","",IFERROR(INDEX('UNIVERSO MAESTRO'!$D$6:$D$497,MATCH(B42,'UNIVERSO MAESTRO'!$A$6:$A$497,0)),""))</f>
        <v>V2</v>
      </c>
      <c r="E42" s="58" t="s">
        <v>2705</v>
      </c>
      <c r="F42" s="58" t="s">
        <v>2706</v>
      </c>
      <c r="G42" s="55" t="s">
        <v>205</v>
      </c>
      <c r="H42" s="58" t="s">
        <v>2707</v>
      </c>
      <c r="I42" s="58" t="s">
        <v>2708</v>
      </c>
      <c r="J42" s="55" t="s">
        <v>225</v>
      </c>
      <c r="K42" s="55" t="s">
        <v>1530</v>
      </c>
    </row>
    <row r="43" spans="1:11" ht="69.75" customHeight="1" x14ac:dyDescent="0.2">
      <c r="A43" s="55" t="s">
        <v>2709</v>
      </c>
      <c r="B43" s="55" t="s">
        <v>654</v>
      </c>
      <c r="C43" s="56" t="str">
        <f>IF(B43="","",IFERROR(INDEX('UNIVERSO MAESTRO'!$C$6:$C$497,MATCH(B43,'UNIVERSO MAESTRO'!$A$6:$A$497,0)),"⚠ ID no encontrado"))</f>
        <v>Fox Sports México / Grupo Lauman</v>
      </c>
      <c r="D43" s="57" t="str">
        <f>IF(B43="","",IFERROR(INDEX('UNIVERSO MAESTRO'!$D$6:$D$497,MATCH(B43,'UNIVERSO MAESTRO'!$A$6:$A$497,0)),""))</f>
        <v>V2</v>
      </c>
      <c r="E43" s="58" t="s">
        <v>2710</v>
      </c>
      <c r="F43" s="58" t="s">
        <v>2711</v>
      </c>
      <c r="G43" s="55" t="s">
        <v>205</v>
      </c>
      <c r="H43" s="58" t="s">
        <v>2712</v>
      </c>
      <c r="I43" s="58" t="s">
        <v>2713</v>
      </c>
      <c r="J43" s="55" t="s">
        <v>225</v>
      </c>
      <c r="K43" s="55" t="s">
        <v>1530</v>
      </c>
    </row>
    <row r="44" spans="1:11" ht="69.75" customHeight="1" x14ac:dyDescent="0.2">
      <c r="A44" s="55" t="s">
        <v>2771</v>
      </c>
      <c r="B44" s="55" t="s">
        <v>1109</v>
      </c>
      <c r="C44" s="56" t="str">
        <f>IF(B44="","",IFERROR(INDEX('UNIVERSO MAESTRO'!$C$6:$C$497,MATCH(B44,'UNIVERSO MAESTRO'!$A$6:$A$497,0)),"⚠ ID no encontrado"))</f>
        <v>Netflix México</v>
      </c>
      <c r="D44" s="57" t="str">
        <f>IF(B44="","",IFERROR(INDEX('UNIVERSO MAESTRO'!$D$6:$D$497,MATCH(B44,'UNIVERSO MAESTRO'!$A$6:$A$497,0)),""))</f>
        <v>V2</v>
      </c>
      <c r="E44" s="58" t="s">
        <v>2772</v>
      </c>
      <c r="F44" s="58" t="s">
        <v>2773</v>
      </c>
      <c r="G44" s="55" t="s">
        <v>205</v>
      </c>
      <c r="H44" s="58" t="s">
        <v>2774</v>
      </c>
      <c r="I44" s="58" t="s">
        <v>2775</v>
      </c>
      <c r="J44" s="55" t="s">
        <v>225</v>
      </c>
      <c r="K44" s="55" t="s">
        <v>1530</v>
      </c>
    </row>
    <row r="45" spans="1:11" ht="69.75" customHeight="1" x14ac:dyDescent="0.2">
      <c r="A45" s="55" t="s">
        <v>2776</v>
      </c>
      <c r="B45" s="55" t="s">
        <v>1266</v>
      </c>
      <c r="C45" s="56" t="str">
        <f>IF(B45="","",IFERROR(INDEX('UNIVERSO MAESTRO'!$C$6:$C$497,MATCH(B45,'UNIVERSO MAESTRO'!$A$6:$A$497,0)),"⚠ ID no encontrado"))</f>
        <v>Récord</v>
      </c>
      <c r="D45" s="57" t="str">
        <f>IF(B45="","",IFERROR(INDEX('UNIVERSO MAESTRO'!$D$6:$D$497,MATCH(B45,'UNIVERSO MAESTRO'!$A$6:$A$497,0)),""))</f>
        <v>V2</v>
      </c>
      <c r="E45" s="58" t="s">
        <v>2777</v>
      </c>
      <c r="F45" s="58" t="s">
        <v>2778</v>
      </c>
      <c r="G45" s="55" t="s">
        <v>205</v>
      </c>
      <c r="H45" s="58" t="s">
        <v>2779</v>
      </c>
      <c r="I45" s="58" t="s">
        <v>2780</v>
      </c>
      <c r="J45" s="55" t="s">
        <v>213</v>
      </c>
      <c r="K45" s="55" t="s">
        <v>353</v>
      </c>
    </row>
    <row r="46" spans="1:11" ht="69.75" customHeight="1" x14ac:dyDescent="0.2">
      <c r="A46" s="55" t="s">
        <v>2796</v>
      </c>
      <c r="B46" s="55" t="s">
        <v>255</v>
      </c>
      <c r="C46" s="56" t="str">
        <f>IF(B46="","",IFERROR(INDEX('UNIVERSO MAESTRO'!$C$6:$C$497,MATCH(B46,'UNIVERSO MAESTRO'!$A$6:$A$497,0)),"⚠ ID no encontrado"))</f>
        <v>Apple TV (Leagues Cup MLS-Liga MX)</v>
      </c>
      <c r="D46" s="57" t="str">
        <f>IF(B46="","",IFERROR(INDEX('UNIVERSO MAESTRO'!$D$6:$D$497,MATCH(B46,'UNIVERSO MAESTRO'!$A$6:$A$497,0)),""))</f>
        <v>V2</v>
      </c>
      <c r="E46" s="58" t="s">
        <v>2797</v>
      </c>
      <c r="F46" s="58" t="s">
        <v>2798</v>
      </c>
      <c r="G46" s="55" t="s">
        <v>205</v>
      </c>
      <c r="H46" s="58" t="s">
        <v>2799</v>
      </c>
      <c r="I46" s="58" t="s">
        <v>2800</v>
      </c>
      <c r="J46" s="55" t="s">
        <v>225</v>
      </c>
      <c r="K46" s="55" t="s">
        <v>1530</v>
      </c>
    </row>
    <row r="47" spans="1:11" ht="69.75" customHeight="1" x14ac:dyDescent="0.2">
      <c r="A47" s="55" t="s">
        <v>2806</v>
      </c>
      <c r="B47" s="55" t="s">
        <v>308</v>
      </c>
      <c r="C47" s="56" t="str">
        <f>IF(B47="","",IFERROR(INDEX('UNIVERSO MAESTRO'!$C$6:$C$497,MATCH(B47,'UNIVERSO MAESTRO'!$A$6:$A$497,0)),"⚠ ID no encontrado"))</f>
        <v>Better Collective / Futbol Sites / Bolavip</v>
      </c>
      <c r="D47" s="57" t="str">
        <f>IF(B47="","",IFERROR(INDEX('UNIVERSO MAESTRO'!$D$6:$D$497,MATCH(B47,'UNIVERSO MAESTRO'!$A$6:$A$497,0)),""))</f>
        <v>V2</v>
      </c>
      <c r="E47" s="58" t="s">
        <v>2807</v>
      </c>
      <c r="F47" s="58" t="s">
        <v>2808</v>
      </c>
      <c r="G47" s="55" t="s">
        <v>205</v>
      </c>
      <c r="H47" s="58" t="s">
        <v>2809</v>
      </c>
      <c r="I47" s="58" t="s">
        <v>2810</v>
      </c>
      <c r="J47" s="55" t="s">
        <v>225</v>
      </c>
      <c r="K47" s="55" t="s">
        <v>1530</v>
      </c>
    </row>
    <row r="48" spans="1:11" ht="69.75" customHeight="1" x14ac:dyDescent="0.2">
      <c r="A48" s="55" t="s">
        <v>2870</v>
      </c>
      <c r="B48" s="55" t="s">
        <v>1024</v>
      </c>
      <c r="C48" s="56" t="str">
        <f>IF(B48="","",IFERROR(INDEX('UNIVERSO MAESTRO'!$C$6:$C$497,MATCH(B48,'UNIVERSO MAESTRO'!$A$6:$A$497,0)),"⚠ ID no encontrado"))</f>
        <v>Max / HBO Max Warner Bros. Discovery</v>
      </c>
      <c r="D48" s="57" t="str">
        <f>IF(B48="","",IFERROR(INDEX('UNIVERSO MAESTRO'!$D$6:$D$497,MATCH(B48,'UNIVERSO MAESTRO'!$A$6:$A$497,0)),""))</f>
        <v>V2</v>
      </c>
      <c r="E48" s="58" t="s">
        <v>2871</v>
      </c>
      <c r="F48" s="58" t="s">
        <v>2872</v>
      </c>
      <c r="G48" s="55" t="s">
        <v>205</v>
      </c>
      <c r="H48" s="58" t="s">
        <v>2873</v>
      </c>
      <c r="I48" s="58" t="s">
        <v>2874</v>
      </c>
      <c r="J48" s="55" t="s">
        <v>225</v>
      </c>
      <c r="K48" s="55" t="s">
        <v>1530</v>
      </c>
    </row>
    <row r="49" spans="1:11" ht="69.75" customHeight="1" x14ac:dyDescent="0.2">
      <c r="A49" s="55" t="s">
        <v>2875</v>
      </c>
      <c r="B49" s="55" t="s">
        <v>1059</v>
      </c>
      <c r="C49" s="56" t="str">
        <f>IF(B49="","",IFERROR(INDEX('UNIVERSO MAESTRO'!$C$6:$C$497,MATCH(B49,'UNIVERSO MAESTRO'!$A$6:$A$497,0)),"⚠ ID no encontrado"))</f>
        <v>Mediotiempo</v>
      </c>
      <c r="D49" s="57" t="str">
        <f>IF(B49="","",IFERROR(INDEX('UNIVERSO MAESTRO'!$D$6:$D$497,MATCH(B49,'UNIVERSO MAESTRO'!$A$6:$A$497,0)),""))</f>
        <v>V2</v>
      </c>
      <c r="E49" s="58" t="s">
        <v>2876</v>
      </c>
      <c r="F49" s="58" t="s">
        <v>2877</v>
      </c>
      <c r="G49" s="55" t="s">
        <v>205</v>
      </c>
      <c r="H49" s="58" t="s">
        <v>2878</v>
      </c>
      <c r="I49" s="58" t="s">
        <v>2879</v>
      </c>
      <c r="J49" s="55" t="s">
        <v>225</v>
      </c>
      <c r="K49" s="55" t="s">
        <v>1530</v>
      </c>
    </row>
    <row r="50" spans="1:11" ht="69.75" customHeight="1" x14ac:dyDescent="0.2">
      <c r="A50" s="55" t="s">
        <v>2885</v>
      </c>
      <c r="B50" s="55" t="s">
        <v>1188</v>
      </c>
      <c r="C50" s="56" t="str">
        <f>IF(B50="","",IFERROR(INDEX('UNIVERSO MAESTRO'!$C$6:$C$497,MATCH(B50,'UNIVERSO MAESTRO'!$A$6:$A$497,0)),"⚠ ID no encontrado"))</f>
        <v>Paramount+ / Pluto TV</v>
      </c>
      <c r="D50" s="57" t="str">
        <f>IF(B50="","",IFERROR(INDEX('UNIVERSO MAESTRO'!$D$6:$D$497,MATCH(B50,'UNIVERSO MAESTRO'!$A$6:$A$497,0)),""))</f>
        <v>V2</v>
      </c>
      <c r="E50" s="58" t="s">
        <v>2886</v>
      </c>
      <c r="F50" s="58" t="s">
        <v>2887</v>
      </c>
      <c r="G50" s="55" t="s">
        <v>205</v>
      </c>
      <c r="H50" s="58" t="s">
        <v>2888</v>
      </c>
      <c r="I50" s="58" t="s">
        <v>2889</v>
      </c>
      <c r="J50" s="55" t="s">
        <v>213</v>
      </c>
      <c r="K50" s="55" t="s">
        <v>1530</v>
      </c>
    </row>
    <row r="51" spans="1:11" ht="69.75" customHeight="1" x14ac:dyDescent="0.2">
      <c r="A51" s="55" t="s">
        <v>2905</v>
      </c>
      <c r="B51" s="55" t="s">
        <v>1333</v>
      </c>
      <c r="C51" s="56" t="str">
        <f>IF(B51="","",IFERROR(INDEX('UNIVERSO MAESTRO'!$C$6:$C$497,MATCH(B51,'UNIVERSO MAESTRO'!$A$6:$A$497,0)),"⚠ ID no encontrado"))</f>
        <v>Sky Sports México / NBCUniversal</v>
      </c>
      <c r="D51" s="57" t="str">
        <f>IF(B51="","",IFERROR(INDEX('UNIVERSO MAESTRO'!$D$6:$D$497,MATCH(B51,'UNIVERSO MAESTRO'!$A$6:$A$497,0)),""))</f>
        <v>V2</v>
      </c>
      <c r="E51" s="58" t="s">
        <v>2906</v>
      </c>
      <c r="F51" s="58" t="s">
        <v>2907</v>
      </c>
      <c r="G51" s="55" t="s">
        <v>205</v>
      </c>
      <c r="H51" s="58" t="s">
        <v>2908</v>
      </c>
      <c r="I51" s="58" t="s">
        <v>2909</v>
      </c>
      <c r="J51" s="55" t="s">
        <v>225</v>
      </c>
      <c r="K51" s="55" t="s">
        <v>1530</v>
      </c>
    </row>
    <row r="52" spans="1:11" ht="69.75" customHeight="1" x14ac:dyDescent="0.2">
      <c r="A52" s="55" t="s">
        <v>3030</v>
      </c>
      <c r="B52" s="55" t="s">
        <v>1416</v>
      </c>
      <c r="C52" s="56" t="str">
        <f>IF(B52="","",IFERROR(INDEX('UNIVERSO MAESTRO'!$C$6:$C$497,MATCH(B52,'UNIVERSO MAESTRO'!$A$6:$A$497,0)),"⚠ ID no encontrado"))</f>
        <v>TelevisaUnivision</v>
      </c>
      <c r="D52" s="57" t="str">
        <f>IF(B52="","",IFERROR(INDEX('UNIVERSO MAESTRO'!$D$6:$D$497,MATCH(B52,'UNIVERSO MAESTRO'!$A$6:$A$497,0)),""))</f>
        <v>V2</v>
      </c>
      <c r="E52" s="58" t="s">
        <v>3031</v>
      </c>
      <c r="F52" s="58" t="s">
        <v>3032</v>
      </c>
      <c r="G52" s="55" t="s">
        <v>205</v>
      </c>
      <c r="H52" s="58" t="s">
        <v>3033</v>
      </c>
      <c r="I52" s="58" t="s">
        <v>3034</v>
      </c>
      <c r="J52" s="55" t="s">
        <v>225</v>
      </c>
      <c r="K52" s="55" t="s">
        <v>1530</v>
      </c>
    </row>
    <row r="53" spans="1:11" ht="69.75" customHeight="1" x14ac:dyDescent="0.2">
      <c r="A53" s="55" t="s">
        <v>3035</v>
      </c>
      <c r="B53" s="55" t="s">
        <v>1416</v>
      </c>
      <c r="C53" s="56" t="str">
        <f>IF(B53="","",IFERROR(INDEX('UNIVERSO MAESTRO'!$C$6:$C$497,MATCH(B53,'UNIVERSO MAESTRO'!$A$6:$A$497,0)),"⚠ ID no encontrado"))</f>
        <v>TelevisaUnivision</v>
      </c>
      <c r="D53" s="57" t="str">
        <f>IF(B53="","",IFERROR(INDEX('UNIVERSO MAESTRO'!$D$6:$D$497,MATCH(B53,'UNIVERSO MAESTRO'!$A$6:$A$497,0)),""))</f>
        <v>V2</v>
      </c>
      <c r="E53" s="58" t="s">
        <v>3036</v>
      </c>
      <c r="F53" s="58" t="s">
        <v>3032</v>
      </c>
      <c r="G53" s="55" t="s">
        <v>205</v>
      </c>
      <c r="H53" s="58" t="s">
        <v>3037</v>
      </c>
      <c r="I53" s="58" t="s">
        <v>3038</v>
      </c>
      <c r="J53" s="55" t="s">
        <v>225</v>
      </c>
      <c r="K53" s="55" t="s">
        <v>1530</v>
      </c>
    </row>
    <row r="54" spans="1:11" ht="69.75" customHeight="1" x14ac:dyDescent="0.2">
      <c r="A54" s="55" t="s">
        <v>3039</v>
      </c>
      <c r="B54" s="55" t="s">
        <v>1416</v>
      </c>
      <c r="C54" s="56" t="str">
        <f>IF(B54="","",IFERROR(INDEX('UNIVERSO MAESTRO'!$C$6:$C$497,MATCH(B54,'UNIVERSO MAESTRO'!$A$6:$A$497,0)),"⚠ ID no encontrado"))</f>
        <v>TelevisaUnivision</v>
      </c>
      <c r="D54" s="57" t="str">
        <f>IF(B54="","",IFERROR(INDEX('UNIVERSO MAESTRO'!$D$6:$D$497,MATCH(B54,'UNIVERSO MAESTRO'!$A$6:$A$497,0)),""))</f>
        <v>V2</v>
      </c>
      <c r="E54" s="58" t="s">
        <v>3040</v>
      </c>
      <c r="F54" s="58" t="s">
        <v>3041</v>
      </c>
      <c r="G54" s="55" t="s">
        <v>230</v>
      </c>
      <c r="H54" s="58" t="s">
        <v>3042</v>
      </c>
      <c r="I54" s="58" t="s">
        <v>3043</v>
      </c>
      <c r="J54" s="55" t="s">
        <v>225</v>
      </c>
      <c r="K54" s="55" t="s">
        <v>1530</v>
      </c>
    </row>
    <row r="55" spans="1:11" ht="69.75" customHeight="1" x14ac:dyDescent="0.2">
      <c r="A55" s="55" t="s">
        <v>3251</v>
      </c>
      <c r="B55" s="55" t="s">
        <v>1510</v>
      </c>
      <c r="C55" s="56" t="str">
        <f>IF(B55="","",IFERROR(INDEX('UNIVERSO MAESTRO'!$C$6:$C$497,MATCH(B55,'UNIVERSO MAESTRO'!$A$6:$A$497,0)),"⚠ ID no encontrado"))</f>
        <v>YouTube (Alphabet/Google)</v>
      </c>
      <c r="D55" s="57" t="str">
        <f>IF(B55="","",IFERROR(INDEX('UNIVERSO MAESTRO'!$D$6:$D$497,MATCH(B55,'UNIVERSO MAESTRO'!$A$6:$A$497,0)),""))</f>
        <v>V2</v>
      </c>
      <c r="E55" s="58" t="s">
        <v>3252</v>
      </c>
      <c r="F55" s="58" t="s">
        <v>3253</v>
      </c>
      <c r="G55" s="55" t="s">
        <v>205</v>
      </c>
      <c r="H55" s="58" t="s">
        <v>3254</v>
      </c>
      <c r="I55" s="58" t="s">
        <v>3255</v>
      </c>
      <c r="J55" s="55" t="s">
        <v>213</v>
      </c>
      <c r="K55" s="55" t="s">
        <v>1530</v>
      </c>
    </row>
    <row r="56" spans="1:11" ht="69.75" customHeight="1" x14ac:dyDescent="0.2">
      <c r="A56" s="55" t="s">
        <v>2644</v>
      </c>
      <c r="B56" s="55" t="s">
        <v>1159</v>
      </c>
      <c r="C56" s="56" t="str">
        <f>IF(B56="","",IFERROR(INDEX('UNIVERSO MAESTRO'!$C$6:$C$497,MATCH(B56,'UNIVERSO MAESTRO'!$A$6:$A$497,0)),"⚠ ID no encontrado"))</f>
        <v>OXXO / FEMSA Comercio</v>
      </c>
      <c r="D56" s="57" t="str">
        <f>IF(B56="","",IFERROR(INDEX('UNIVERSO MAESTRO'!$D$6:$D$497,MATCH(B56,'UNIVERSO MAESTRO'!$A$6:$A$497,0)),""))</f>
        <v>V3</v>
      </c>
      <c r="E56" s="58" t="s">
        <v>2645</v>
      </c>
      <c r="F56" s="58" t="s">
        <v>2646</v>
      </c>
      <c r="G56" s="55" t="s">
        <v>205</v>
      </c>
      <c r="H56" s="58" t="s">
        <v>2647</v>
      </c>
      <c r="I56" s="58" t="s">
        <v>2648</v>
      </c>
      <c r="J56" s="55" t="s">
        <v>225</v>
      </c>
      <c r="K56" s="55" t="s">
        <v>353</v>
      </c>
    </row>
    <row r="57" spans="1:11" ht="69.75" customHeight="1" x14ac:dyDescent="0.2">
      <c r="A57" s="55" t="s">
        <v>2669</v>
      </c>
      <c r="B57" s="55" t="s">
        <v>200</v>
      </c>
      <c r="C57" s="56" t="str">
        <f>IF(B57="","",IFERROR(INDEX('UNIVERSO MAESTRO'!$C$6:$C$497,MATCH(B57,'UNIVERSO MAESTRO'!$A$6:$A$497,0)),"⚠ ID no encontrado"))</f>
        <v>adidas</v>
      </c>
      <c r="D57" s="57" t="str">
        <f>IF(B57="","",IFERROR(INDEX('UNIVERSO MAESTRO'!$D$6:$D$497,MATCH(B57,'UNIVERSO MAESTRO'!$A$6:$A$497,0)),""))</f>
        <v>V3</v>
      </c>
      <c r="E57" s="58" t="s">
        <v>2670</v>
      </c>
      <c r="F57" s="58" t="s">
        <v>2671</v>
      </c>
      <c r="G57" s="55" t="s">
        <v>205</v>
      </c>
      <c r="H57" s="58" t="s">
        <v>2672</v>
      </c>
      <c r="I57" s="58" t="s">
        <v>2673</v>
      </c>
      <c r="J57" s="55" t="s">
        <v>225</v>
      </c>
      <c r="K57" s="55" t="s">
        <v>1530</v>
      </c>
    </row>
    <row r="58" spans="1:11" ht="69.75" customHeight="1" x14ac:dyDescent="0.2">
      <c r="A58" s="55" t="s">
        <v>2674</v>
      </c>
      <c r="B58" s="55" t="s">
        <v>299</v>
      </c>
      <c r="C58" s="56" t="str">
        <f>IF(B58="","",IFERROR(INDEX('UNIVERSO MAESTRO'!$C$6:$C$497,MATCH(B58,'UNIVERSO MAESTRO'!$A$6:$A$497,0)),"⚠ ID no encontrado"))</f>
        <v>BBVA México</v>
      </c>
      <c r="D58" s="57" t="str">
        <f>IF(B58="","",IFERROR(INDEX('UNIVERSO MAESTRO'!$D$6:$D$497,MATCH(B58,'UNIVERSO MAESTRO'!$A$6:$A$497,0)),""))</f>
        <v>V3</v>
      </c>
      <c r="E58" s="58" t="s">
        <v>2675</v>
      </c>
      <c r="F58" s="58" t="s">
        <v>2676</v>
      </c>
      <c r="G58" s="55" t="s">
        <v>205</v>
      </c>
      <c r="H58" s="58" t="s">
        <v>2677</v>
      </c>
      <c r="I58" s="58" t="s">
        <v>2678</v>
      </c>
      <c r="J58" s="55" t="s">
        <v>225</v>
      </c>
      <c r="K58" s="55" t="s">
        <v>1530</v>
      </c>
    </row>
    <row r="59" spans="1:11" ht="69.75" customHeight="1" x14ac:dyDescent="0.2">
      <c r="A59" s="55" t="s">
        <v>2689</v>
      </c>
      <c r="B59" s="55" t="s">
        <v>521</v>
      </c>
      <c r="C59" s="56" t="str">
        <f>IF(B59="","",IFERROR(INDEX('UNIVERSO MAESTRO'!$C$6:$C$497,MATCH(B59,'UNIVERSO MAESTRO'!$A$6:$A$497,0)),"⚠ ID no encontrado"))</f>
        <v>Electrolit / Grupo PiSA</v>
      </c>
      <c r="D59" s="57" t="str">
        <f>IF(B59="","",IFERROR(INDEX('UNIVERSO MAESTRO'!$D$6:$D$497,MATCH(B59,'UNIVERSO MAESTRO'!$A$6:$A$497,0)),""))</f>
        <v>V3</v>
      </c>
      <c r="E59" s="58" t="s">
        <v>2690</v>
      </c>
      <c r="F59" s="58" t="s">
        <v>2691</v>
      </c>
      <c r="G59" s="55" t="s">
        <v>205</v>
      </c>
      <c r="H59" s="58" t="s">
        <v>2692</v>
      </c>
      <c r="I59" s="58" t="s">
        <v>2693</v>
      </c>
      <c r="J59" s="55" t="s">
        <v>225</v>
      </c>
      <c r="K59" s="55" t="s">
        <v>1530</v>
      </c>
    </row>
    <row r="60" spans="1:11" ht="69.75" customHeight="1" x14ac:dyDescent="0.2">
      <c r="A60" s="55" t="s">
        <v>2744</v>
      </c>
      <c r="B60" s="55" t="s">
        <v>855</v>
      </c>
      <c r="C60" s="56" t="str">
        <f>IF(B60="","",IFERROR(INDEX('UNIVERSO MAESTRO'!$C$6:$C$497,MATCH(B60,'UNIVERSO MAESTRO'!$A$6:$A$497,0)),"⚠ ID no encontrado"))</f>
        <v>Heineken México</v>
      </c>
      <c r="D60" s="57" t="str">
        <f>IF(B60="","",IFERROR(INDEX('UNIVERSO MAESTRO'!$D$6:$D$497,MATCH(B60,'UNIVERSO MAESTRO'!$A$6:$A$497,0)),""))</f>
        <v>V3</v>
      </c>
      <c r="E60" s="58" t="s">
        <v>2745</v>
      </c>
      <c r="F60" s="58" t="s">
        <v>2746</v>
      </c>
      <c r="G60" s="55" t="s">
        <v>205</v>
      </c>
      <c r="H60" s="58" t="s">
        <v>2747</v>
      </c>
      <c r="I60" s="58" t="s">
        <v>2748</v>
      </c>
      <c r="J60" s="55" t="s">
        <v>213</v>
      </c>
      <c r="K60" s="55" t="s">
        <v>1530</v>
      </c>
    </row>
    <row r="61" spans="1:11" ht="69.75" customHeight="1" x14ac:dyDescent="0.2">
      <c r="A61" s="55" t="s">
        <v>2801</v>
      </c>
      <c r="B61" s="55" t="s">
        <v>288</v>
      </c>
      <c r="C61" s="56" t="str">
        <f>IF(B61="","",IFERROR(INDEX('UNIVERSO MAESTRO'!$C$6:$C$497,MATCH(B61,'UNIVERSO MAESTRO'!$A$6:$A$497,0)),"⚠ ID no encontrado"))</f>
        <v>Banorte / Grupo Financiero Banorte</v>
      </c>
      <c r="D61" s="57" t="str">
        <f>IF(B61="","",IFERROR(INDEX('UNIVERSO MAESTRO'!$D$6:$D$497,MATCH(B61,'UNIVERSO MAESTRO'!$A$6:$A$497,0)),""))</f>
        <v>V3</v>
      </c>
      <c r="E61" s="58" t="s">
        <v>2802</v>
      </c>
      <c r="F61" s="58" t="s">
        <v>2803</v>
      </c>
      <c r="G61" s="55" t="s">
        <v>205</v>
      </c>
      <c r="H61" s="58" t="s">
        <v>2804</v>
      </c>
      <c r="I61" s="58" t="s">
        <v>2805</v>
      </c>
      <c r="J61" s="55" t="s">
        <v>225</v>
      </c>
      <c r="K61" s="55" t="s">
        <v>1530</v>
      </c>
    </row>
    <row r="62" spans="1:11" ht="69.75" customHeight="1" x14ac:dyDescent="0.2">
      <c r="A62" s="55" t="s">
        <v>2825</v>
      </c>
      <c r="B62" s="55" t="s">
        <v>433</v>
      </c>
      <c r="C62" s="56" t="str">
        <f>IF(B62="","",IFERROR(INDEX('UNIVERSO MAESTRO'!$C$6:$C$497,MATCH(B62,'UNIVERSO MAESTRO'!$A$6:$A$497,0)),"⚠ ID no encontrado"))</f>
        <v>Coca-Cola México / Coca-Cola FEMSA</v>
      </c>
      <c r="D62" s="57" t="str">
        <f>IF(B62="","",IFERROR(INDEX('UNIVERSO MAESTRO'!$D$6:$D$497,MATCH(B62,'UNIVERSO MAESTRO'!$A$6:$A$497,0)),""))</f>
        <v>V3</v>
      </c>
      <c r="E62" s="58" t="s">
        <v>2826</v>
      </c>
      <c r="F62" s="58" t="s">
        <v>2827</v>
      </c>
      <c r="G62" s="55" t="s">
        <v>205</v>
      </c>
      <c r="H62" s="58" t="s">
        <v>2828</v>
      </c>
      <c r="I62" s="58" t="s">
        <v>2829</v>
      </c>
      <c r="J62" s="55" t="s">
        <v>225</v>
      </c>
      <c r="K62" s="55" t="s">
        <v>1530</v>
      </c>
    </row>
    <row r="63" spans="1:11" ht="69.75" customHeight="1" x14ac:dyDescent="0.2">
      <c r="A63" s="55" t="s">
        <v>2830</v>
      </c>
      <c r="B63" s="55" t="s">
        <v>442</v>
      </c>
      <c r="C63" s="56" t="str">
        <f>IF(B63="","",IFERROR(INDEX('UNIVERSO MAESTRO'!$C$6:$C$497,MATCH(B63,'UNIVERSO MAESTRO'!$A$6:$A$497,0)),"⚠ ID no encontrado"))</f>
        <v>Codere Online</v>
      </c>
      <c r="D63" s="57" t="str">
        <f>IF(B63="","",IFERROR(INDEX('UNIVERSO MAESTRO'!$D$6:$D$497,MATCH(B63,'UNIVERSO MAESTRO'!$A$6:$A$497,0)),""))</f>
        <v>V3</v>
      </c>
      <c r="E63" s="58" t="s">
        <v>2831</v>
      </c>
      <c r="F63" s="58" t="s">
        <v>2832</v>
      </c>
      <c r="G63" s="55" t="s">
        <v>205</v>
      </c>
      <c r="H63" s="58" t="s">
        <v>2833</v>
      </c>
      <c r="I63" s="58" t="s">
        <v>2834</v>
      </c>
      <c r="J63" s="55" t="s">
        <v>225</v>
      </c>
      <c r="K63" s="55" t="s">
        <v>1530</v>
      </c>
    </row>
    <row r="64" spans="1:11" ht="69.75" customHeight="1" x14ac:dyDescent="0.2">
      <c r="A64" s="55" t="s">
        <v>2935</v>
      </c>
      <c r="B64" s="55" t="s">
        <v>288</v>
      </c>
      <c r="C64" s="56" t="str">
        <f>IF(B64="","",IFERROR(INDEX('UNIVERSO MAESTRO'!$C$6:$C$497,MATCH(B64,'UNIVERSO MAESTRO'!$A$6:$A$497,0)),"⚠ ID no encontrado"))</f>
        <v>Banorte / Grupo Financiero Banorte</v>
      </c>
      <c r="D64" s="57" t="str">
        <f>IF(B64="","",IFERROR(INDEX('UNIVERSO MAESTRO'!$D$6:$D$497,MATCH(B64,'UNIVERSO MAESTRO'!$A$6:$A$497,0)),""))</f>
        <v>V3</v>
      </c>
      <c r="E64" s="58" t="s">
        <v>2936</v>
      </c>
      <c r="F64" s="58" t="s">
        <v>2937</v>
      </c>
      <c r="G64" s="55" t="s">
        <v>205</v>
      </c>
      <c r="H64" s="58" t="s">
        <v>2938</v>
      </c>
      <c r="I64" s="58" t="s">
        <v>2939</v>
      </c>
      <c r="J64" s="55" t="s">
        <v>225</v>
      </c>
      <c r="K64" s="55" t="s">
        <v>1530</v>
      </c>
    </row>
    <row r="65" spans="1:11" ht="69.75" customHeight="1" x14ac:dyDescent="0.2">
      <c r="A65" s="55" t="s">
        <v>2940</v>
      </c>
      <c r="B65" s="55" t="s">
        <v>288</v>
      </c>
      <c r="C65" s="56" t="str">
        <f>IF(B65="","",IFERROR(INDEX('UNIVERSO MAESTRO'!$C$6:$C$497,MATCH(B65,'UNIVERSO MAESTRO'!$A$6:$A$497,0)),"⚠ ID no encontrado"))</f>
        <v>Banorte / Grupo Financiero Banorte</v>
      </c>
      <c r="D65" s="57" t="str">
        <f>IF(B65="","",IFERROR(INDEX('UNIVERSO MAESTRO'!$D$6:$D$497,MATCH(B65,'UNIVERSO MAESTRO'!$A$6:$A$497,0)),""))</f>
        <v>V3</v>
      </c>
      <c r="E65" s="58" t="s">
        <v>2941</v>
      </c>
      <c r="F65" s="58" t="s">
        <v>2942</v>
      </c>
      <c r="G65" s="55" t="s">
        <v>230</v>
      </c>
      <c r="H65" s="58" t="s">
        <v>2943</v>
      </c>
      <c r="I65" s="58" t="s">
        <v>2944</v>
      </c>
      <c r="J65" s="55" t="s">
        <v>225</v>
      </c>
      <c r="K65" s="55" t="s">
        <v>1530</v>
      </c>
    </row>
    <row r="66" spans="1:11" ht="69.75" customHeight="1" x14ac:dyDescent="0.2">
      <c r="A66" s="55" t="s">
        <v>2990</v>
      </c>
      <c r="B66" s="55" t="s">
        <v>855</v>
      </c>
      <c r="C66" s="56" t="str">
        <f>IF(B66="","",IFERROR(INDEX('UNIVERSO MAESTRO'!$C$6:$C$497,MATCH(B66,'UNIVERSO MAESTRO'!$A$6:$A$497,0)),"⚠ ID no encontrado"))</f>
        <v>Heineken México</v>
      </c>
      <c r="D66" s="57" t="str">
        <f>IF(B66="","",IFERROR(INDEX('UNIVERSO MAESTRO'!$D$6:$D$497,MATCH(B66,'UNIVERSO MAESTRO'!$A$6:$A$497,0)),""))</f>
        <v>V3</v>
      </c>
      <c r="E66" s="58" t="s">
        <v>2991</v>
      </c>
      <c r="F66" s="58" t="s">
        <v>2992</v>
      </c>
      <c r="G66" s="55" t="s">
        <v>205</v>
      </c>
      <c r="H66" s="58" t="s">
        <v>2993</v>
      </c>
      <c r="I66" s="58" t="s">
        <v>2994</v>
      </c>
      <c r="J66" s="55" t="s">
        <v>225</v>
      </c>
      <c r="K66" s="55" t="s">
        <v>1530</v>
      </c>
    </row>
    <row r="67" spans="1:11" ht="69.75" customHeight="1" x14ac:dyDescent="0.2">
      <c r="A67" s="55" t="s">
        <v>3064</v>
      </c>
      <c r="B67" s="55" t="s">
        <v>226</v>
      </c>
      <c r="C67" s="56" t="str">
        <f>IF(B67="","",IFERROR(INDEX('UNIVERSO MAESTRO'!$C$6:$C$497,MATCH(B67,'UNIVERSO MAESTRO'!$A$6:$A$497,0)),"⚠ ID no encontrado"))</f>
        <v>Amazon / AWS</v>
      </c>
      <c r="D67" s="57" t="str">
        <f>IF(B67="","",IFERROR(INDEX('UNIVERSO MAESTRO'!$D$6:$D$497,MATCH(B67,'UNIVERSO MAESTRO'!$A$6:$A$497,0)),""))</f>
        <v>V3</v>
      </c>
      <c r="E67" s="58" t="s">
        <v>2530</v>
      </c>
      <c r="F67" s="58" t="s">
        <v>3065</v>
      </c>
      <c r="G67" s="55" t="s">
        <v>205</v>
      </c>
      <c r="H67" s="58" t="s">
        <v>3066</v>
      </c>
      <c r="I67" s="58" t="s">
        <v>3067</v>
      </c>
      <c r="J67" s="55" t="s">
        <v>225</v>
      </c>
      <c r="K67" s="55" t="s">
        <v>353</v>
      </c>
    </row>
    <row r="68" spans="1:11" ht="69.75" customHeight="1" x14ac:dyDescent="0.2">
      <c r="A68" s="55" t="s">
        <v>3093</v>
      </c>
      <c r="B68" s="55" t="s">
        <v>279</v>
      </c>
      <c r="C68" s="56" t="str">
        <f>IF(B68="","",IFERROR(INDEX('UNIVERSO MAESTRO'!$C$6:$C$497,MATCH(B68,'UNIVERSO MAESTRO'!$A$6:$A$497,0)),"⚠ ID no encontrado"))</f>
        <v>AT&amp;T México</v>
      </c>
      <c r="D68" s="57" t="str">
        <f>IF(B68="","",IFERROR(INDEX('UNIVERSO MAESTRO'!$D$6:$D$497,MATCH(B68,'UNIVERSO MAESTRO'!$A$6:$A$497,0)),""))</f>
        <v>V3</v>
      </c>
      <c r="E68" s="58" t="s">
        <v>3094</v>
      </c>
      <c r="F68" s="58" t="s">
        <v>3095</v>
      </c>
      <c r="G68" s="55" t="s">
        <v>205</v>
      </c>
      <c r="H68" s="58" t="s">
        <v>3096</v>
      </c>
      <c r="I68" s="58" t="s">
        <v>3097</v>
      </c>
      <c r="J68" s="55" t="s">
        <v>225</v>
      </c>
      <c r="K68" s="55" t="s">
        <v>1530</v>
      </c>
    </row>
    <row r="69" spans="1:11" ht="69.75" customHeight="1" x14ac:dyDescent="0.2">
      <c r="A69" s="55" t="s">
        <v>3098</v>
      </c>
      <c r="B69" s="55" t="s">
        <v>319</v>
      </c>
      <c r="C69" s="56" t="str">
        <f>IF(B69="","",IFERROR(INDEX('UNIVERSO MAESTRO'!$C$6:$C$497,MATCH(B69,'UNIVERSO MAESTRO'!$A$6:$A$497,0)),"⚠ ID no encontrado"))</f>
        <v>Bimbo</v>
      </c>
      <c r="D69" s="57" t="str">
        <f>IF(B69="","",IFERROR(INDEX('UNIVERSO MAESTRO'!$D$6:$D$497,MATCH(B69,'UNIVERSO MAESTRO'!$A$6:$A$497,0)),""))</f>
        <v>V3</v>
      </c>
      <c r="E69" s="58" t="s">
        <v>3099</v>
      </c>
      <c r="F69" s="58" t="s">
        <v>3100</v>
      </c>
      <c r="G69" s="55" t="s">
        <v>205</v>
      </c>
      <c r="H69" s="58" t="s">
        <v>3101</v>
      </c>
      <c r="I69" s="58" t="s">
        <v>3102</v>
      </c>
      <c r="J69" s="55" t="s">
        <v>225</v>
      </c>
      <c r="K69" s="55" t="s">
        <v>1530</v>
      </c>
    </row>
    <row r="70" spans="1:11" ht="69.75" customHeight="1" x14ac:dyDescent="0.2">
      <c r="A70" s="55" t="s">
        <v>3103</v>
      </c>
      <c r="B70" s="55" t="s">
        <v>482</v>
      </c>
      <c r="C70" s="56" t="str">
        <f>IF(B70="","",IFERROR(INDEX('UNIVERSO MAESTRO'!$C$6:$C$497,MATCH(B70,'UNIVERSO MAESTRO'!$A$6:$A$497,0)),"⚠ ID no encontrado"))</f>
        <v>Corona / Grupo Modelo — AB InBev</v>
      </c>
      <c r="D70" s="57" t="str">
        <f>IF(B70="","",IFERROR(INDEX('UNIVERSO MAESTRO'!$D$6:$D$497,MATCH(B70,'UNIVERSO MAESTRO'!$A$6:$A$497,0)),""))</f>
        <v>V3</v>
      </c>
      <c r="E70" s="58" t="s">
        <v>3104</v>
      </c>
      <c r="F70" s="58" t="s">
        <v>3105</v>
      </c>
      <c r="G70" s="55" t="s">
        <v>205</v>
      </c>
      <c r="H70" s="58" t="s">
        <v>3106</v>
      </c>
      <c r="I70" s="58" t="s">
        <v>3107</v>
      </c>
      <c r="J70" s="55" t="s">
        <v>225</v>
      </c>
      <c r="K70" s="55" t="s">
        <v>1530</v>
      </c>
    </row>
    <row r="71" spans="1:11" ht="69.75" customHeight="1" x14ac:dyDescent="0.2">
      <c r="A71" s="55" t="s">
        <v>3108</v>
      </c>
      <c r="B71" s="55" t="s">
        <v>696</v>
      </c>
      <c r="C71" s="56" t="str">
        <f>IF(B71="","",IFERROR(INDEX('UNIVERSO MAESTRO'!$C$6:$C$497,MATCH(B71,'UNIVERSO MAESTRO'!$A$6:$A$497,0)),"⚠ ID no encontrado"))</f>
        <v>GNP Seguros / Grupo BAL</v>
      </c>
      <c r="D71" s="57" t="str">
        <f>IF(B71="","",IFERROR(INDEX('UNIVERSO MAESTRO'!$D$6:$D$497,MATCH(B71,'UNIVERSO MAESTRO'!$A$6:$A$497,0)),""))</f>
        <v>V3</v>
      </c>
      <c r="E71" s="58" t="s">
        <v>3109</v>
      </c>
      <c r="F71" s="58" t="s">
        <v>3110</v>
      </c>
      <c r="G71" s="55" t="s">
        <v>205</v>
      </c>
      <c r="H71" s="58" t="s">
        <v>3111</v>
      </c>
      <c r="I71" s="58" t="s">
        <v>3112</v>
      </c>
      <c r="J71" s="55" t="s">
        <v>225</v>
      </c>
      <c r="K71" s="55" t="s">
        <v>1530</v>
      </c>
    </row>
    <row r="72" spans="1:11" ht="69.75" customHeight="1" x14ac:dyDescent="0.2">
      <c r="A72" s="55" t="s">
        <v>3117</v>
      </c>
      <c r="B72" s="55" t="s">
        <v>1017</v>
      </c>
      <c r="C72" s="56" t="str">
        <f>IF(B72="","",IFERROR(INDEX('UNIVERSO MAESTRO'!$C$6:$C$497,MATCH(B72,'UNIVERSO MAESTRO'!$A$6:$A$497,0)),"⚠ ID no encontrado"))</f>
        <v>Mattel de México SA de CV</v>
      </c>
      <c r="D72" s="57" t="str">
        <f>IF(B72="","",IFERROR(INDEX('UNIVERSO MAESTRO'!$D$6:$D$497,MATCH(B72,'UNIVERSO MAESTRO'!$A$6:$A$497,0)),""))</f>
        <v>V3</v>
      </c>
      <c r="E72" s="58" t="s">
        <v>3118</v>
      </c>
      <c r="F72" s="58" t="s">
        <v>3119</v>
      </c>
      <c r="G72" s="55" t="s">
        <v>205</v>
      </c>
      <c r="H72" s="58" t="s">
        <v>3120</v>
      </c>
      <c r="I72" s="58" t="s">
        <v>3121</v>
      </c>
      <c r="J72" s="55" t="s">
        <v>225</v>
      </c>
      <c r="K72" s="55" t="s">
        <v>1530</v>
      </c>
    </row>
    <row r="73" spans="1:11" ht="69.75" customHeight="1" x14ac:dyDescent="0.2">
      <c r="A73" s="55" t="s">
        <v>3122</v>
      </c>
      <c r="B73" s="55" t="s">
        <v>1066</v>
      </c>
      <c r="C73" s="56" t="str">
        <f>IF(B73="","",IFERROR(INDEX('UNIVERSO MAESTRO'!$C$6:$C$497,MATCH(B73,'UNIVERSO MAESTRO'!$A$6:$A$497,0)),"⚠ ID no encontrado"))</f>
        <v>Mercado Pago / MercadoLibre</v>
      </c>
      <c r="D73" s="57" t="str">
        <f>IF(B73="","",IFERROR(INDEX('UNIVERSO MAESTRO'!$D$6:$D$497,MATCH(B73,'UNIVERSO MAESTRO'!$A$6:$A$497,0)),""))</f>
        <v>V3</v>
      </c>
      <c r="E73" s="58" t="s">
        <v>3123</v>
      </c>
      <c r="F73" s="58" t="s">
        <v>3124</v>
      </c>
      <c r="G73" s="55" t="s">
        <v>205</v>
      </c>
      <c r="H73" s="58" t="s">
        <v>3125</v>
      </c>
      <c r="I73" s="58" t="s">
        <v>3126</v>
      </c>
      <c r="J73" s="55" t="s">
        <v>225</v>
      </c>
      <c r="K73" s="55" t="s">
        <v>1530</v>
      </c>
    </row>
    <row r="74" spans="1:11" ht="69.75" customHeight="1" x14ac:dyDescent="0.2">
      <c r="A74" s="55" t="s">
        <v>3127</v>
      </c>
      <c r="B74" s="55" t="s">
        <v>1116</v>
      </c>
      <c r="C74" s="56" t="str">
        <f>IF(B74="","",IFERROR(INDEX('UNIVERSO MAESTRO'!$C$6:$C$497,MATCH(B74,'UNIVERSO MAESTRO'!$A$6:$A$497,0)),"⚠ ID no encontrado"))</f>
        <v>New Balance</v>
      </c>
      <c r="D74" s="57" t="str">
        <f>IF(B74="","",IFERROR(INDEX('UNIVERSO MAESTRO'!$D$6:$D$497,MATCH(B74,'UNIVERSO MAESTRO'!$A$6:$A$497,0)),""))</f>
        <v>V3</v>
      </c>
      <c r="E74" s="58" t="s">
        <v>3128</v>
      </c>
      <c r="F74" s="58" t="s">
        <v>3129</v>
      </c>
      <c r="G74" s="55" t="s">
        <v>230</v>
      </c>
      <c r="H74" s="58" t="s">
        <v>3130</v>
      </c>
      <c r="I74" s="58" t="s">
        <v>3131</v>
      </c>
      <c r="J74" s="55" t="s">
        <v>225</v>
      </c>
      <c r="K74" s="55" t="s">
        <v>353</v>
      </c>
    </row>
    <row r="75" spans="1:11" ht="69.75" customHeight="1" x14ac:dyDescent="0.2">
      <c r="A75" s="55" t="s">
        <v>3132</v>
      </c>
      <c r="B75" s="55" t="s">
        <v>1131</v>
      </c>
      <c r="C75" s="56" t="str">
        <f>IF(B75="","",IFERROR(INDEX('UNIVERSO MAESTRO'!$C$6:$C$497,MATCH(B75,'UNIVERSO MAESTRO'!$A$6:$A$497,0)),"⚠ ID no encontrado"))</f>
        <v>Nike</v>
      </c>
      <c r="D75" s="57" t="str">
        <f>IF(B75="","",IFERROR(INDEX('UNIVERSO MAESTRO'!$D$6:$D$497,MATCH(B75,'UNIVERSO MAESTRO'!$A$6:$A$497,0)),""))</f>
        <v>V3</v>
      </c>
      <c r="E75" s="58" t="s">
        <v>3133</v>
      </c>
      <c r="F75" s="58" t="s">
        <v>3134</v>
      </c>
      <c r="G75" s="55" t="s">
        <v>205</v>
      </c>
      <c r="H75" s="58" t="s">
        <v>3135</v>
      </c>
      <c r="I75" s="58" t="s">
        <v>3136</v>
      </c>
      <c r="J75" s="55" t="s">
        <v>225</v>
      </c>
      <c r="K75" s="55" t="s">
        <v>1530</v>
      </c>
    </row>
    <row r="76" spans="1:11" ht="69.75" customHeight="1" x14ac:dyDescent="0.2">
      <c r="A76" s="55" t="s">
        <v>3137</v>
      </c>
      <c r="B76" s="55" t="s">
        <v>1235</v>
      </c>
      <c r="C76" s="56" t="str">
        <f>IF(B76="","",IFERROR(INDEX('UNIVERSO MAESTRO'!$C$6:$C$497,MATCH(B76,'UNIVERSO MAESTRO'!$A$6:$A$497,0)),"⚠ ID no encontrado"))</f>
        <v>Puma</v>
      </c>
      <c r="D76" s="57" t="str">
        <f>IF(B76="","",IFERROR(INDEX('UNIVERSO MAESTRO'!$D$6:$D$497,MATCH(B76,'UNIVERSO MAESTRO'!$A$6:$A$497,0)),""))</f>
        <v>V3</v>
      </c>
      <c r="E76" s="58" t="s">
        <v>3138</v>
      </c>
      <c r="F76" s="58" t="s">
        <v>3139</v>
      </c>
      <c r="G76" s="55" t="s">
        <v>205</v>
      </c>
      <c r="H76" s="58" t="s">
        <v>3140</v>
      </c>
      <c r="I76" s="58" t="s">
        <v>3141</v>
      </c>
      <c r="J76" s="55" t="s">
        <v>225</v>
      </c>
      <c r="K76" s="55" t="s">
        <v>1530</v>
      </c>
    </row>
    <row r="77" spans="1:11" ht="69.75" customHeight="1" x14ac:dyDescent="0.2">
      <c r="A77" s="55" t="s">
        <v>3142</v>
      </c>
      <c r="B77" s="55" t="s">
        <v>1289</v>
      </c>
      <c r="C77" s="56" t="str">
        <f>IF(B77="","",IFERROR(INDEX('UNIVERSO MAESTRO'!$C$6:$C$497,MATCH(B77,'UNIVERSO MAESTRO'!$A$6:$A$497,0)),"⚠ ID no encontrado"))</f>
        <v>Scotiabank</v>
      </c>
      <c r="D77" s="57" t="str">
        <f>IF(B77="","",IFERROR(INDEX('UNIVERSO MAESTRO'!$D$6:$D$497,MATCH(B77,'UNIVERSO MAESTRO'!$A$6:$A$497,0)),""))</f>
        <v>V3</v>
      </c>
      <c r="E77" s="58" t="s">
        <v>3143</v>
      </c>
      <c r="F77" s="58" t="s">
        <v>3144</v>
      </c>
      <c r="G77" s="55" t="s">
        <v>205</v>
      </c>
      <c r="H77" s="58" t="s">
        <v>3145</v>
      </c>
      <c r="I77" s="58" t="s">
        <v>3146</v>
      </c>
      <c r="J77" s="55" t="s">
        <v>213</v>
      </c>
      <c r="K77" s="55" t="s">
        <v>1530</v>
      </c>
    </row>
    <row r="78" spans="1:11" ht="69.75" customHeight="1" x14ac:dyDescent="0.2">
      <c r="A78" s="55" t="s">
        <v>3147</v>
      </c>
      <c r="B78" s="55" t="s">
        <v>1326</v>
      </c>
      <c r="C78" s="56" t="str">
        <f>IF(B78="","",IFERROR(INDEX('UNIVERSO MAESTRO'!$C$6:$C$497,MATCH(B78,'UNIVERSO MAESTRO'!$A$6:$A$497,0)),"⚠ ID no encontrado"))</f>
        <v>Skechers</v>
      </c>
      <c r="D78" s="57" t="str">
        <f>IF(B78="","",IFERROR(INDEX('UNIVERSO MAESTRO'!$D$6:$D$497,MATCH(B78,'UNIVERSO MAESTRO'!$A$6:$A$497,0)),""))</f>
        <v>V3</v>
      </c>
      <c r="E78" s="58" t="s">
        <v>3148</v>
      </c>
      <c r="F78" s="58" t="s">
        <v>3149</v>
      </c>
      <c r="G78" s="55" t="s">
        <v>205</v>
      </c>
      <c r="H78" s="58" t="s">
        <v>3150</v>
      </c>
      <c r="I78" s="58" t="s">
        <v>3151</v>
      </c>
      <c r="J78" s="55" t="s">
        <v>213</v>
      </c>
      <c r="K78" s="55" t="s">
        <v>353</v>
      </c>
    </row>
    <row r="79" spans="1:11" ht="69.75" customHeight="1" x14ac:dyDescent="0.2">
      <c r="A79" s="55" t="s">
        <v>3152</v>
      </c>
      <c r="B79" s="55" t="s">
        <v>1340</v>
      </c>
      <c r="C79" s="56" t="str">
        <f>IF(B79="","",IFERROR(INDEX('UNIVERSO MAESTRO'!$C$6:$C$497,MATCH(B79,'UNIVERSO MAESTRO'!$A$6:$A$497,0)),"⚠ ID no encontrado"))</f>
        <v>Smart Fit México</v>
      </c>
      <c r="D79" s="57" t="str">
        <f>IF(B79="","",IFERROR(INDEX('UNIVERSO MAESTRO'!$D$6:$D$497,MATCH(B79,'UNIVERSO MAESTRO'!$A$6:$A$497,0)),""))</f>
        <v>V3</v>
      </c>
      <c r="E79" s="58" t="s">
        <v>3153</v>
      </c>
      <c r="F79" s="58" t="s">
        <v>3154</v>
      </c>
      <c r="G79" s="55" t="s">
        <v>205</v>
      </c>
      <c r="H79" s="58" t="s">
        <v>3155</v>
      </c>
      <c r="I79" s="58" t="s">
        <v>3156</v>
      </c>
      <c r="J79" s="55" t="s">
        <v>225</v>
      </c>
      <c r="K79" s="55" t="s">
        <v>1530</v>
      </c>
    </row>
    <row r="80" spans="1:11" ht="69.75" customHeight="1" x14ac:dyDescent="0.2">
      <c r="A80" s="55" t="s">
        <v>3157</v>
      </c>
      <c r="B80" s="55" t="s">
        <v>1409</v>
      </c>
      <c r="C80" s="56" t="str">
        <f>IF(B80="","",IFERROR(INDEX('UNIVERSO MAESTRO'!$C$6:$C$497,MATCH(B80,'UNIVERSO MAESTRO'!$A$6:$A$497,0)),"⚠ ID no encontrado"))</f>
        <v>Tecate / Cuauhtémoc Moctezuma</v>
      </c>
      <c r="D80" s="57" t="str">
        <f>IF(B80="","",IFERROR(INDEX('UNIVERSO MAESTRO'!$D$6:$D$497,MATCH(B80,'UNIVERSO MAESTRO'!$A$6:$A$497,0)),""))</f>
        <v>V3</v>
      </c>
      <c r="E80" s="58" t="s">
        <v>2745</v>
      </c>
      <c r="F80" s="58" t="s">
        <v>3158</v>
      </c>
      <c r="G80" s="55" t="s">
        <v>205</v>
      </c>
      <c r="H80" s="58" t="s">
        <v>3159</v>
      </c>
      <c r="I80" s="58" t="s">
        <v>3160</v>
      </c>
      <c r="J80" s="55" t="s">
        <v>225</v>
      </c>
      <c r="K80" s="55" t="s">
        <v>353</v>
      </c>
    </row>
    <row r="81" spans="1:11" ht="69.75" customHeight="1" x14ac:dyDescent="0.2">
      <c r="A81" s="55" t="s">
        <v>3161</v>
      </c>
      <c r="B81" s="55" t="s">
        <v>1442</v>
      </c>
      <c r="C81" s="56" t="str">
        <f>IF(B81="","",IFERROR(INDEX('UNIVERSO MAESTRO'!$C$6:$C$497,MATCH(B81,'UNIVERSO MAESTRO'!$A$6:$A$497,0)),"⚠ ID no encontrado"))</f>
        <v>Uber / Uber Eats</v>
      </c>
      <c r="D81" s="57" t="str">
        <f>IF(B81="","",IFERROR(INDEX('UNIVERSO MAESTRO'!$D$6:$D$497,MATCH(B81,'UNIVERSO MAESTRO'!$A$6:$A$497,0)),""))</f>
        <v>V3</v>
      </c>
      <c r="E81" s="58" t="s">
        <v>3162</v>
      </c>
      <c r="F81" s="58" t="s">
        <v>3163</v>
      </c>
      <c r="G81" s="55" t="s">
        <v>205</v>
      </c>
      <c r="H81" s="58" t="s">
        <v>3164</v>
      </c>
      <c r="I81" s="58" t="s">
        <v>3165</v>
      </c>
      <c r="J81" s="55" t="s">
        <v>213</v>
      </c>
      <c r="K81" s="55" t="s">
        <v>1530</v>
      </c>
    </row>
    <row r="82" spans="1:11" ht="69.75" customHeight="1" x14ac:dyDescent="0.2">
      <c r="A82" s="55" t="s">
        <v>3166</v>
      </c>
      <c r="B82" s="55" t="s">
        <v>1474</v>
      </c>
      <c r="C82" s="56" t="str">
        <f>IF(B82="","",IFERROR(INDEX('UNIVERSO MAESTRO'!$C$6:$C$497,MATCH(B82,'UNIVERSO MAESTRO'!$A$6:$A$497,0)),"⚠ ID no encontrado"))</f>
        <v>Viva Aerobus + Volaris (fusión dic-2025)</v>
      </c>
      <c r="D82" s="57" t="str">
        <f>IF(B82="","",IFERROR(INDEX('UNIVERSO MAESTRO'!$D$6:$D$497,MATCH(B82,'UNIVERSO MAESTRO'!$A$6:$A$497,0)),""))</f>
        <v>V3</v>
      </c>
      <c r="E82" s="58" t="s">
        <v>3167</v>
      </c>
      <c r="F82" s="58" t="s">
        <v>3168</v>
      </c>
      <c r="G82" s="55" t="s">
        <v>205</v>
      </c>
      <c r="H82" s="58" t="s">
        <v>3169</v>
      </c>
      <c r="I82" s="58" t="s">
        <v>3170</v>
      </c>
      <c r="J82" s="55" t="s">
        <v>225</v>
      </c>
      <c r="K82" s="55" t="s">
        <v>1530</v>
      </c>
    </row>
    <row r="83" spans="1:11" ht="69.75" customHeight="1" x14ac:dyDescent="0.2">
      <c r="A83" s="55" t="s">
        <v>3171</v>
      </c>
      <c r="B83" s="55" t="s">
        <v>1483</v>
      </c>
      <c r="C83" s="56" t="str">
        <f>IF(B83="","",IFERROR(INDEX('UNIVERSO MAESTRO'!$C$6:$C$497,MATCH(B83,'UNIVERSO MAESTRO'!$A$6:$A$497,0)),"⚠ ID no encontrado"))</f>
        <v>Walmart México</v>
      </c>
      <c r="D83" s="57" t="str">
        <f>IF(B83="","",IFERROR(INDEX('UNIVERSO MAESTRO'!$D$6:$D$497,MATCH(B83,'UNIVERSO MAESTRO'!$A$6:$A$497,0)),""))</f>
        <v>V3</v>
      </c>
      <c r="E83" s="58" t="s">
        <v>3172</v>
      </c>
      <c r="F83" s="58" t="s">
        <v>3173</v>
      </c>
      <c r="G83" s="55" t="s">
        <v>205</v>
      </c>
      <c r="H83" s="58" t="s">
        <v>3174</v>
      </c>
      <c r="I83" s="58" t="s">
        <v>3175</v>
      </c>
      <c r="J83" s="55" t="s">
        <v>213</v>
      </c>
      <c r="K83" s="55" t="s">
        <v>353</v>
      </c>
    </row>
    <row r="84" spans="1:11" ht="69.75" customHeight="1" x14ac:dyDescent="0.2">
      <c r="A84" s="55" t="s">
        <v>2629</v>
      </c>
      <c r="B84" s="55" t="s">
        <v>1101</v>
      </c>
      <c r="C84" s="56" t="str">
        <f>IF(B84="","",IFERROR(INDEX('UNIVERSO MAESTRO'!$C$6:$C$497,MATCH(B84,'UNIVERSO MAESTRO'!$A$6:$A$497,0)),"⚠ ID no encontrado"))</f>
        <v>Neta Agencia Deportiva</v>
      </c>
      <c r="D84" s="57" t="str">
        <f>IF(B84="","",IFERROR(INDEX('UNIVERSO MAESTRO'!$D$6:$D$497,MATCH(B84,'UNIVERSO MAESTRO'!$A$6:$A$497,0)),""))</f>
        <v>V4</v>
      </c>
      <c r="E84" s="58" t="s">
        <v>2630</v>
      </c>
      <c r="F84" s="58" t="s">
        <v>2631</v>
      </c>
      <c r="G84" s="55" t="s">
        <v>230</v>
      </c>
      <c r="H84" s="58" t="s">
        <v>2632</v>
      </c>
      <c r="I84" s="58" t="s">
        <v>2633</v>
      </c>
      <c r="J84" s="55" t="s">
        <v>225</v>
      </c>
      <c r="K84" s="55" t="s">
        <v>353</v>
      </c>
    </row>
    <row r="85" spans="1:11" ht="69.75" customHeight="1" x14ac:dyDescent="0.2">
      <c r="A85" s="55" t="s">
        <v>2639</v>
      </c>
      <c r="B85" s="55" t="s">
        <v>1139</v>
      </c>
      <c r="C85" s="56" t="str">
        <f>IF(B85="","",IFERROR(INDEX('UNIVERSO MAESTRO'!$C$6:$C$497,MATCH(B85,'UNIVERSO MAESTRO'!$A$6:$A$497,0)),"⚠ ID no encontrado"))</f>
        <v>Octagon</v>
      </c>
      <c r="D85" s="57" t="str">
        <f>IF(B85="","",IFERROR(INDEX('UNIVERSO MAESTRO'!$D$6:$D$497,MATCH(B85,'UNIVERSO MAESTRO'!$A$6:$A$497,0)),""))</f>
        <v>V4</v>
      </c>
      <c r="E85" s="58" t="s">
        <v>2640</v>
      </c>
      <c r="F85" s="58" t="s">
        <v>2641</v>
      </c>
      <c r="G85" s="55" t="s">
        <v>205</v>
      </c>
      <c r="H85" s="58" t="s">
        <v>2642</v>
      </c>
      <c r="I85" s="58" t="s">
        <v>2643</v>
      </c>
      <c r="J85" s="55" t="s">
        <v>225</v>
      </c>
      <c r="K85" s="55" t="s">
        <v>1530</v>
      </c>
    </row>
    <row r="86" spans="1:11" ht="69.75" customHeight="1" x14ac:dyDescent="0.2">
      <c r="A86" s="55" t="s">
        <v>2649</v>
      </c>
      <c r="B86" s="55" t="s">
        <v>1249</v>
      </c>
      <c r="C86" s="56" t="str">
        <f>IF(B86="","",IFERROR(INDEX('UNIVERSO MAESTRO'!$C$6:$C$497,MATCH(B86,'UNIVERSO MAESTRO'!$A$6:$A$497,0)),"⚠ ID no encontrado"))</f>
        <v>Relevent (Relevent Sports Group)</v>
      </c>
      <c r="D86" s="57" t="str">
        <f>IF(B86="","",IFERROR(INDEX('UNIVERSO MAESTRO'!$D$6:$D$497,MATCH(B86,'UNIVERSO MAESTRO'!$A$6:$A$497,0)),""))</f>
        <v>V4</v>
      </c>
      <c r="E86" s="58" t="s">
        <v>2650</v>
      </c>
      <c r="F86" s="58" t="s">
        <v>2651</v>
      </c>
      <c r="G86" s="55" t="s">
        <v>205</v>
      </c>
      <c r="H86" s="58" t="s">
        <v>2652</v>
      </c>
      <c r="I86" s="58" t="s">
        <v>2653</v>
      </c>
      <c r="J86" s="55" t="s">
        <v>225</v>
      </c>
      <c r="K86" s="55" t="s">
        <v>1530</v>
      </c>
    </row>
    <row r="87" spans="1:11" ht="69.75" customHeight="1" x14ac:dyDescent="0.2">
      <c r="A87" s="55" t="s">
        <v>2654</v>
      </c>
      <c r="B87" s="55" t="s">
        <v>1357</v>
      </c>
      <c r="C87" s="56" t="str">
        <f>IF(B87="","",IFERROR(INDEX('UNIVERSO MAESTRO'!$C$6:$C$497,MATCH(B87,'UNIVERSO MAESTRO'!$A$6:$A$497,0)),"⚠ ID no encontrado"))</f>
        <v>Sportfive</v>
      </c>
      <c r="D87" s="57" t="str">
        <f>IF(B87="","",IFERROR(INDEX('UNIVERSO MAESTRO'!$D$6:$D$497,MATCH(B87,'UNIVERSO MAESTRO'!$A$6:$A$497,0)),""))</f>
        <v>V4</v>
      </c>
      <c r="E87" s="58" t="s">
        <v>2655</v>
      </c>
      <c r="F87" s="58" t="s">
        <v>2656</v>
      </c>
      <c r="G87" s="55" t="s">
        <v>205</v>
      </c>
      <c r="H87" s="58" t="s">
        <v>2657</v>
      </c>
      <c r="I87" s="58" t="s">
        <v>2658</v>
      </c>
      <c r="J87" s="55" t="s">
        <v>225</v>
      </c>
      <c r="K87" s="55" t="s">
        <v>1530</v>
      </c>
    </row>
    <row r="88" spans="1:11" ht="69.75" customHeight="1" x14ac:dyDescent="0.2">
      <c r="A88" s="55" t="s">
        <v>2754</v>
      </c>
      <c r="B88" s="55" t="s">
        <v>912</v>
      </c>
      <c r="C88" s="56" t="str">
        <f>IF(B88="","",IFERROR(INDEX('UNIVERSO MAESTRO'!$C$6:$C$497,MATCH(B88,'UNIVERSO MAESTRO'!$A$6:$A$497,0)),"⚠ ID no encontrado"))</f>
        <v>Jump SMS (Jump Sportainment Solutions)</v>
      </c>
      <c r="D88" s="57" t="str">
        <f>IF(B88="","",IFERROR(INDEX('UNIVERSO MAESTRO'!$D$6:$D$497,MATCH(B88,'UNIVERSO MAESTRO'!$A$6:$A$497,0)),""))</f>
        <v>V4</v>
      </c>
      <c r="E88" s="58" t="s">
        <v>2555</v>
      </c>
      <c r="F88" s="58" t="s">
        <v>2755</v>
      </c>
      <c r="G88" s="55" t="s">
        <v>205</v>
      </c>
      <c r="H88" s="58" t="s">
        <v>2756</v>
      </c>
      <c r="I88" s="58" t="s">
        <v>2757</v>
      </c>
      <c r="J88" s="55" t="s">
        <v>225</v>
      </c>
      <c r="K88" s="55" t="s">
        <v>353</v>
      </c>
    </row>
    <row r="89" spans="1:11" ht="69.75" customHeight="1" x14ac:dyDescent="0.2">
      <c r="A89" s="55" t="s">
        <v>2786</v>
      </c>
      <c r="B89" s="55" t="s">
        <v>1491</v>
      </c>
      <c r="C89" s="56" t="str">
        <f>IF(B89="","",IFERROR(INDEX('UNIVERSO MAESTRO'!$C$6:$C$497,MATCH(B89,'UNIVERSO MAESTRO'!$A$6:$A$497,0)),"⚠ ID no encontrado"))</f>
        <v>Wasserman / THE·TEAM México</v>
      </c>
      <c r="D89" s="57" t="str">
        <f>IF(B89="","",IFERROR(INDEX('UNIVERSO MAESTRO'!$D$6:$D$497,MATCH(B89,'UNIVERSO MAESTRO'!$A$6:$A$497,0)),""))</f>
        <v>V4</v>
      </c>
      <c r="E89" s="58" t="s">
        <v>2787</v>
      </c>
      <c r="F89" s="58" t="s">
        <v>2788</v>
      </c>
      <c r="G89" s="55" t="s">
        <v>205</v>
      </c>
      <c r="H89" s="58" t="s">
        <v>2789</v>
      </c>
      <c r="I89" s="58" t="s">
        <v>2790</v>
      </c>
      <c r="J89" s="55" t="s">
        <v>225</v>
      </c>
      <c r="K89" s="55" t="s">
        <v>1530</v>
      </c>
    </row>
    <row r="90" spans="1:11" ht="69.75" customHeight="1" x14ac:dyDescent="0.2">
      <c r="A90" s="55" t="s">
        <v>3020</v>
      </c>
      <c r="B90" s="55" t="s">
        <v>1249</v>
      </c>
      <c r="C90" s="56" t="str">
        <f>IF(B90="","",IFERROR(INDEX('UNIVERSO MAESTRO'!$C$6:$C$497,MATCH(B90,'UNIVERSO MAESTRO'!$A$6:$A$497,0)),"⚠ ID no encontrado"))</f>
        <v>Relevent (Relevent Sports Group)</v>
      </c>
      <c r="D90" s="57" t="str">
        <f>IF(B90="","",IFERROR(INDEX('UNIVERSO MAESTRO'!$D$6:$D$497,MATCH(B90,'UNIVERSO MAESTRO'!$A$6:$A$497,0)),""))</f>
        <v>V4</v>
      </c>
      <c r="E90" s="58" t="s">
        <v>3021</v>
      </c>
      <c r="F90" s="58" t="s">
        <v>3022</v>
      </c>
      <c r="G90" s="55" t="s">
        <v>205</v>
      </c>
      <c r="H90" s="58" t="s">
        <v>3023</v>
      </c>
      <c r="I90" s="58" t="s">
        <v>3024</v>
      </c>
      <c r="J90" s="55" t="s">
        <v>225</v>
      </c>
      <c r="K90" s="55" t="s">
        <v>1530</v>
      </c>
    </row>
    <row r="91" spans="1:11" ht="69.75" customHeight="1" x14ac:dyDescent="0.2">
      <c r="A91" s="55" t="s">
        <v>3025</v>
      </c>
      <c r="B91" s="55" t="s">
        <v>1400</v>
      </c>
      <c r="C91" s="56" t="str">
        <f>IF(B91="","",IFERROR(INDEX('UNIVERSO MAESTRO'!$C$6:$C$497,MATCH(B91,'UNIVERSO MAESTRO'!$A$6:$A$497,0)),"⚠ ID no encontrado"))</f>
        <v>TEAM Marketing AG</v>
      </c>
      <c r="D91" s="57" t="str">
        <f>IF(B91="","",IFERROR(INDEX('UNIVERSO MAESTRO'!$D$6:$D$497,MATCH(B91,'UNIVERSO MAESTRO'!$A$6:$A$497,0)),""))</f>
        <v>V4</v>
      </c>
      <c r="E91" s="58" t="s">
        <v>3026</v>
      </c>
      <c r="F91" s="58" t="s">
        <v>3027</v>
      </c>
      <c r="G91" s="55" t="s">
        <v>205</v>
      </c>
      <c r="H91" s="58" t="s">
        <v>3028</v>
      </c>
      <c r="I91" s="58" t="s">
        <v>3029</v>
      </c>
      <c r="J91" s="55" t="s">
        <v>225</v>
      </c>
      <c r="K91" s="55" t="s">
        <v>1530</v>
      </c>
    </row>
    <row r="92" spans="1:11" ht="69.75" customHeight="1" x14ac:dyDescent="0.2">
      <c r="A92" s="55" t="s">
        <v>3044</v>
      </c>
      <c r="B92" s="55" t="s">
        <v>1491</v>
      </c>
      <c r="C92" s="56" t="str">
        <f>IF(B92="","",IFERROR(INDEX('UNIVERSO MAESTRO'!$C$6:$C$497,MATCH(B92,'UNIVERSO MAESTRO'!$A$6:$A$497,0)),"⚠ ID no encontrado"))</f>
        <v>Wasserman / THE·TEAM México</v>
      </c>
      <c r="D92" s="57" t="str">
        <f>IF(B92="","",IFERROR(INDEX('UNIVERSO MAESTRO'!$D$6:$D$497,MATCH(B92,'UNIVERSO MAESTRO'!$A$6:$A$497,0)),""))</f>
        <v>V4</v>
      </c>
      <c r="E92" s="58" t="s">
        <v>3045</v>
      </c>
      <c r="F92" s="58" t="s">
        <v>3046</v>
      </c>
      <c r="G92" s="55" t="s">
        <v>230</v>
      </c>
      <c r="H92" s="58" t="s">
        <v>3047</v>
      </c>
      <c r="I92" s="58" t="s">
        <v>3048</v>
      </c>
      <c r="J92" s="55" t="s">
        <v>225</v>
      </c>
      <c r="K92" s="55" t="s">
        <v>1530</v>
      </c>
    </row>
    <row r="93" spans="1:11" ht="69.75" customHeight="1" x14ac:dyDescent="0.2">
      <c r="A93" s="55" t="s">
        <v>3054</v>
      </c>
      <c r="B93" s="55" t="s">
        <v>1216</v>
      </c>
      <c r="C93" s="56" t="str">
        <f>IF(B93="","",IFERROR(INDEX('UNIVERSO MAESTRO'!$C$6:$C$497,MATCH(B93,'UNIVERSO MAESTRO'!$A$6:$A$497,0)),"⚠ ID no encontrado"))</f>
        <v>Promofut S.A. de C.V.</v>
      </c>
      <c r="D93" s="57" t="str">
        <f>IF(B93="","",IFERROR(INDEX('UNIVERSO MAESTRO'!$D$6:$D$497,MATCH(B93,'UNIVERSO MAESTRO'!$A$6:$A$497,0)),""))</f>
        <v>V4</v>
      </c>
      <c r="E93" s="58" t="s">
        <v>3055</v>
      </c>
      <c r="F93" s="58" t="s">
        <v>3056</v>
      </c>
      <c r="G93" s="55" t="s">
        <v>205</v>
      </c>
      <c r="H93" s="58" t="s">
        <v>3057</v>
      </c>
      <c r="I93" s="58" t="s">
        <v>3058</v>
      </c>
      <c r="J93" s="55" t="s">
        <v>225</v>
      </c>
      <c r="K93" s="55" t="s">
        <v>1530</v>
      </c>
    </row>
    <row r="94" spans="1:11" ht="69.75" customHeight="1" x14ac:dyDescent="0.2">
      <c r="A94" s="55" t="s">
        <v>3059</v>
      </c>
      <c r="B94" s="55" t="s">
        <v>1216</v>
      </c>
      <c r="C94" s="56" t="str">
        <f>IF(B94="","",IFERROR(INDEX('UNIVERSO MAESTRO'!$C$6:$C$497,MATCH(B94,'UNIVERSO MAESTRO'!$A$6:$A$497,0)),"⚠ ID no encontrado"))</f>
        <v>Promofut S.A. de C.V.</v>
      </c>
      <c r="D94" s="57" t="str">
        <f>IF(B94="","",IFERROR(INDEX('UNIVERSO MAESTRO'!$D$6:$D$497,MATCH(B94,'UNIVERSO MAESTRO'!$A$6:$A$497,0)),""))</f>
        <v>V4</v>
      </c>
      <c r="E94" s="58" t="s">
        <v>3060</v>
      </c>
      <c r="F94" s="58" t="s">
        <v>3061</v>
      </c>
      <c r="G94" s="55" t="s">
        <v>230</v>
      </c>
      <c r="H94" s="58" t="s">
        <v>3062</v>
      </c>
      <c r="I94" s="58" t="s">
        <v>3063</v>
      </c>
      <c r="J94" s="55" t="s">
        <v>225</v>
      </c>
      <c r="K94" s="55" t="s">
        <v>353</v>
      </c>
    </row>
    <row r="95" spans="1:11" ht="69.75" customHeight="1" x14ac:dyDescent="0.2">
      <c r="A95" s="55" t="s">
        <v>3226</v>
      </c>
      <c r="B95" s="55" t="s">
        <v>1206</v>
      </c>
      <c r="C95" s="56" t="str">
        <f>IF(B95="","",IFERROR(INDEX('UNIVERSO MAESTRO'!$C$6:$C$497,MATCH(B95,'UNIVERSO MAESTRO'!$A$6:$A$497,0)),"⚠ ID no encontrado"))</f>
        <v>Pitz Group</v>
      </c>
      <c r="D95" s="57" t="str">
        <f>IF(B95="","",IFERROR(INDEX('UNIVERSO MAESTRO'!$D$6:$D$497,MATCH(B95,'UNIVERSO MAESTRO'!$A$6:$A$497,0)),""))</f>
        <v>V4</v>
      </c>
      <c r="E95" s="58" t="s">
        <v>3227</v>
      </c>
      <c r="F95" s="58" t="s">
        <v>3228</v>
      </c>
      <c r="G95" s="55" t="s">
        <v>205</v>
      </c>
      <c r="H95" s="58" t="s">
        <v>3229</v>
      </c>
      <c r="I95" s="58" t="s">
        <v>3230</v>
      </c>
      <c r="J95" s="55" t="s">
        <v>213</v>
      </c>
      <c r="K95" s="55" t="s">
        <v>1530</v>
      </c>
    </row>
    <row r="96" spans="1:11" ht="69.75" customHeight="1" x14ac:dyDescent="0.2">
      <c r="A96" s="55" t="s">
        <v>3231</v>
      </c>
      <c r="B96" s="55" t="s">
        <v>1349</v>
      </c>
      <c r="C96" s="56" t="str">
        <f>IF(B96="","",IFERROR(INDEX('UNIVERSO MAESTRO'!$C$6:$C$497,MATCH(B96,'UNIVERSO MAESTRO'!$A$6:$A$497,0)),"⚠ ID no encontrado"))</f>
        <v>Soccer Media Solutions (SMS)</v>
      </c>
      <c r="D96" s="57" t="str">
        <f>IF(B96="","",IFERROR(INDEX('UNIVERSO MAESTRO'!$D$6:$D$497,MATCH(B96,'UNIVERSO MAESTRO'!$A$6:$A$497,0)),""))</f>
        <v>V4</v>
      </c>
      <c r="E96" s="58" t="s">
        <v>3232</v>
      </c>
      <c r="F96" s="58" t="s">
        <v>3233</v>
      </c>
      <c r="G96" s="55" t="s">
        <v>205</v>
      </c>
      <c r="H96" s="58" t="s">
        <v>3234</v>
      </c>
      <c r="I96" s="58" t="s">
        <v>3235</v>
      </c>
      <c r="J96" s="55" t="s">
        <v>225</v>
      </c>
      <c r="K96" s="55" t="s">
        <v>1530</v>
      </c>
    </row>
    <row r="97" spans="1:11" ht="69.75" customHeight="1" x14ac:dyDescent="0.2">
      <c r="A97" s="55" t="s">
        <v>3236</v>
      </c>
      <c r="B97" s="55" t="s">
        <v>1365</v>
      </c>
      <c r="C97" s="56" t="str">
        <f>IF(B97="","",IFERROR(INDEX('UNIVERSO MAESTRO'!$C$6:$C$497,MATCH(B97,'UNIVERSO MAESTRO'!$A$6:$A$497,0)),"⚠ ID no encontrado"))</f>
        <v>StayPro</v>
      </c>
      <c r="D97" s="57" t="str">
        <f>IF(B97="","",IFERROR(INDEX('UNIVERSO MAESTRO'!$D$6:$D$497,MATCH(B97,'UNIVERSO MAESTRO'!$A$6:$A$497,0)),""))</f>
        <v>V4</v>
      </c>
      <c r="E97" s="58" t="s">
        <v>3237</v>
      </c>
      <c r="F97" s="58" t="s">
        <v>3238</v>
      </c>
      <c r="G97" s="55" t="s">
        <v>205</v>
      </c>
      <c r="H97" s="58" t="s">
        <v>3239</v>
      </c>
      <c r="I97" s="58" t="s">
        <v>3240</v>
      </c>
      <c r="J97" s="55" t="s">
        <v>225</v>
      </c>
      <c r="K97" s="55" t="s">
        <v>1530</v>
      </c>
    </row>
    <row r="98" spans="1:11" ht="69.75" customHeight="1" x14ac:dyDescent="0.2">
      <c r="A98" s="55" t="s">
        <v>3241</v>
      </c>
      <c r="B98" s="55" t="s">
        <v>1391</v>
      </c>
      <c r="C98" s="56" t="str">
        <f>IF(B98="","",IFERROR(INDEX('UNIVERSO MAESTRO'!$C$6:$C$497,MATCH(B98,'UNIVERSO MAESTRO'!$A$6:$A$497,0)),"⚠ ID no encontrado"))</f>
        <v>SUM (Soccer United Marketing)</v>
      </c>
      <c r="D98" s="57" t="str">
        <f>IF(B98="","",IFERROR(INDEX('UNIVERSO MAESTRO'!$D$6:$D$497,MATCH(B98,'UNIVERSO MAESTRO'!$A$6:$A$497,0)),""))</f>
        <v>V4</v>
      </c>
      <c r="E98" s="58" t="s">
        <v>3242</v>
      </c>
      <c r="F98" s="58" t="s">
        <v>3243</v>
      </c>
      <c r="G98" s="55" t="s">
        <v>205</v>
      </c>
      <c r="H98" s="58" t="s">
        <v>3244</v>
      </c>
      <c r="I98" s="58" t="s">
        <v>3245</v>
      </c>
      <c r="J98" s="55" t="s">
        <v>225</v>
      </c>
      <c r="K98" s="55" t="s">
        <v>1530</v>
      </c>
    </row>
    <row r="99" spans="1:11" ht="69.75" customHeight="1" x14ac:dyDescent="0.2">
      <c r="A99" s="55" t="s">
        <v>2469</v>
      </c>
      <c r="B99" s="55" t="s">
        <v>400</v>
      </c>
      <c r="C99" s="56" t="str">
        <f>IF(B99="","",IFERROR(INDEX('UNIVERSO MAESTRO'!$C$6:$C$497,MATCH(B99,'UNIVERSO MAESTRO'!$A$6:$A$497,0)),"⚠ ID no encontrado"))</f>
        <v>CIE / OCESA (V5 Experiencias)</v>
      </c>
      <c r="D99" s="57" t="str">
        <f>IF(B99="","",IFERROR(INDEX('UNIVERSO MAESTRO'!$D$6:$D$497,MATCH(B99,'UNIVERSO MAESTRO'!$A$6:$A$497,0)),""))</f>
        <v>V5</v>
      </c>
      <c r="E99" s="58" t="s">
        <v>2470</v>
      </c>
      <c r="F99" s="58" t="s">
        <v>2471</v>
      </c>
      <c r="G99" s="55" t="s">
        <v>205</v>
      </c>
      <c r="H99" s="58" t="s">
        <v>2472</v>
      </c>
      <c r="I99" s="58" t="s">
        <v>2473</v>
      </c>
      <c r="J99" s="55" t="s">
        <v>225</v>
      </c>
      <c r="K99" s="55" t="s">
        <v>1530</v>
      </c>
    </row>
    <row r="100" spans="1:11" ht="69.75" customHeight="1" x14ac:dyDescent="0.2">
      <c r="A100" s="55" t="s">
        <v>2534</v>
      </c>
      <c r="B100" s="55" t="s">
        <v>264</v>
      </c>
      <c r="C100" s="56" t="str">
        <f>IF(B100="","",IFERROR(INDEX('UNIVERSO MAESTRO'!$C$6:$C$497,MATCH(B100,'UNIVERSO MAESTRO'!$A$6:$A$497,0)),"⚠ ID no encontrado"))</f>
        <v>ASdeporte (Asdeporte SA de CV)</v>
      </c>
      <c r="D100" s="57" t="str">
        <f>IF(B100="","",IFERROR(INDEX('UNIVERSO MAESTRO'!$D$6:$D$497,MATCH(B100,'UNIVERSO MAESTRO'!$A$6:$A$497,0)),""))</f>
        <v>V5</v>
      </c>
      <c r="E100" s="58" t="s">
        <v>2535</v>
      </c>
      <c r="F100" s="58" t="s">
        <v>2536</v>
      </c>
      <c r="G100" s="55" t="s">
        <v>205</v>
      </c>
      <c r="H100" s="58" t="s">
        <v>2537</v>
      </c>
      <c r="I100" s="58" t="s">
        <v>2538</v>
      </c>
      <c r="J100" s="55" t="s">
        <v>225</v>
      </c>
      <c r="K100" s="55" t="s">
        <v>1530</v>
      </c>
    </row>
    <row r="101" spans="1:11" ht="69.75" customHeight="1" x14ac:dyDescent="0.2">
      <c r="A101" s="55" t="s">
        <v>2554</v>
      </c>
      <c r="B101" s="55" t="s">
        <v>663</v>
      </c>
      <c r="C101" s="56" t="str">
        <f>IF(B101="","",IFERROR(INDEX('UNIVERSO MAESTRO'!$C$6:$C$497,MATCH(B101,'UNIVERSO MAESTRO'!$A$6:$A$497,0)),"⚠ ID no encontrado"))</f>
        <v>Fuse Mexico (Omnicom Media Group)</v>
      </c>
      <c r="D101" s="57" t="str">
        <f>IF(B101="","",IFERROR(INDEX('UNIVERSO MAESTRO'!$D$6:$D$497,MATCH(B101,'UNIVERSO MAESTRO'!$A$6:$A$497,0)),""))</f>
        <v>V5</v>
      </c>
      <c r="E101" s="58" t="s">
        <v>2555</v>
      </c>
      <c r="F101" s="58" t="s">
        <v>2556</v>
      </c>
      <c r="G101" s="55" t="s">
        <v>230</v>
      </c>
      <c r="H101" s="58" t="s">
        <v>2557</v>
      </c>
      <c r="I101" s="58" t="s">
        <v>2558</v>
      </c>
      <c r="J101" s="55" t="s">
        <v>225</v>
      </c>
      <c r="K101" s="55" t="s">
        <v>353</v>
      </c>
    </row>
    <row r="102" spans="1:11" ht="69.75" customHeight="1" x14ac:dyDescent="0.2">
      <c r="A102" s="55" t="s">
        <v>2619</v>
      </c>
      <c r="B102" s="55" t="s">
        <v>1073</v>
      </c>
      <c r="C102" s="56" t="str">
        <f>IF(B102="","",IFERROR(INDEX('UNIVERSO MAESTRO'!$C$6:$C$497,MATCH(B102,'UNIVERSO MAESTRO'!$A$6:$A$497,0)),"⚠ ID no encontrado"))</f>
        <v>Mextenis S.A. de C.V. (Grupo Pegaso)</v>
      </c>
      <c r="D102" s="57" t="str">
        <f>IF(B102="","",IFERROR(INDEX('UNIVERSO MAESTRO'!$D$6:$D$497,MATCH(B102,'UNIVERSO MAESTRO'!$A$6:$A$497,0)),""))</f>
        <v>V5</v>
      </c>
      <c r="E102" s="58" t="s">
        <v>2620</v>
      </c>
      <c r="F102" s="58" t="s">
        <v>2621</v>
      </c>
      <c r="G102" s="55" t="s">
        <v>205</v>
      </c>
      <c r="H102" s="58" t="s">
        <v>2622</v>
      </c>
      <c r="I102" s="58" t="s">
        <v>2623</v>
      </c>
      <c r="J102" s="55" t="s">
        <v>225</v>
      </c>
      <c r="K102" s="55" t="s">
        <v>1530</v>
      </c>
    </row>
    <row r="103" spans="1:11" ht="69.75" customHeight="1" x14ac:dyDescent="0.2">
      <c r="A103" s="55" t="s">
        <v>2624</v>
      </c>
      <c r="B103" s="55" t="s">
        <v>1073</v>
      </c>
      <c r="C103" s="56" t="str">
        <f>IF(B103="","",IFERROR(INDEX('UNIVERSO MAESTRO'!$C$6:$C$497,MATCH(B103,'UNIVERSO MAESTRO'!$A$6:$A$497,0)),"⚠ ID no encontrado"))</f>
        <v>Mextenis S.A. de C.V. (Grupo Pegaso)</v>
      </c>
      <c r="D103" s="57" t="str">
        <f>IF(B103="","",IFERROR(INDEX('UNIVERSO MAESTRO'!$D$6:$D$497,MATCH(B103,'UNIVERSO MAESTRO'!$A$6:$A$497,0)),""))</f>
        <v>V5</v>
      </c>
      <c r="E103" s="58" t="s">
        <v>2625</v>
      </c>
      <c r="F103" s="58" t="s">
        <v>2626</v>
      </c>
      <c r="G103" s="55" t="s">
        <v>230</v>
      </c>
      <c r="H103" s="58" t="s">
        <v>2627</v>
      </c>
      <c r="I103" s="58" t="s">
        <v>2628</v>
      </c>
      <c r="J103" s="55" t="s">
        <v>225</v>
      </c>
      <c r="K103" s="55" t="s">
        <v>353</v>
      </c>
    </row>
    <row r="104" spans="1:11" ht="69.75" customHeight="1" x14ac:dyDescent="0.2">
      <c r="A104" s="55" t="s">
        <v>2734</v>
      </c>
      <c r="B104" s="55" t="s">
        <v>832</v>
      </c>
      <c r="C104" s="56" t="str">
        <f>IF(B104="","",IFERROR(INDEX('UNIVERSO MAESTRO'!$C$6:$C$497,MATCH(B104,'UNIVERSO MAESTRO'!$A$6:$A$497,0)),"⚠ ID no encontrado"))</f>
        <v>GS Sports Management</v>
      </c>
      <c r="D104" s="57" t="str">
        <f>IF(B104="","",IFERROR(INDEX('UNIVERSO MAESTRO'!$D$6:$D$497,MATCH(B104,'UNIVERSO MAESTRO'!$A$6:$A$497,0)),""))</f>
        <v>V5</v>
      </c>
      <c r="E104" s="58" t="s">
        <v>2735</v>
      </c>
      <c r="F104" s="58" t="s">
        <v>2736</v>
      </c>
      <c r="G104" s="55" t="s">
        <v>205</v>
      </c>
      <c r="H104" s="58" t="s">
        <v>2737</v>
      </c>
      <c r="I104" s="58" t="s">
        <v>2738</v>
      </c>
      <c r="J104" s="55" t="s">
        <v>225</v>
      </c>
      <c r="K104" s="55" t="s">
        <v>1530</v>
      </c>
    </row>
    <row r="105" spans="1:11" ht="69.75" customHeight="1" x14ac:dyDescent="0.2">
      <c r="A105" s="55" t="s">
        <v>2749</v>
      </c>
      <c r="B105" s="55" t="s">
        <v>862</v>
      </c>
      <c r="C105" s="56" t="str">
        <f>IF(B105="","",IFERROR(INDEX('UNIVERSO MAESTRO'!$C$6:$C$497,MATCH(B105,'UNIVERSO MAESTRO'!$A$6:$A$497,0)),"⚠ ID no encontrado"))</f>
        <v>HG Promotores en Deporte y Entretenimiento</v>
      </c>
      <c r="D105" s="57" t="str">
        <f>IF(B105="","",IFERROR(INDEX('UNIVERSO MAESTRO'!$D$6:$D$497,MATCH(B105,'UNIVERSO MAESTRO'!$A$6:$A$497,0)),""))</f>
        <v>V5</v>
      </c>
      <c r="E105" s="58" t="s">
        <v>2750</v>
      </c>
      <c r="F105" s="58" t="s">
        <v>2751</v>
      </c>
      <c r="G105" s="55" t="s">
        <v>205</v>
      </c>
      <c r="H105" s="58" t="s">
        <v>2752</v>
      </c>
      <c r="I105" s="58" t="s">
        <v>2753</v>
      </c>
      <c r="J105" s="55" t="s">
        <v>225</v>
      </c>
      <c r="K105" s="55" t="s">
        <v>1530</v>
      </c>
    </row>
    <row r="106" spans="1:11" ht="69.75" customHeight="1" x14ac:dyDescent="0.2">
      <c r="A106" s="55" t="s">
        <v>2930</v>
      </c>
      <c r="B106" s="55" t="s">
        <v>832</v>
      </c>
      <c r="C106" s="56" t="str">
        <f>IF(B106="","",IFERROR(INDEX('UNIVERSO MAESTRO'!$C$6:$C$497,MATCH(B106,'UNIVERSO MAESTRO'!$A$6:$A$497,0)),"⚠ ID no encontrado"))</f>
        <v>GS Sports Management</v>
      </c>
      <c r="D106" s="57" t="str">
        <f>IF(B106="","",IFERROR(INDEX('UNIVERSO MAESTRO'!$D$6:$D$497,MATCH(B106,'UNIVERSO MAESTRO'!$A$6:$A$497,0)),""))</f>
        <v>V5</v>
      </c>
      <c r="E106" s="58" t="s">
        <v>2931</v>
      </c>
      <c r="F106" s="58" t="s">
        <v>2932</v>
      </c>
      <c r="G106" s="55" t="s">
        <v>230</v>
      </c>
      <c r="H106" s="58" t="s">
        <v>2933</v>
      </c>
      <c r="I106" s="58" t="s">
        <v>2934</v>
      </c>
      <c r="J106" s="55" t="s">
        <v>225</v>
      </c>
      <c r="K106" s="55" t="s">
        <v>1530</v>
      </c>
    </row>
    <row r="107" spans="1:11" ht="69.75" customHeight="1" x14ac:dyDescent="0.2">
      <c r="A107" s="55" t="s">
        <v>2945</v>
      </c>
      <c r="B107" s="55" t="s">
        <v>400</v>
      </c>
      <c r="C107" s="56" t="str">
        <f>IF(B107="","",IFERROR(INDEX('UNIVERSO MAESTRO'!$C$6:$C$497,MATCH(B107,'UNIVERSO MAESTRO'!$A$6:$A$497,0)),"⚠ ID no encontrado"))</f>
        <v>CIE / OCESA (V5 Experiencias)</v>
      </c>
      <c r="D107" s="57" t="str">
        <f>IF(B107="","",IFERROR(INDEX('UNIVERSO MAESTRO'!$D$6:$D$497,MATCH(B107,'UNIVERSO MAESTRO'!$A$6:$A$497,0)),""))</f>
        <v>V5</v>
      </c>
      <c r="E107" s="58" t="s">
        <v>2946</v>
      </c>
      <c r="F107" s="58" t="s">
        <v>2947</v>
      </c>
      <c r="G107" s="55" t="s">
        <v>230</v>
      </c>
      <c r="H107" s="58" t="s">
        <v>2948</v>
      </c>
      <c r="I107" s="58" t="s">
        <v>2949</v>
      </c>
      <c r="J107" s="55" t="s">
        <v>225</v>
      </c>
      <c r="K107" s="55" t="s">
        <v>1530</v>
      </c>
    </row>
    <row r="108" spans="1:11" ht="69.75" customHeight="1" x14ac:dyDescent="0.2">
      <c r="A108" s="55" t="s">
        <v>2950</v>
      </c>
      <c r="B108" s="55" t="s">
        <v>400</v>
      </c>
      <c r="C108" s="56" t="str">
        <f>IF(B108="","",IFERROR(INDEX('UNIVERSO MAESTRO'!$C$6:$C$497,MATCH(B108,'UNIVERSO MAESTRO'!$A$6:$A$497,0)),"⚠ ID no encontrado"))</f>
        <v>CIE / OCESA (V5 Experiencias)</v>
      </c>
      <c r="D108" s="57" t="str">
        <f>IF(B108="","",IFERROR(INDEX('UNIVERSO MAESTRO'!$D$6:$D$497,MATCH(B108,'UNIVERSO MAESTRO'!$A$6:$A$497,0)),""))</f>
        <v>V5</v>
      </c>
      <c r="E108" s="58" t="s">
        <v>2951</v>
      </c>
      <c r="F108" s="58" t="s">
        <v>2952</v>
      </c>
      <c r="G108" s="55" t="s">
        <v>230</v>
      </c>
      <c r="H108" s="58" t="s">
        <v>2953</v>
      </c>
      <c r="I108" s="58" t="s">
        <v>2954</v>
      </c>
      <c r="J108" s="55" t="s">
        <v>225</v>
      </c>
      <c r="K108" s="55" t="s">
        <v>353</v>
      </c>
    </row>
    <row r="109" spans="1:11" ht="69.75" customHeight="1" x14ac:dyDescent="0.2">
      <c r="A109" s="55" t="s">
        <v>3000</v>
      </c>
      <c r="B109" s="55" t="s">
        <v>1073</v>
      </c>
      <c r="C109" s="56" t="str">
        <f>IF(B109="","",IFERROR(INDEX('UNIVERSO MAESTRO'!$C$6:$C$497,MATCH(B109,'UNIVERSO MAESTRO'!$A$6:$A$497,0)),"⚠ ID no encontrado"))</f>
        <v>Mextenis S.A. de C.V. (Grupo Pegaso)</v>
      </c>
      <c r="D109" s="57" t="str">
        <f>IF(B109="","",IFERROR(INDEX('UNIVERSO MAESTRO'!$D$6:$D$497,MATCH(B109,'UNIVERSO MAESTRO'!$A$6:$A$497,0)),""))</f>
        <v>V5</v>
      </c>
      <c r="E109" s="58" t="s">
        <v>3001</v>
      </c>
      <c r="F109" s="58" t="s">
        <v>3002</v>
      </c>
      <c r="G109" s="55" t="s">
        <v>230</v>
      </c>
      <c r="H109" s="58" t="s">
        <v>3003</v>
      </c>
      <c r="I109" s="58" t="s">
        <v>3004</v>
      </c>
      <c r="J109" s="55" t="s">
        <v>225</v>
      </c>
      <c r="K109" s="55" t="s">
        <v>1530</v>
      </c>
    </row>
    <row r="110" spans="1:11" ht="69.75" customHeight="1" x14ac:dyDescent="0.2">
      <c r="A110" s="55" t="s">
        <v>3005</v>
      </c>
      <c r="B110" s="55" t="s">
        <v>1073</v>
      </c>
      <c r="C110" s="56" t="str">
        <f>IF(B110="","",IFERROR(INDEX('UNIVERSO MAESTRO'!$C$6:$C$497,MATCH(B110,'UNIVERSO MAESTRO'!$A$6:$A$497,0)),"⚠ ID no encontrado"))</f>
        <v>Mextenis S.A. de C.V. (Grupo Pegaso)</v>
      </c>
      <c r="D110" s="57" t="str">
        <f>IF(B110="","",IFERROR(INDEX('UNIVERSO MAESTRO'!$D$6:$D$497,MATCH(B110,'UNIVERSO MAESTRO'!$A$6:$A$497,0)),""))</f>
        <v>V5</v>
      </c>
      <c r="E110" s="58" t="s">
        <v>3006</v>
      </c>
      <c r="F110" s="58" t="s">
        <v>3007</v>
      </c>
      <c r="G110" s="55" t="s">
        <v>230</v>
      </c>
      <c r="H110" s="58" t="s">
        <v>3008</v>
      </c>
      <c r="I110" s="58" t="s">
        <v>3009</v>
      </c>
      <c r="J110" s="55" t="s">
        <v>225</v>
      </c>
      <c r="K110" s="55" t="s">
        <v>1530</v>
      </c>
    </row>
    <row r="111" spans="1:11" ht="69.75" customHeight="1" x14ac:dyDescent="0.2">
      <c r="A111" s="55" t="s">
        <v>3216</v>
      </c>
      <c r="B111" s="55" t="s">
        <v>528</v>
      </c>
      <c r="C111" s="56" t="str">
        <f>IF(B111="","",IFERROR(INDEX('UNIVERSO MAESTRO'!$C$6:$C$497,MATCH(B111,'UNIVERSO MAESTRO'!$A$6:$A$497,0)),"⚠ ID no encontrado"))</f>
        <v>Elevate Sports Ventures</v>
      </c>
      <c r="D111" s="57" t="str">
        <f>IF(B111="","",IFERROR(INDEX('UNIVERSO MAESTRO'!$D$6:$D$497,MATCH(B111,'UNIVERSO MAESTRO'!$A$6:$A$497,0)),""))</f>
        <v>V5</v>
      </c>
      <c r="E111" s="58" t="s">
        <v>3217</v>
      </c>
      <c r="F111" s="58" t="s">
        <v>3218</v>
      </c>
      <c r="G111" s="55" t="s">
        <v>205</v>
      </c>
      <c r="H111" s="58" t="s">
        <v>3219</v>
      </c>
      <c r="I111" s="58" t="s">
        <v>3220</v>
      </c>
      <c r="J111" s="55" t="s">
        <v>213</v>
      </c>
      <c r="K111" s="55" t="s">
        <v>1530</v>
      </c>
    </row>
    <row r="112" spans="1:11" ht="69.75" customHeight="1" x14ac:dyDescent="0.2">
      <c r="A112" s="55" t="s">
        <v>3221</v>
      </c>
      <c r="B112" s="55" t="s">
        <v>581</v>
      </c>
      <c r="C112" s="56" t="str">
        <f>IF(B112="","",IFERROR(INDEX('UNIVERSO MAESTRO'!$C$6:$C$497,MATCH(B112,'UNIVERSO MAESTRO'!$A$6:$A$497,0)),"⚠ ID no encontrado"))</f>
        <v>F1 Experiences / QuintEvents</v>
      </c>
      <c r="D112" s="57" t="str">
        <f>IF(B112="","",IFERROR(INDEX('UNIVERSO MAESTRO'!$D$6:$D$497,MATCH(B112,'UNIVERSO MAESTRO'!$A$6:$A$497,0)),""))</f>
        <v>V5</v>
      </c>
      <c r="E112" s="58" t="s">
        <v>3222</v>
      </c>
      <c r="F112" s="58" t="s">
        <v>3223</v>
      </c>
      <c r="G112" s="55" t="s">
        <v>205</v>
      </c>
      <c r="H112" s="58" t="s">
        <v>3224</v>
      </c>
      <c r="I112" s="58" t="s">
        <v>3225</v>
      </c>
      <c r="J112" s="55" t="s">
        <v>225</v>
      </c>
      <c r="K112" s="55" t="s">
        <v>1530</v>
      </c>
    </row>
    <row r="113" spans="1:11" ht="69.75" customHeight="1" x14ac:dyDescent="0.2">
      <c r="A113" s="55" t="s">
        <v>2811</v>
      </c>
      <c r="B113" s="55" t="s">
        <v>326</v>
      </c>
      <c r="C113" s="56" t="str">
        <f>IF(B113="","",IFERROR(INDEX('UNIVERSO MAESTRO'!$C$6:$C$497,MATCH(B113,'UNIVERSO MAESTRO'!$A$6:$A$497,0)),"⚠ ID no encontrado"))</f>
        <v>Boletomóvil</v>
      </c>
      <c r="D113" s="57" t="str">
        <f>IF(B113="","",IFERROR(INDEX('UNIVERSO MAESTRO'!$D$6:$D$497,MATCH(B113,'UNIVERSO MAESTRO'!$A$6:$A$497,0)),""))</f>
        <v>V6</v>
      </c>
      <c r="E113" s="58" t="s">
        <v>2812</v>
      </c>
      <c r="F113" s="58" t="s">
        <v>2813</v>
      </c>
      <c r="G113" s="55" t="s">
        <v>205</v>
      </c>
      <c r="H113" s="58" t="s">
        <v>2814</v>
      </c>
      <c r="I113" s="58" t="s">
        <v>2815</v>
      </c>
      <c r="J113" s="55" t="s">
        <v>225</v>
      </c>
      <c r="K113" s="55" t="s">
        <v>1530</v>
      </c>
    </row>
    <row r="114" spans="1:11" ht="69.75" customHeight="1" x14ac:dyDescent="0.2">
      <c r="A114" s="55" t="s">
        <v>2850</v>
      </c>
      <c r="B114" s="55" t="s">
        <v>602</v>
      </c>
      <c r="C114" s="56" t="str">
        <f>IF(B114="","",IFERROR(INDEX('UNIVERSO MAESTRO'!$C$6:$C$497,MATCH(B114,'UNIVERSO MAESTRO'!$A$6:$A$497,0)),"⚠ ID no encontrado"))</f>
        <v>FANKI (Bitsports S.A.S.)</v>
      </c>
      <c r="D114" s="57" t="str">
        <f>IF(B114="","",IFERROR(INDEX('UNIVERSO MAESTRO'!$D$6:$D$497,MATCH(B114,'UNIVERSO MAESTRO'!$A$6:$A$497,0)),""))</f>
        <v>V6</v>
      </c>
      <c r="E114" s="58" t="s">
        <v>2851</v>
      </c>
      <c r="F114" s="58" t="s">
        <v>2852</v>
      </c>
      <c r="G114" s="55" t="s">
        <v>205</v>
      </c>
      <c r="H114" s="58" t="s">
        <v>2853</v>
      </c>
      <c r="I114" s="58" t="s">
        <v>2854</v>
      </c>
      <c r="J114" s="55" t="s">
        <v>225</v>
      </c>
      <c r="K114" s="55" t="s">
        <v>1530</v>
      </c>
    </row>
    <row r="115" spans="1:11" ht="69.75" customHeight="1" x14ac:dyDescent="0.2">
      <c r="A115" s="55" t="s">
        <v>2910</v>
      </c>
      <c r="B115" s="55" t="s">
        <v>602</v>
      </c>
      <c r="C115" s="56" t="str">
        <f>IF(B115="","",IFERROR(INDEX('UNIVERSO MAESTRO'!$C$6:$C$497,MATCH(B115,'UNIVERSO MAESTRO'!$A$6:$A$497,0)),"⚠ ID no encontrado"))</f>
        <v>FANKI (Bitsports S.A.S.)</v>
      </c>
      <c r="D115" s="57" t="str">
        <f>IF(B115="","",IFERROR(INDEX('UNIVERSO MAESTRO'!$D$6:$D$497,MATCH(B115,'UNIVERSO MAESTRO'!$A$6:$A$497,0)),""))</f>
        <v>V6</v>
      </c>
      <c r="E115" s="58" t="s">
        <v>2911</v>
      </c>
      <c r="F115" s="58" t="s">
        <v>2912</v>
      </c>
      <c r="G115" s="55" t="s">
        <v>230</v>
      </c>
      <c r="H115" s="58" t="s">
        <v>2913</v>
      </c>
      <c r="I115" s="58" t="s">
        <v>2914</v>
      </c>
      <c r="J115" s="55" t="s">
        <v>225</v>
      </c>
      <c r="K115" s="55" t="s">
        <v>353</v>
      </c>
    </row>
    <row r="116" spans="1:11" ht="69.75" customHeight="1" x14ac:dyDescent="0.2">
      <c r="A116" s="55" t="s">
        <v>2915</v>
      </c>
      <c r="B116" s="55" t="s">
        <v>602</v>
      </c>
      <c r="C116" s="56" t="str">
        <f>IF(B116="","",IFERROR(INDEX('UNIVERSO MAESTRO'!$C$6:$C$497,MATCH(B116,'UNIVERSO MAESTRO'!$A$6:$A$497,0)),"⚠ ID no encontrado"))</f>
        <v>FANKI (Bitsports S.A.S.)</v>
      </c>
      <c r="D116" s="57" t="str">
        <f>IF(B116="","",IFERROR(INDEX('UNIVERSO MAESTRO'!$D$6:$D$497,MATCH(B116,'UNIVERSO MAESTRO'!$A$6:$A$497,0)),""))</f>
        <v>V6</v>
      </c>
      <c r="E116" s="58" t="s">
        <v>2916</v>
      </c>
      <c r="F116" s="58" t="s">
        <v>2917</v>
      </c>
      <c r="G116" s="55" t="s">
        <v>230</v>
      </c>
      <c r="H116" s="58" t="s">
        <v>2918</v>
      </c>
      <c r="I116" s="58" t="s">
        <v>2919</v>
      </c>
      <c r="J116" s="55" t="s">
        <v>225</v>
      </c>
      <c r="K116" s="55" t="s">
        <v>353</v>
      </c>
    </row>
    <row r="117" spans="1:11" ht="69.75" customHeight="1" x14ac:dyDescent="0.2">
      <c r="A117" s="55" t="s">
        <v>3049</v>
      </c>
      <c r="B117" s="55" t="s">
        <v>632</v>
      </c>
      <c r="C117" s="56" t="str">
        <f>IF(B117="","",IFERROR(INDEX('UNIVERSO MAESTRO'!$C$6:$C$497,MATCH(B117,'UNIVERSO MAESTRO'!$A$6:$A$497,0)),"⚠ ID no encontrado"))</f>
        <v>FIFA Ticketing — Copa Mundial 2026</v>
      </c>
      <c r="D117" s="57" t="str">
        <f>IF(B117="","",IFERROR(INDEX('UNIVERSO MAESTRO'!$D$6:$D$497,MATCH(B117,'UNIVERSO MAESTRO'!$A$6:$A$497,0)),""))</f>
        <v>V6</v>
      </c>
      <c r="E117" s="58" t="s">
        <v>3050</v>
      </c>
      <c r="F117" s="58" t="s">
        <v>3051</v>
      </c>
      <c r="G117" s="55" t="s">
        <v>205</v>
      </c>
      <c r="H117" s="58" t="s">
        <v>3052</v>
      </c>
      <c r="I117" s="58" t="s">
        <v>3053</v>
      </c>
      <c r="J117" s="55" t="s">
        <v>225</v>
      </c>
      <c r="K117" s="55" t="s">
        <v>1530</v>
      </c>
    </row>
    <row r="118" spans="1:11" ht="69.75" customHeight="1" x14ac:dyDescent="0.2">
      <c r="A118" s="55" t="s">
        <v>3246</v>
      </c>
      <c r="B118" s="55" t="s">
        <v>1457</v>
      </c>
      <c r="C118" s="56" t="str">
        <f>IF(B118="","",IFERROR(INDEX('UNIVERSO MAESTRO'!$C$6:$C$497,MATCH(B118,'UNIVERSO MAESTRO'!$A$6:$A$497,0)),"⚠ ID no encontrado"))</f>
        <v>Viagogo / Helloticket / Tophop</v>
      </c>
      <c r="D118" s="57" t="str">
        <f>IF(B118="","",IFERROR(INDEX('UNIVERSO MAESTRO'!$D$6:$D$497,MATCH(B118,'UNIVERSO MAESTRO'!$A$6:$A$497,0)),""))</f>
        <v>V6</v>
      </c>
      <c r="E118" s="58" t="s">
        <v>3247</v>
      </c>
      <c r="F118" s="58" t="s">
        <v>3248</v>
      </c>
      <c r="G118" s="55" t="s">
        <v>205</v>
      </c>
      <c r="H118" s="58" t="s">
        <v>3249</v>
      </c>
      <c r="I118" s="58" t="s">
        <v>3250</v>
      </c>
      <c r="J118" s="55" t="s">
        <v>213</v>
      </c>
      <c r="K118" s="55" t="s">
        <v>1530</v>
      </c>
    </row>
    <row r="119" spans="1:11" ht="69.75" customHeight="1" x14ac:dyDescent="0.2">
      <c r="A119" s="55" t="s">
        <v>2694</v>
      </c>
      <c r="B119" s="55" t="s">
        <v>558</v>
      </c>
      <c r="C119" s="56" t="str">
        <f>IF(B119="","",IFERROR(INDEX('UNIVERSO MAESTRO'!$C$6:$C$497,MATCH(B119,'UNIVERSO MAESTRO'!$A$6:$A$497,0)),"⚠ ID no encontrado"))</f>
        <v>Estadio Ciudad de los Deportes</v>
      </c>
      <c r="D119" s="57" t="str">
        <f>IF(B119="","",IFERROR(INDEX('UNIVERSO MAESTRO'!$D$6:$D$497,MATCH(B119,'UNIVERSO MAESTRO'!$A$6:$A$497,0)),""))</f>
        <v>V7</v>
      </c>
      <c r="E119" s="58" t="s">
        <v>2695</v>
      </c>
      <c r="F119" s="58" t="s">
        <v>2696</v>
      </c>
      <c r="G119" s="55" t="s">
        <v>205</v>
      </c>
      <c r="H119" s="58" t="s">
        <v>2697</v>
      </c>
      <c r="I119" s="58" t="s">
        <v>2698</v>
      </c>
      <c r="J119" s="55" t="s">
        <v>225</v>
      </c>
      <c r="K119" s="55" t="s">
        <v>1530</v>
      </c>
    </row>
    <row r="120" spans="1:11" ht="69.75" customHeight="1" x14ac:dyDescent="0.2">
      <c r="A120" s="55" t="s">
        <v>2739</v>
      </c>
      <c r="B120" s="55" t="s">
        <v>842</v>
      </c>
      <c r="C120" s="56" t="str">
        <f>IF(B120="","",IFERROR(INDEX('UNIVERSO MAESTRO'!$C$6:$C$497,MATCH(B120,'UNIVERSO MAESTRO'!$A$6:$A$497,0)),"⚠ ID no encontrado"))</f>
        <v>⚠ ID no encontrado</v>
      </c>
      <c r="D120" s="57" t="str">
        <f>IF(B120="","",IFERROR(INDEX('UNIVERSO MAESTRO'!$D$6:$D$497,MATCH(B120,'UNIVERSO MAESTRO'!$A$6:$A$497,0)),""))</f>
        <v/>
      </c>
      <c r="E120" s="58" t="s">
        <v>2740</v>
      </c>
      <c r="F120" s="58" t="s">
        <v>2741</v>
      </c>
      <c r="G120" s="55" t="s">
        <v>205</v>
      </c>
      <c r="H120" s="58" t="s">
        <v>2742</v>
      </c>
      <c r="I120" s="58" t="s">
        <v>2743</v>
      </c>
      <c r="J120" s="55" t="s">
        <v>225</v>
      </c>
      <c r="K120" s="55" t="s">
        <v>353</v>
      </c>
    </row>
    <row r="121" spans="1:11" ht="69.75" customHeight="1" x14ac:dyDescent="0.2">
      <c r="A121" s="55" t="s">
        <v>2840</v>
      </c>
      <c r="B121" s="55" t="s">
        <v>568</v>
      </c>
      <c r="C121" s="56" t="str">
        <f>IF(B121="","",IFERROR(INDEX('UNIVERSO MAESTRO'!$C$6:$C$497,MATCH(B121,'UNIVERSO MAESTRO'!$A$6:$A$497,0)),"⚠ ID no encontrado"))</f>
        <v>Estadio Jalisco</v>
      </c>
      <c r="D121" s="57" t="str">
        <f>IF(B121="","",IFERROR(INDEX('UNIVERSO MAESTRO'!$D$6:$D$497,MATCH(B121,'UNIVERSO MAESTRO'!$A$6:$A$497,0)),""))</f>
        <v>V7</v>
      </c>
      <c r="E121" s="58" t="s">
        <v>2841</v>
      </c>
      <c r="F121" s="58" t="s">
        <v>2842</v>
      </c>
      <c r="G121" s="55" t="s">
        <v>205</v>
      </c>
      <c r="H121" s="58" t="s">
        <v>2843</v>
      </c>
      <c r="I121" s="58" t="s">
        <v>2844</v>
      </c>
      <c r="J121" s="55" t="s">
        <v>213</v>
      </c>
      <c r="K121" s="55" t="s">
        <v>1530</v>
      </c>
    </row>
    <row r="122" spans="1:11" ht="69.75" customHeight="1" x14ac:dyDescent="0.2">
      <c r="A122" s="55" t="s">
        <v>2845</v>
      </c>
      <c r="B122" s="55" t="s">
        <v>574</v>
      </c>
      <c r="C122" s="56" t="str">
        <f>IF(B122="","",IFERROR(INDEX('UNIVERSO MAESTRO'!$C$6:$C$497,MATCH(B122,'UNIVERSO MAESTRO'!$A$6:$A$497,0)),"⚠ ID no encontrado"))</f>
        <v>Estadio Olímpico Universitario</v>
      </c>
      <c r="D122" s="57" t="str">
        <f>IF(B122="","",IFERROR(INDEX('UNIVERSO MAESTRO'!$D$6:$D$497,MATCH(B122,'UNIVERSO MAESTRO'!$A$6:$A$497,0)),""))</f>
        <v>V7</v>
      </c>
      <c r="E122" s="58" t="s">
        <v>2846</v>
      </c>
      <c r="F122" s="58" t="s">
        <v>2847</v>
      </c>
      <c r="G122" s="55" t="s">
        <v>205</v>
      </c>
      <c r="H122" s="58" t="s">
        <v>2848</v>
      </c>
      <c r="I122" s="58" t="s">
        <v>2849</v>
      </c>
      <c r="J122" s="55" t="s">
        <v>225</v>
      </c>
      <c r="K122" s="55" t="s">
        <v>1530</v>
      </c>
    </row>
    <row r="123" spans="1:11" ht="69.75" customHeight="1" x14ac:dyDescent="0.2">
      <c r="A123" s="55" t="s">
        <v>2719</v>
      </c>
      <c r="B123" s="55" t="s">
        <v>680</v>
      </c>
      <c r="C123" s="56" t="str">
        <f>IF(B123="","",IFERROR(INDEX('UNIVERSO MAESTRO'!$C$6:$C$497,MATCH(B123,'UNIVERSO MAESTRO'!$A$6:$A$497,0)),"⚠ ID no encontrado"))</f>
        <v>Genius Sports</v>
      </c>
      <c r="D123" s="57" t="str">
        <f>IF(B123="","",IFERROR(INDEX('UNIVERSO MAESTRO'!$D$6:$D$497,MATCH(B123,'UNIVERSO MAESTRO'!$A$6:$A$497,0)),""))</f>
        <v>V8</v>
      </c>
      <c r="E123" s="58" t="s">
        <v>2720</v>
      </c>
      <c r="F123" s="58" t="s">
        <v>2721</v>
      </c>
      <c r="G123" s="55" t="s">
        <v>205</v>
      </c>
      <c r="H123" s="58" t="s">
        <v>2722</v>
      </c>
      <c r="I123" s="58" t="s">
        <v>2723</v>
      </c>
      <c r="J123" s="55" t="s">
        <v>225</v>
      </c>
      <c r="K123" s="55" t="s">
        <v>1530</v>
      </c>
    </row>
    <row r="124" spans="1:11" ht="69.75" customHeight="1" x14ac:dyDescent="0.2">
      <c r="A124" s="55" t="s">
        <v>2865</v>
      </c>
      <c r="B124" s="55" t="s">
        <v>920</v>
      </c>
      <c r="C124" s="56" t="str">
        <f>IF(B124="","",IFERROR(INDEX('UNIVERSO MAESTRO'!$C$6:$C$497,MATCH(B124,'UNIVERSO MAESTRO'!$A$6:$A$497,0)),"⚠ ID no encontrado"))</f>
        <v>KAGR (Kraft Analytics Group)</v>
      </c>
      <c r="D124" s="57" t="str">
        <f>IF(B124="","",IFERROR(INDEX('UNIVERSO MAESTRO'!$D$6:$D$497,MATCH(B124,'UNIVERSO MAESTRO'!$A$6:$A$497,0)),""))</f>
        <v>V8</v>
      </c>
      <c r="E124" s="58" t="s">
        <v>2866</v>
      </c>
      <c r="F124" s="58" t="s">
        <v>2867</v>
      </c>
      <c r="G124" s="55" t="s">
        <v>205</v>
      </c>
      <c r="H124" s="58" t="s">
        <v>2868</v>
      </c>
      <c r="I124" s="58" t="s">
        <v>2869</v>
      </c>
      <c r="J124" s="55" t="s">
        <v>225</v>
      </c>
      <c r="K124" s="55" t="s">
        <v>1530</v>
      </c>
    </row>
    <row r="125" spans="1:11" ht="69.75" customHeight="1" x14ac:dyDescent="0.2">
      <c r="A125" s="55" t="s">
        <v>2970</v>
      </c>
      <c r="B125" s="55" t="s">
        <v>680</v>
      </c>
      <c r="C125" s="56" t="str">
        <f>IF(B125="","",IFERROR(INDEX('UNIVERSO MAESTRO'!$C$6:$C$497,MATCH(B125,'UNIVERSO MAESTRO'!$A$6:$A$497,0)),"⚠ ID no encontrado"))</f>
        <v>Genius Sports</v>
      </c>
      <c r="D125" s="57" t="str">
        <f>IF(B125="","",IFERROR(INDEX('UNIVERSO MAESTRO'!$D$6:$D$497,MATCH(B125,'UNIVERSO MAESTRO'!$A$6:$A$497,0)),""))</f>
        <v>V8</v>
      </c>
      <c r="E125" s="58" t="s">
        <v>2971</v>
      </c>
      <c r="F125" s="58" t="s">
        <v>2972</v>
      </c>
      <c r="G125" s="55" t="s">
        <v>205</v>
      </c>
      <c r="H125" s="58" t="s">
        <v>2973</v>
      </c>
      <c r="I125" s="58" t="s">
        <v>2974</v>
      </c>
      <c r="J125" s="55" t="s">
        <v>225</v>
      </c>
      <c r="K125" s="55" t="s">
        <v>1530</v>
      </c>
    </row>
    <row r="126" spans="1:11" ht="69.75" customHeight="1" x14ac:dyDescent="0.2">
      <c r="A126" s="55" t="s">
        <v>3068</v>
      </c>
      <c r="B126" s="55" t="s">
        <v>877</v>
      </c>
      <c r="C126" s="56" t="str">
        <f>IF(B126="","",IFERROR(INDEX('UNIVERSO MAESTRO'!$C$6:$C$497,MATCH(B126,'UNIVERSO MAESTRO'!$A$6:$A$497,0)),"⚠ ID no encontrado"))</f>
        <v>Hudl (Sportscode + Wyscout + Wimu + StatsBomb + Signal)</v>
      </c>
      <c r="D126" s="57" t="str">
        <f>IF(B126="","",IFERROR(INDEX('UNIVERSO MAESTRO'!$D$6:$D$497,MATCH(B126,'UNIVERSO MAESTRO'!$A$6:$A$497,0)),""))</f>
        <v>V8</v>
      </c>
      <c r="E126" s="58" t="s">
        <v>3069</v>
      </c>
      <c r="F126" s="58" t="s">
        <v>3070</v>
      </c>
      <c r="G126" s="55" t="s">
        <v>205</v>
      </c>
      <c r="H126" s="58" t="s">
        <v>3071</v>
      </c>
      <c r="I126" s="58" t="s">
        <v>3072</v>
      </c>
      <c r="J126" s="55" t="s">
        <v>225</v>
      </c>
      <c r="K126" s="55" t="s">
        <v>1530</v>
      </c>
    </row>
    <row r="127" spans="1:11" ht="69.75" customHeight="1" x14ac:dyDescent="0.2">
      <c r="A127" s="55" t="s">
        <v>3073</v>
      </c>
      <c r="B127" s="55" t="s">
        <v>885</v>
      </c>
      <c r="C127" s="56" t="str">
        <f>IF(B127="","",IFERROR(INDEX('UNIVERSO MAESTRO'!$C$6:$C$497,MATCH(B127,'UNIVERSO MAESTRO'!$A$6:$A$497,0)),"⚠ ID no encontrado"))</f>
        <v>Incode Technologies</v>
      </c>
      <c r="D127" s="57" t="str">
        <f>IF(B127="","",IFERROR(INDEX('UNIVERSO MAESTRO'!$D$6:$D$497,MATCH(B127,'UNIVERSO MAESTRO'!$A$6:$A$497,0)),""))</f>
        <v>V8</v>
      </c>
      <c r="E127" s="58" t="s">
        <v>3074</v>
      </c>
      <c r="F127" s="58" t="s">
        <v>3075</v>
      </c>
      <c r="G127" s="55" t="s">
        <v>205</v>
      </c>
      <c r="H127" s="58" t="s">
        <v>3076</v>
      </c>
      <c r="I127" s="58" t="s">
        <v>3077</v>
      </c>
      <c r="J127" s="55" t="s">
        <v>225</v>
      </c>
      <c r="K127" s="55" t="s">
        <v>1530</v>
      </c>
    </row>
    <row r="128" spans="1:11" ht="69.75" customHeight="1" x14ac:dyDescent="0.2">
      <c r="A128" s="55" t="s">
        <v>3078</v>
      </c>
      <c r="B128" s="55" t="s">
        <v>1031</v>
      </c>
      <c r="C128" s="56" t="str">
        <f>IF(B128="","",IFERROR(INDEX('UNIVERSO MAESTRO'!$C$6:$C$497,MATCH(B128,'UNIVERSO MAESTRO'!$A$6:$A$497,0)),"⚠ ID no encontrado"))</f>
        <v>Mediapro</v>
      </c>
      <c r="D128" s="57" t="str">
        <f>IF(B128="","",IFERROR(INDEX('UNIVERSO MAESTRO'!$D$6:$D$497,MATCH(B128,'UNIVERSO MAESTRO'!$A$6:$A$497,0)),""))</f>
        <v>V8</v>
      </c>
      <c r="E128" s="58" t="s">
        <v>3079</v>
      </c>
      <c r="F128" s="58" t="s">
        <v>3080</v>
      </c>
      <c r="G128" s="55" t="s">
        <v>205</v>
      </c>
      <c r="H128" s="58" t="s">
        <v>3081</v>
      </c>
      <c r="I128" s="58" t="s">
        <v>3082</v>
      </c>
      <c r="J128" s="55" t="s">
        <v>225</v>
      </c>
      <c r="K128" s="55" t="s">
        <v>1530</v>
      </c>
    </row>
    <row r="129" spans="1:11" ht="69.75" customHeight="1" x14ac:dyDescent="0.2">
      <c r="A129" s="55" t="s">
        <v>2474</v>
      </c>
      <c r="B129" s="55" t="s">
        <v>537</v>
      </c>
      <c r="C129" s="56" t="str">
        <f>IF(B129="","",IFERROR(INDEX('UNIVERSO MAESTRO'!$C$6:$C$497,MATCH(B129,'UNIVERSO MAESTRO'!$A$6:$A$497,0)),"⚠ ID no encontrado"))</f>
        <v>Endeavor / WME Group</v>
      </c>
      <c r="D129" s="57" t="str">
        <f>IF(B129="","",IFERROR(INDEX('UNIVERSO MAESTRO'!$D$6:$D$497,MATCH(B129,'UNIVERSO MAESTRO'!$A$6:$A$497,0)),""))</f>
        <v>V9</v>
      </c>
      <c r="E129" s="58" t="s">
        <v>2475</v>
      </c>
      <c r="F129" s="58" t="s">
        <v>2476</v>
      </c>
      <c r="G129" s="55" t="s">
        <v>205</v>
      </c>
      <c r="H129" s="58" t="s">
        <v>2477</v>
      </c>
      <c r="I129" s="58" t="s">
        <v>2478</v>
      </c>
      <c r="J129" s="55" t="s">
        <v>225</v>
      </c>
      <c r="K129" s="55" t="s">
        <v>1530</v>
      </c>
    </row>
    <row r="130" spans="1:11" ht="69.75" customHeight="1" x14ac:dyDescent="0.2">
      <c r="A130" s="55" t="s">
        <v>2479</v>
      </c>
      <c r="B130" s="55" t="s">
        <v>537</v>
      </c>
      <c r="C130" s="56" t="str">
        <f>IF(B130="","",IFERROR(INDEX('UNIVERSO MAESTRO'!$C$6:$C$497,MATCH(B130,'UNIVERSO MAESTRO'!$A$6:$A$497,0)),"⚠ ID no encontrado"))</f>
        <v>Endeavor / WME Group</v>
      </c>
      <c r="D130" s="57" t="str">
        <f>IF(B130="","",IFERROR(INDEX('UNIVERSO MAESTRO'!$D$6:$D$497,MATCH(B130,'UNIVERSO MAESTRO'!$A$6:$A$497,0)),""))</f>
        <v>V9</v>
      </c>
      <c r="E130" s="58" t="s">
        <v>2480</v>
      </c>
      <c r="F130" s="58" t="s">
        <v>2481</v>
      </c>
      <c r="G130" s="55" t="s">
        <v>230</v>
      </c>
      <c r="H130" s="58" t="s">
        <v>2482</v>
      </c>
      <c r="I130" s="58" t="s">
        <v>2483</v>
      </c>
      <c r="J130" s="55" t="s">
        <v>225</v>
      </c>
      <c r="K130" s="55" t="s">
        <v>4258</v>
      </c>
    </row>
    <row r="131" spans="1:11" ht="69.75" customHeight="1" x14ac:dyDescent="0.2">
      <c r="A131" s="55" t="s">
        <v>2484</v>
      </c>
      <c r="B131" s="55" t="s">
        <v>537</v>
      </c>
      <c r="C131" s="56" t="str">
        <f>IF(B131="","",IFERROR(INDEX('UNIVERSO MAESTRO'!$C$6:$C$497,MATCH(B131,'UNIVERSO MAESTRO'!$A$6:$A$497,0)),"⚠ ID no encontrado"))</f>
        <v>Endeavor / WME Group</v>
      </c>
      <c r="D131" s="57" t="str">
        <f>IF(B131="","",IFERROR(INDEX('UNIVERSO MAESTRO'!$D$6:$D$497,MATCH(B131,'UNIVERSO MAESTRO'!$A$6:$A$497,0)),""))</f>
        <v>V9</v>
      </c>
      <c r="E131" s="58" t="s">
        <v>2485</v>
      </c>
      <c r="F131" s="58" t="s">
        <v>2486</v>
      </c>
      <c r="G131" s="55" t="s">
        <v>230</v>
      </c>
      <c r="H131" s="58" t="s">
        <v>2487</v>
      </c>
      <c r="I131" s="58" t="s">
        <v>2488</v>
      </c>
      <c r="J131" s="55" t="s">
        <v>225</v>
      </c>
      <c r="K131" s="55" t="s">
        <v>4258</v>
      </c>
    </row>
    <row r="132" spans="1:11" ht="69.75" customHeight="1" x14ac:dyDescent="0.2">
      <c r="A132" s="55" t="s">
        <v>2499</v>
      </c>
      <c r="B132" s="55" t="s">
        <v>622</v>
      </c>
      <c r="C132" s="56" t="str">
        <f>IF(B132="","",IFERROR(INDEX('UNIVERSO MAESTRO'!$C$6:$C$497,MATCH(B132,'UNIVERSO MAESTRO'!$A$6:$A$497,0)),"⚠ ID no encontrado"))</f>
        <v>FEMSA / Club de Fútbol Monterrey Rayados</v>
      </c>
      <c r="D132" s="57" t="str">
        <f>IF(B132="","",IFERROR(INDEX('UNIVERSO MAESTRO'!$D$6:$D$497,MATCH(B132,'UNIVERSO MAESTRO'!$A$6:$A$497,0)),""))</f>
        <v>V9</v>
      </c>
      <c r="E132" s="58" t="s">
        <v>2500</v>
      </c>
      <c r="F132" s="58" t="s">
        <v>2501</v>
      </c>
      <c r="G132" s="55" t="s">
        <v>205</v>
      </c>
      <c r="H132" s="58" t="s">
        <v>2502</v>
      </c>
      <c r="I132" s="58" t="s">
        <v>2503</v>
      </c>
      <c r="J132" s="55" t="s">
        <v>225</v>
      </c>
      <c r="K132" s="55" t="s">
        <v>1530</v>
      </c>
    </row>
    <row r="133" spans="1:11" ht="69.75" customHeight="1" x14ac:dyDescent="0.2">
      <c r="A133" s="55" t="s">
        <v>2504</v>
      </c>
      <c r="B133" s="55" t="s">
        <v>622</v>
      </c>
      <c r="C133" s="56" t="str">
        <f>IF(B133="","",IFERROR(INDEX('UNIVERSO MAESTRO'!$C$6:$C$497,MATCH(B133,'UNIVERSO MAESTRO'!$A$6:$A$497,0)),"⚠ ID no encontrado"))</f>
        <v>FEMSA / Club de Fútbol Monterrey Rayados</v>
      </c>
      <c r="D133" s="57" t="str">
        <f>IF(B133="","",IFERROR(INDEX('UNIVERSO MAESTRO'!$D$6:$D$497,MATCH(B133,'UNIVERSO MAESTRO'!$A$6:$A$497,0)),""))</f>
        <v>V9</v>
      </c>
      <c r="E133" s="58" t="s">
        <v>2505</v>
      </c>
      <c r="F133" s="58" t="s">
        <v>2506</v>
      </c>
      <c r="G133" s="55" t="s">
        <v>230</v>
      </c>
      <c r="H133" s="58" t="s">
        <v>2507</v>
      </c>
      <c r="I133" s="58" t="s">
        <v>2508</v>
      </c>
      <c r="J133" s="55" t="s">
        <v>225</v>
      </c>
      <c r="K133" s="55" t="s">
        <v>353</v>
      </c>
    </row>
    <row r="134" spans="1:11" ht="69.75" customHeight="1" x14ac:dyDescent="0.2">
      <c r="A134" s="55" t="s">
        <v>2514</v>
      </c>
      <c r="B134" s="55" t="s">
        <v>771</v>
      </c>
      <c r="C134" s="56" t="str">
        <f>IF(B134="","",IFERROR(INDEX('UNIVERSO MAESTRO'!$C$6:$C$497,MATCH(B134,'UNIVERSO MAESTRO'!$A$6:$A$497,0)),"⚠ ID no encontrado"))</f>
        <v>Grupo Omnilife / Amaury Vergara / Chivas</v>
      </c>
      <c r="D134" s="57" t="str">
        <f>IF(B134="","",IFERROR(INDEX('UNIVERSO MAESTRO'!$D$6:$D$497,MATCH(B134,'UNIVERSO MAESTRO'!$A$6:$A$497,0)),""))</f>
        <v>V9</v>
      </c>
      <c r="E134" s="58" t="s">
        <v>2515</v>
      </c>
      <c r="F134" s="58" t="s">
        <v>2516</v>
      </c>
      <c r="G134" s="55" t="s">
        <v>205</v>
      </c>
      <c r="H134" s="58" t="s">
        <v>2517</v>
      </c>
      <c r="I134" s="58" t="s">
        <v>2518</v>
      </c>
      <c r="J134" s="55" t="s">
        <v>225</v>
      </c>
      <c r="K134" s="55" t="s">
        <v>1530</v>
      </c>
    </row>
    <row r="135" spans="1:11" ht="69.75" customHeight="1" x14ac:dyDescent="0.2">
      <c r="A135" s="55" t="s">
        <v>2519</v>
      </c>
      <c r="B135" s="55" t="s">
        <v>1149</v>
      </c>
      <c r="C135" s="56" t="str">
        <f>IF(B135="","",IFERROR(INDEX('UNIVERSO MAESTRO'!$C$6:$C$497,MATCH(B135,'UNIVERSO MAESTRO'!$A$6:$A$497,0)),"⚠ ID no encontrado"))</f>
        <v>Ollamani, S.A.B. / Grupo Águilas (Club América + Estadio Banorte)</v>
      </c>
      <c r="D135" s="57" t="str">
        <f>IF(B135="","",IFERROR(INDEX('UNIVERSO MAESTRO'!$D$6:$D$497,MATCH(B135,'UNIVERSO MAESTRO'!$A$6:$A$497,0)),""))</f>
        <v>V9</v>
      </c>
      <c r="E135" s="58" t="s">
        <v>2520</v>
      </c>
      <c r="F135" s="58" t="s">
        <v>2521</v>
      </c>
      <c r="G135" s="55" t="s">
        <v>205</v>
      </c>
      <c r="H135" s="58" t="s">
        <v>2522</v>
      </c>
      <c r="I135" s="58" t="s">
        <v>2523</v>
      </c>
      <c r="J135" s="55" t="s">
        <v>225</v>
      </c>
      <c r="K135" s="55" t="s">
        <v>1530</v>
      </c>
    </row>
    <row r="136" spans="1:11" ht="69.75" customHeight="1" x14ac:dyDescent="0.2">
      <c r="A136" s="55" t="s">
        <v>2524</v>
      </c>
      <c r="B136" s="55" t="s">
        <v>1149</v>
      </c>
      <c r="C136" s="56" t="str">
        <f>IF(B136="","",IFERROR(INDEX('UNIVERSO MAESTRO'!$C$6:$C$497,MATCH(B136,'UNIVERSO MAESTRO'!$A$6:$A$497,0)),"⚠ ID no encontrado"))</f>
        <v>Ollamani, S.A.B. / Grupo Águilas (Club América + Estadio Banorte)</v>
      </c>
      <c r="D136" s="57" t="str">
        <f>IF(B136="","",IFERROR(INDEX('UNIVERSO MAESTRO'!$D$6:$D$497,MATCH(B136,'UNIVERSO MAESTRO'!$A$6:$A$497,0)),""))</f>
        <v>V9</v>
      </c>
      <c r="E136" s="58" t="s">
        <v>2525</v>
      </c>
      <c r="F136" s="58" t="s">
        <v>2526</v>
      </c>
      <c r="G136" s="55" t="s">
        <v>205</v>
      </c>
      <c r="H136" s="58" t="s">
        <v>2527</v>
      </c>
      <c r="I136" s="58" t="s">
        <v>2528</v>
      </c>
      <c r="J136" s="55" t="s">
        <v>225</v>
      </c>
      <c r="K136" s="55" t="s">
        <v>1530</v>
      </c>
    </row>
    <row r="137" spans="1:11" ht="69.75" customHeight="1" x14ac:dyDescent="0.2">
      <c r="A137" s="55" t="s">
        <v>2539</v>
      </c>
      <c r="B137" s="55" t="s">
        <v>377</v>
      </c>
      <c r="C137" s="56" t="str">
        <f>IF(B137="","",IFERROR(INDEX('UNIVERSO MAESTRO'!$C$6:$C$497,MATCH(B137,'UNIVERSO MAESTRO'!$A$6:$A$497,0)),"⚠ ID no encontrado"))</f>
        <v>CEMEX / Sinergia Deportiva</v>
      </c>
      <c r="D137" s="57" t="str">
        <f>IF(B137="","",IFERROR(INDEX('UNIVERSO MAESTRO'!$D$6:$D$497,MATCH(B137,'UNIVERSO MAESTRO'!$A$6:$A$497,0)),""))</f>
        <v>V9</v>
      </c>
      <c r="E137" s="58" t="s">
        <v>2540</v>
      </c>
      <c r="F137" s="58" t="s">
        <v>2541</v>
      </c>
      <c r="G137" s="55" t="s">
        <v>205</v>
      </c>
      <c r="H137" s="58" t="s">
        <v>2542</v>
      </c>
      <c r="I137" s="58" t="s">
        <v>2543</v>
      </c>
      <c r="J137" s="55" t="s">
        <v>225</v>
      </c>
      <c r="K137" s="55" t="s">
        <v>1530</v>
      </c>
    </row>
    <row r="138" spans="1:11" ht="69.75" customHeight="1" x14ac:dyDescent="0.2">
      <c r="A138" s="55" t="s">
        <v>2564</v>
      </c>
      <c r="B138" s="55" t="s">
        <v>720</v>
      </c>
      <c r="C138" s="56" t="str">
        <f>IF(B138="","",IFERROR(INDEX('UNIVERSO MAESTRO'!$C$6:$C$497,MATCH(B138,'UNIVERSO MAESTRO'!$A$6:$A$497,0)),"⚠ ID no encontrado"))</f>
        <v>Grupo Avalanz / Zignia (Guillermo Salinas Pliego)</v>
      </c>
      <c r="D138" s="57" t="str">
        <f>IF(B138="","",IFERROR(INDEX('UNIVERSO MAESTRO'!$D$6:$D$497,MATCH(B138,'UNIVERSO MAESTRO'!$A$6:$A$497,0)),""))</f>
        <v>V9</v>
      </c>
      <c r="E138" s="58" t="s">
        <v>2565</v>
      </c>
      <c r="F138" s="58" t="s">
        <v>2566</v>
      </c>
      <c r="G138" s="55" t="s">
        <v>205</v>
      </c>
      <c r="H138" s="58" t="s">
        <v>2567</v>
      </c>
      <c r="I138" s="58" t="s">
        <v>2568</v>
      </c>
      <c r="J138" s="55" t="s">
        <v>225</v>
      </c>
      <c r="K138" s="55" t="s">
        <v>1530</v>
      </c>
    </row>
    <row r="139" spans="1:11" ht="69.75" customHeight="1" x14ac:dyDescent="0.2">
      <c r="A139" s="55" t="s">
        <v>2569</v>
      </c>
      <c r="B139" s="55" t="s">
        <v>751</v>
      </c>
      <c r="C139" s="56" t="str">
        <f>IF(B139="","",IFERROR(INDEX('UNIVERSO MAESTRO'!$C$6:$C$497,MATCH(B139,'UNIVERSO MAESTRO'!$A$6:$A$497,0)),"⚠ ID no encontrado"))</f>
        <v>Grupo Martí / Familia Harp Helú</v>
      </c>
      <c r="D139" s="57" t="str">
        <f>IF(B139="","",IFERROR(INDEX('UNIVERSO MAESTRO'!$D$6:$D$497,MATCH(B139,'UNIVERSO MAESTRO'!$A$6:$A$497,0)),""))</f>
        <v>V9</v>
      </c>
      <c r="E139" s="58" t="s">
        <v>2570</v>
      </c>
      <c r="F139" s="58" t="s">
        <v>2571</v>
      </c>
      <c r="G139" s="55" t="s">
        <v>205</v>
      </c>
      <c r="H139" s="58" t="s">
        <v>2572</v>
      </c>
      <c r="I139" s="58" t="s">
        <v>2573</v>
      </c>
      <c r="J139" s="55" t="s">
        <v>225</v>
      </c>
      <c r="K139" s="55" t="s">
        <v>1530</v>
      </c>
    </row>
    <row r="140" spans="1:11" ht="69.75" customHeight="1" x14ac:dyDescent="0.2">
      <c r="A140" s="55" t="s">
        <v>2574</v>
      </c>
      <c r="B140" s="55" t="s">
        <v>751</v>
      </c>
      <c r="C140" s="56" t="str">
        <f>IF(B140="","",IFERROR(INDEX('UNIVERSO MAESTRO'!$C$6:$C$497,MATCH(B140,'UNIVERSO MAESTRO'!$A$6:$A$497,0)),"⚠ ID no encontrado"))</f>
        <v>Grupo Martí / Familia Harp Helú</v>
      </c>
      <c r="D140" s="57" t="str">
        <f>IF(B140="","",IFERROR(INDEX('UNIVERSO MAESTRO'!$D$6:$D$497,MATCH(B140,'UNIVERSO MAESTRO'!$A$6:$A$497,0)),""))</f>
        <v>V9</v>
      </c>
      <c r="E140" s="58" t="s">
        <v>2575</v>
      </c>
      <c r="F140" s="58" t="s">
        <v>2576</v>
      </c>
      <c r="G140" s="55" t="s">
        <v>230</v>
      </c>
      <c r="H140" s="58" t="s">
        <v>2577</v>
      </c>
      <c r="I140" s="58" t="s">
        <v>2578</v>
      </c>
      <c r="J140" s="55" t="s">
        <v>225</v>
      </c>
      <c r="K140" s="55" t="s">
        <v>353</v>
      </c>
    </row>
    <row r="141" spans="1:11" ht="69.75" customHeight="1" x14ac:dyDescent="0.2">
      <c r="A141" s="55" t="s">
        <v>2579</v>
      </c>
      <c r="B141" s="55" t="s">
        <v>781</v>
      </c>
      <c r="C141" s="56" t="str">
        <f>IF(B141="","",IFERROR(INDEX('UNIVERSO MAESTRO'!$C$6:$C$497,MATCH(B141,'UNIVERSO MAESTRO'!$A$6:$A$497,0)),"⚠ ID no encontrado"))</f>
        <v>Grupo Orlegi</v>
      </c>
      <c r="D141" s="57" t="str">
        <f>IF(B141="","",IFERROR(INDEX('UNIVERSO MAESTRO'!$D$6:$D$497,MATCH(B141,'UNIVERSO MAESTRO'!$A$6:$A$497,0)),""))</f>
        <v>V9</v>
      </c>
      <c r="E141" s="58" t="s">
        <v>2580</v>
      </c>
      <c r="F141" s="58" t="s">
        <v>2581</v>
      </c>
      <c r="G141" s="55" t="s">
        <v>205</v>
      </c>
      <c r="H141" s="58" t="s">
        <v>2582</v>
      </c>
      <c r="I141" s="58" t="s">
        <v>2583</v>
      </c>
      <c r="J141" s="55" t="s">
        <v>225</v>
      </c>
      <c r="K141" s="55" t="s">
        <v>1530</v>
      </c>
    </row>
    <row r="142" spans="1:11" ht="69.75" customHeight="1" x14ac:dyDescent="0.2">
      <c r="A142" s="55" t="s">
        <v>2584</v>
      </c>
      <c r="B142" s="55" t="s">
        <v>793</v>
      </c>
      <c r="C142" s="56" t="str">
        <f>IF(B142="","",IFERROR(INDEX('UNIVERSO MAESTRO'!$C$6:$C$497,MATCH(B142,'UNIVERSO MAESTRO'!$A$6:$A$497,0)),"⚠ ID no encontrado"))</f>
        <v>Grupo Pachuca</v>
      </c>
      <c r="D142" s="57" t="str">
        <f>IF(B142="","",IFERROR(INDEX('UNIVERSO MAESTRO'!$D$6:$D$497,MATCH(B142,'UNIVERSO MAESTRO'!$A$6:$A$497,0)),""))</f>
        <v>V9</v>
      </c>
      <c r="E142" s="58" t="s">
        <v>2585</v>
      </c>
      <c r="F142" s="58" t="s">
        <v>2586</v>
      </c>
      <c r="G142" s="55" t="s">
        <v>205</v>
      </c>
      <c r="H142" s="58" t="s">
        <v>2587</v>
      </c>
      <c r="I142" s="58" t="s">
        <v>2588</v>
      </c>
      <c r="J142" s="55" t="s">
        <v>225</v>
      </c>
      <c r="K142" s="55" t="s">
        <v>1530</v>
      </c>
    </row>
    <row r="143" spans="1:11" ht="69.75" customHeight="1" x14ac:dyDescent="0.2">
      <c r="A143" s="55" t="s">
        <v>2589</v>
      </c>
      <c r="B143" s="55" t="s">
        <v>811</v>
      </c>
      <c r="C143" s="56" t="str">
        <f>IF(B143="","",IFERROR(INDEX('UNIVERSO MAESTRO'!$C$6:$C$497,MATCH(B143,'UNIVERSO MAESTRO'!$A$6:$A$497,0)),"⚠ ID no encontrado"))</f>
        <v>Grupo Salinas / TV Azteca</v>
      </c>
      <c r="D143" s="57" t="str">
        <f>IF(B143="","",IFERROR(INDEX('UNIVERSO MAESTRO'!$D$6:$D$497,MATCH(B143,'UNIVERSO MAESTRO'!$A$6:$A$497,0)),""))</f>
        <v>V9</v>
      </c>
      <c r="E143" s="58" t="s">
        <v>2590</v>
      </c>
      <c r="F143" s="58" t="s">
        <v>2591</v>
      </c>
      <c r="G143" s="55" t="s">
        <v>205</v>
      </c>
      <c r="H143" s="58" t="s">
        <v>2592</v>
      </c>
      <c r="I143" s="58" t="s">
        <v>2593</v>
      </c>
      <c r="J143" s="55" t="s">
        <v>225</v>
      </c>
      <c r="K143" s="55" t="s">
        <v>1530</v>
      </c>
    </row>
    <row r="144" spans="1:11" ht="69.75" customHeight="1" x14ac:dyDescent="0.2">
      <c r="A144" s="55" t="s">
        <v>2594</v>
      </c>
      <c r="B144" s="55" t="s">
        <v>811</v>
      </c>
      <c r="C144" s="56" t="str">
        <f>IF(B144="","",IFERROR(INDEX('UNIVERSO MAESTRO'!$C$6:$C$497,MATCH(B144,'UNIVERSO MAESTRO'!$A$6:$A$497,0)),"⚠ ID no encontrado"))</f>
        <v>Grupo Salinas / TV Azteca</v>
      </c>
      <c r="D144" s="57" t="str">
        <f>IF(B144="","",IFERROR(INDEX('UNIVERSO MAESTRO'!$D$6:$D$497,MATCH(B144,'UNIVERSO MAESTRO'!$A$6:$A$497,0)),""))</f>
        <v>V9</v>
      </c>
      <c r="E144" s="58" t="s">
        <v>2595</v>
      </c>
      <c r="F144" s="58" t="s">
        <v>2596</v>
      </c>
      <c r="G144" s="55" t="s">
        <v>230</v>
      </c>
      <c r="H144" s="58" t="s">
        <v>2597</v>
      </c>
      <c r="I144" s="58" t="s">
        <v>2598</v>
      </c>
      <c r="J144" s="55" t="s">
        <v>225</v>
      </c>
      <c r="K144" s="55" t="s">
        <v>353</v>
      </c>
    </row>
    <row r="145" spans="1:11" ht="69.75" customHeight="1" x14ac:dyDescent="0.2">
      <c r="A145" s="55" t="s">
        <v>2599</v>
      </c>
      <c r="B145" s="55" t="s">
        <v>902</v>
      </c>
      <c r="C145" s="56" t="str">
        <f>IF(B145="","",IFERROR(INDEX('UNIVERSO MAESTRO'!$C$6:$C$497,MATCH(B145,'UNIVERSO MAESTRO'!$A$6:$A$497,0)),"⚠ ID no encontrado"))</f>
        <v>Innovatio Capital / Club Querétaro</v>
      </c>
      <c r="D145" s="57" t="str">
        <f>IF(B145="","",IFERROR(INDEX('UNIVERSO MAESTRO'!$D$6:$D$497,MATCH(B145,'UNIVERSO MAESTRO'!$A$6:$A$497,0)),""))</f>
        <v>V9</v>
      </c>
      <c r="E145" s="58" t="s">
        <v>2600</v>
      </c>
      <c r="F145" s="58" t="s">
        <v>2601</v>
      </c>
      <c r="G145" s="55" t="s">
        <v>205</v>
      </c>
      <c r="H145" s="58" t="s">
        <v>2602</v>
      </c>
      <c r="I145" s="58" t="s">
        <v>2603</v>
      </c>
      <c r="J145" s="55" t="s">
        <v>225</v>
      </c>
      <c r="K145" s="55" t="s">
        <v>1530</v>
      </c>
    </row>
    <row r="146" spans="1:11" ht="69.75" customHeight="1" x14ac:dyDescent="0.2">
      <c r="A146" s="55" t="s">
        <v>2699</v>
      </c>
      <c r="B146" s="55" t="s">
        <v>592</v>
      </c>
      <c r="C146" s="56" t="str">
        <f>IF(B146="","",IFERROR(INDEX('UNIVERSO MAESTRO'!$C$6:$C$497,MATCH(B146,'UNIVERSO MAESTRO'!$A$6:$A$497,0)),"⚠ ID no encontrado"))</f>
        <v>Familia Slim / Grupo Carso</v>
      </c>
      <c r="D146" s="57" t="str">
        <f>IF(B146="","",IFERROR(INDEX('UNIVERSO MAESTRO'!$D$6:$D$497,MATCH(B146,'UNIVERSO MAESTRO'!$A$6:$A$497,0)),""))</f>
        <v>V9</v>
      </c>
      <c r="E146" s="58" t="s">
        <v>2700</v>
      </c>
      <c r="F146" s="58" t="s">
        <v>2701</v>
      </c>
      <c r="G146" s="55" t="s">
        <v>205</v>
      </c>
      <c r="H146" s="58" t="s">
        <v>2702</v>
      </c>
      <c r="I146" s="58" t="s">
        <v>2703</v>
      </c>
      <c r="J146" s="55" t="s">
        <v>225</v>
      </c>
      <c r="K146" s="55" t="s">
        <v>1530</v>
      </c>
    </row>
    <row r="147" spans="1:11" ht="69.75" customHeight="1" x14ac:dyDescent="0.2">
      <c r="A147" s="55" t="s">
        <v>2714</v>
      </c>
      <c r="B147" s="55" t="s">
        <v>671</v>
      </c>
      <c r="C147" s="56" t="str">
        <f>IF(B147="","",IFERROR(INDEX('UNIVERSO MAESTRO'!$C$6:$C$497,MATCH(B147,'UNIVERSO MAESTRO'!$A$6:$A$497,0)),"⚠ ID no encontrado"))</f>
        <v>General Atlantic</v>
      </c>
      <c r="D147" s="57" t="str">
        <f>IF(B147="","",IFERROR(INDEX('UNIVERSO MAESTRO'!$D$6:$D$497,MATCH(B147,'UNIVERSO MAESTRO'!$A$6:$A$497,0)),""))</f>
        <v>V9</v>
      </c>
      <c r="E147" s="58" t="s">
        <v>2715</v>
      </c>
      <c r="F147" s="58" t="s">
        <v>2716</v>
      </c>
      <c r="G147" s="55" t="s">
        <v>205</v>
      </c>
      <c r="H147" s="58" t="s">
        <v>2717</v>
      </c>
      <c r="I147" s="58" t="s">
        <v>2718</v>
      </c>
      <c r="J147" s="55" t="s">
        <v>225</v>
      </c>
      <c r="K147" s="55" t="s">
        <v>1530</v>
      </c>
    </row>
    <row r="148" spans="1:11" ht="69.75" customHeight="1" x14ac:dyDescent="0.2">
      <c r="A148" s="55" t="s">
        <v>2724</v>
      </c>
      <c r="B148" s="55" t="s">
        <v>739</v>
      </c>
      <c r="C148" s="56" t="str">
        <f>IF(B148="","",IFERROR(INDEX('UNIVERSO MAESTRO'!$C$6:$C$497,MATCH(B148,'UNIVERSO MAESTRO'!$A$6:$A$497,0)),"⚠ ID no encontrado"))</f>
        <v>Grupo Caliente / Corporación Caliente, S.A. de C.V.</v>
      </c>
      <c r="D148" s="57" t="str">
        <f>IF(B148="","",IFERROR(INDEX('UNIVERSO MAESTRO'!$D$6:$D$497,MATCH(B148,'UNIVERSO MAESTRO'!$A$6:$A$497,0)),""))</f>
        <v>V9</v>
      </c>
      <c r="E148" s="58" t="s">
        <v>2725</v>
      </c>
      <c r="F148" s="58" t="s">
        <v>2726</v>
      </c>
      <c r="G148" s="55" t="s">
        <v>205</v>
      </c>
      <c r="H148" s="58" t="s">
        <v>2727</v>
      </c>
      <c r="I148" s="58" t="s">
        <v>2728</v>
      </c>
      <c r="J148" s="55" t="s">
        <v>225</v>
      </c>
      <c r="K148" s="55" t="s">
        <v>1530</v>
      </c>
    </row>
    <row r="149" spans="1:11" ht="69.75" customHeight="1" x14ac:dyDescent="0.2">
      <c r="A149" s="55" t="s">
        <v>2729</v>
      </c>
      <c r="B149" s="55" t="s">
        <v>822</v>
      </c>
      <c r="C149" s="56" t="str">
        <f>IF(B149="","",IFERROR(INDEX('UNIVERSO MAESTRO'!$C$6:$C$497,MATCH(B149,'UNIVERSO MAESTRO'!$A$6:$A$497,0)),"⚠ ID no encontrado"))</f>
        <v>Grupo Vidanta</v>
      </c>
      <c r="D149" s="57" t="str">
        <f>IF(B149="","",IFERROR(INDEX('UNIVERSO MAESTRO'!$D$6:$D$497,MATCH(B149,'UNIVERSO MAESTRO'!$A$6:$A$497,0)),""))</f>
        <v>V9</v>
      </c>
      <c r="E149" s="58" t="s">
        <v>2730</v>
      </c>
      <c r="F149" s="58" t="s">
        <v>2731</v>
      </c>
      <c r="G149" s="55" t="s">
        <v>205</v>
      </c>
      <c r="H149" s="58" t="s">
        <v>2732</v>
      </c>
      <c r="I149" s="58" t="s">
        <v>2733</v>
      </c>
      <c r="J149" s="55" t="s">
        <v>225</v>
      </c>
      <c r="K149" s="55" t="s">
        <v>1530</v>
      </c>
    </row>
    <row r="150" spans="1:11" ht="69.75" customHeight="1" x14ac:dyDescent="0.2">
      <c r="A150" s="55" t="s">
        <v>2791</v>
      </c>
      <c r="B150" s="55" t="s">
        <v>244</v>
      </c>
      <c r="C150" s="56" t="str">
        <f>IF(B150="","",IFERROR(INDEX('UNIVERSO MAESTRO'!$C$6:$C$497,MATCH(B150,'UNIVERSO MAESTRO'!$A$6:$A$497,0)),"⚠ ID no encontrado"))</f>
        <v>Apollo Sports Capital</v>
      </c>
      <c r="D150" s="57" t="str">
        <f>IF(B150="","",IFERROR(INDEX('UNIVERSO MAESTRO'!$D$6:$D$497,MATCH(B150,'UNIVERSO MAESTRO'!$A$6:$A$497,0)),""))</f>
        <v>V9</v>
      </c>
      <c r="E150" s="58" t="s">
        <v>2792</v>
      </c>
      <c r="F150" s="58" t="s">
        <v>2793</v>
      </c>
      <c r="G150" s="55" t="s">
        <v>205</v>
      </c>
      <c r="H150" s="58" t="s">
        <v>2794</v>
      </c>
      <c r="I150" s="58" t="s">
        <v>2795</v>
      </c>
      <c r="J150" s="55" t="s">
        <v>225</v>
      </c>
      <c r="K150" s="55" t="s">
        <v>1530</v>
      </c>
    </row>
    <row r="151" spans="1:11" ht="69.75" customHeight="1" x14ac:dyDescent="0.2">
      <c r="A151" s="55" t="s">
        <v>2855</v>
      </c>
      <c r="B151" s="55" t="s">
        <v>640</v>
      </c>
      <c r="C151" s="56" t="str">
        <f>IF(B151="","",IFERROR(INDEX('UNIVERSO MAESTRO'!$C$6:$C$497,MATCH(B151,'UNIVERSO MAESTRO'!$A$6:$A$497,0)),"⚠ ID no encontrado"))</f>
        <v>Fillip Holdings</v>
      </c>
      <c r="D151" s="57" t="str">
        <f>IF(B151="","",IFERROR(INDEX('UNIVERSO MAESTRO'!$D$6:$D$497,MATCH(B151,'UNIVERSO MAESTRO'!$A$6:$A$497,0)),""))</f>
        <v>V9</v>
      </c>
      <c r="E151" s="58" t="s">
        <v>2856</v>
      </c>
      <c r="F151" s="58" t="s">
        <v>2857</v>
      </c>
      <c r="G151" s="55" t="s">
        <v>205</v>
      </c>
      <c r="H151" s="58" t="s">
        <v>2858</v>
      </c>
      <c r="I151" s="58" t="s">
        <v>2859</v>
      </c>
      <c r="J151" s="55" t="s">
        <v>225</v>
      </c>
      <c r="K151" s="55" t="s">
        <v>1530</v>
      </c>
    </row>
    <row r="152" spans="1:11" ht="69.75" customHeight="1" x14ac:dyDescent="0.2">
      <c r="A152" s="55" t="s">
        <v>2860</v>
      </c>
      <c r="B152" s="55" t="s">
        <v>803</v>
      </c>
      <c r="C152" s="56" t="str">
        <f>IF(B152="","",IFERROR(INDEX('UNIVERSO MAESTRO'!$C$6:$C$497,MATCH(B152,'UNIVERSO MAESTRO'!$A$6:$A$497,0)),"⚠ ID no encontrado"))</f>
        <v>Grupo PRODI / José Miguel Bejos</v>
      </c>
      <c r="D152" s="57" t="str">
        <f>IF(B152="","",IFERROR(INDEX('UNIVERSO MAESTRO'!$D$6:$D$497,MATCH(B152,'UNIVERSO MAESTRO'!$A$6:$A$497,0)),""))</f>
        <v>V9</v>
      </c>
      <c r="E152" s="58" t="s">
        <v>2861</v>
      </c>
      <c r="F152" s="58" t="s">
        <v>2862</v>
      </c>
      <c r="G152" s="55" t="s">
        <v>205</v>
      </c>
      <c r="H152" s="58" t="s">
        <v>2863</v>
      </c>
      <c r="I152" s="58" t="s">
        <v>2864</v>
      </c>
      <c r="J152" s="55" t="s">
        <v>225</v>
      </c>
      <c r="K152" s="55" t="s">
        <v>1530</v>
      </c>
    </row>
    <row r="153" spans="1:11" ht="69.75" customHeight="1" x14ac:dyDescent="0.2">
      <c r="A153" s="55" t="s">
        <v>2880</v>
      </c>
      <c r="B153" s="55" t="s">
        <v>1084</v>
      </c>
      <c r="C153" s="56" t="str">
        <f>IF(B153="","",IFERROR(INDEX('UNIVERSO MAESTRO'!$C$6:$C$497,MATCH(B153,'UNIVERSO MAESTRO'!$A$6:$A$497,0)),"⚠ ID no encontrado"))</f>
        <v>Moelis &amp; Co.</v>
      </c>
      <c r="D153" s="57" t="str">
        <f>IF(B153="","",IFERROR(INDEX('UNIVERSO MAESTRO'!$D$6:$D$497,MATCH(B153,'UNIVERSO MAESTRO'!$A$6:$A$497,0)),""))</f>
        <v>V9</v>
      </c>
      <c r="E153" s="58" t="s">
        <v>2881</v>
      </c>
      <c r="F153" s="58" t="s">
        <v>2882</v>
      </c>
      <c r="G153" s="55" t="s">
        <v>205</v>
      </c>
      <c r="H153" s="58" t="s">
        <v>2883</v>
      </c>
      <c r="I153" s="58" t="s">
        <v>2884</v>
      </c>
      <c r="J153" s="55" t="s">
        <v>225</v>
      </c>
      <c r="K153" s="55" t="s">
        <v>1530</v>
      </c>
    </row>
    <row r="154" spans="1:11" ht="69.75" customHeight="1" x14ac:dyDescent="0.2">
      <c r="A154" s="55" t="s">
        <v>2920</v>
      </c>
      <c r="B154" s="55" t="s">
        <v>640</v>
      </c>
      <c r="C154" s="56" t="str">
        <f>IF(B154="","",IFERROR(INDEX('UNIVERSO MAESTRO'!$C$6:$C$497,MATCH(B154,'UNIVERSO MAESTRO'!$A$6:$A$497,0)),"⚠ ID no encontrado"))</f>
        <v>Fillip Holdings</v>
      </c>
      <c r="D154" s="57" t="str">
        <f>IF(B154="","",IFERROR(INDEX('UNIVERSO MAESTRO'!$D$6:$D$497,MATCH(B154,'UNIVERSO MAESTRO'!$A$6:$A$497,0)),""))</f>
        <v>V9</v>
      </c>
      <c r="E154" s="58" t="s">
        <v>2921</v>
      </c>
      <c r="F154" s="58" t="s">
        <v>2922</v>
      </c>
      <c r="G154" s="55" t="s">
        <v>230</v>
      </c>
      <c r="H154" s="58" t="s">
        <v>2923</v>
      </c>
      <c r="I154" s="58" t="s">
        <v>2924</v>
      </c>
      <c r="J154" s="55" t="s">
        <v>225</v>
      </c>
      <c r="K154" s="55" t="s">
        <v>1530</v>
      </c>
    </row>
    <row r="155" spans="1:11" ht="69.75" customHeight="1" x14ac:dyDescent="0.2">
      <c r="A155" s="55" t="s">
        <v>2925</v>
      </c>
      <c r="B155" s="55" t="s">
        <v>640</v>
      </c>
      <c r="C155" s="56" t="str">
        <f>IF(B155="","",IFERROR(INDEX('UNIVERSO MAESTRO'!$C$6:$C$497,MATCH(B155,'UNIVERSO MAESTRO'!$A$6:$A$497,0)),"⚠ ID no encontrado"))</f>
        <v>Fillip Holdings</v>
      </c>
      <c r="D155" s="57" t="str">
        <f>IF(B155="","",IFERROR(INDEX('UNIVERSO MAESTRO'!$D$6:$D$497,MATCH(B155,'UNIVERSO MAESTRO'!$A$6:$A$497,0)),""))</f>
        <v>V9</v>
      </c>
      <c r="E155" s="58" t="s">
        <v>2926</v>
      </c>
      <c r="F155" s="58" t="s">
        <v>2927</v>
      </c>
      <c r="G155" s="55" t="s">
        <v>230</v>
      </c>
      <c r="H155" s="58" t="s">
        <v>2928</v>
      </c>
      <c r="I155" s="58" t="s">
        <v>2929</v>
      </c>
      <c r="J155" s="55" t="s">
        <v>225</v>
      </c>
      <c r="K155" s="55" t="s">
        <v>1530</v>
      </c>
    </row>
    <row r="156" spans="1:11" ht="69.75" customHeight="1" x14ac:dyDescent="0.2">
      <c r="A156" s="55" t="s">
        <v>2955</v>
      </c>
      <c r="B156" s="55" t="s">
        <v>537</v>
      </c>
      <c r="C156" s="56" t="str">
        <f>IF(B156="","",IFERROR(INDEX('UNIVERSO MAESTRO'!$C$6:$C$497,MATCH(B156,'UNIVERSO MAESTRO'!$A$6:$A$497,0)),"⚠ ID no encontrado"))</f>
        <v>Endeavor / WME Group</v>
      </c>
      <c r="D156" s="57" t="str">
        <f>IF(B156="","",IFERROR(INDEX('UNIVERSO MAESTRO'!$D$6:$D$497,MATCH(B156,'UNIVERSO MAESTRO'!$A$6:$A$497,0)),""))</f>
        <v>V9</v>
      </c>
      <c r="E156" s="58" t="s">
        <v>2956</v>
      </c>
      <c r="F156" s="58" t="s">
        <v>2957</v>
      </c>
      <c r="G156" s="55" t="s">
        <v>230</v>
      </c>
      <c r="H156" s="58" t="s">
        <v>2958</v>
      </c>
      <c r="I156" s="58" t="s">
        <v>2959</v>
      </c>
      <c r="J156" s="55" t="s">
        <v>225</v>
      </c>
      <c r="K156" s="55" t="s">
        <v>1530</v>
      </c>
    </row>
    <row r="157" spans="1:11" ht="69.75" customHeight="1" x14ac:dyDescent="0.2">
      <c r="A157" s="55" t="s">
        <v>2965</v>
      </c>
      <c r="B157" s="55" t="s">
        <v>671</v>
      </c>
      <c r="C157" s="56" t="str">
        <f>IF(B157="","",IFERROR(INDEX('UNIVERSO MAESTRO'!$C$6:$C$497,MATCH(B157,'UNIVERSO MAESTRO'!$A$6:$A$497,0)),"⚠ ID no encontrado"))</f>
        <v>General Atlantic</v>
      </c>
      <c r="D157" s="57" t="str">
        <f>IF(B157="","",IFERROR(INDEX('UNIVERSO MAESTRO'!$D$6:$D$497,MATCH(B157,'UNIVERSO MAESTRO'!$A$6:$A$497,0)),""))</f>
        <v>V9</v>
      </c>
      <c r="E157" s="58" t="s">
        <v>2966</v>
      </c>
      <c r="F157" s="58" t="s">
        <v>2967</v>
      </c>
      <c r="G157" s="55" t="s">
        <v>205</v>
      </c>
      <c r="H157" s="58" t="s">
        <v>2968</v>
      </c>
      <c r="I157" s="58" t="s">
        <v>2969</v>
      </c>
      <c r="J157" s="55" t="s">
        <v>225</v>
      </c>
      <c r="K157" s="55" t="s">
        <v>1530</v>
      </c>
    </row>
    <row r="158" spans="1:11" ht="69.75" customHeight="1" x14ac:dyDescent="0.2">
      <c r="A158" s="55" t="s">
        <v>2975</v>
      </c>
      <c r="B158" s="55" t="s">
        <v>739</v>
      </c>
      <c r="C158" s="56" t="str">
        <f>IF(B158="","",IFERROR(INDEX('UNIVERSO MAESTRO'!$C$6:$C$497,MATCH(B158,'UNIVERSO MAESTRO'!$A$6:$A$497,0)),"⚠ ID no encontrado"))</f>
        <v>Grupo Caliente / Corporación Caliente, S.A. de C.V.</v>
      </c>
      <c r="D158" s="57" t="str">
        <f>IF(B158="","",IFERROR(INDEX('UNIVERSO MAESTRO'!$D$6:$D$497,MATCH(B158,'UNIVERSO MAESTRO'!$A$6:$A$497,0)),""))</f>
        <v>V9</v>
      </c>
      <c r="E158" s="58" t="s">
        <v>2976</v>
      </c>
      <c r="F158" s="58" t="s">
        <v>2977</v>
      </c>
      <c r="G158" s="55" t="s">
        <v>230</v>
      </c>
      <c r="H158" s="58" t="s">
        <v>2978</v>
      </c>
      <c r="I158" s="58" t="s">
        <v>2979</v>
      </c>
      <c r="J158" s="55" t="s">
        <v>225</v>
      </c>
      <c r="K158" s="55" t="s">
        <v>1530</v>
      </c>
    </row>
    <row r="159" spans="1:11" ht="69.75" customHeight="1" x14ac:dyDescent="0.2">
      <c r="A159" s="55" t="s">
        <v>2980</v>
      </c>
      <c r="B159" s="55" t="s">
        <v>739</v>
      </c>
      <c r="C159" s="56" t="str">
        <f>IF(B159="","",IFERROR(INDEX('UNIVERSO MAESTRO'!$C$6:$C$497,MATCH(B159,'UNIVERSO MAESTRO'!$A$6:$A$497,0)),"⚠ ID no encontrado"))</f>
        <v>Grupo Caliente / Corporación Caliente, S.A. de C.V.</v>
      </c>
      <c r="D159" s="57" t="str">
        <f>IF(B159="","",IFERROR(INDEX('UNIVERSO MAESTRO'!$D$6:$D$497,MATCH(B159,'UNIVERSO MAESTRO'!$A$6:$A$497,0)),""))</f>
        <v>V9</v>
      </c>
      <c r="E159" s="58" t="s">
        <v>2981</v>
      </c>
      <c r="F159" s="58" t="s">
        <v>2982</v>
      </c>
      <c r="G159" s="55" t="s">
        <v>230</v>
      </c>
      <c r="H159" s="58" t="s">
        <v>2983</v>
      </c>
      <c r="I159" s="58" t="s">
        <v>2984</v>
      </c>
      <c r="J159" s="55" t="s">
        <v>225</v>
      </c>
      <c r="K159" s="55" t="s">
        <v>1530</v>
      </c>
    </row>
    <row r="160" spans="1:11" ht="69.75" customHeight="1" x14ac:dyDescent="0.2">
      <c r="A160" s="55" t="s">
        <v>2985</v>
      </c>
      <c r="B160" s="55" t="s">
        <v>811</v>
      </c>
      <c r="C160" s="56" t="str">
        <f>IF(B160="","",IFERROR(INDEX('UNIVERSO MAESTRO'!$C$6:$C$497,MATCH(B160,'UNIVERSO MAESTRO'!$A$6:$A$497,0)),"⚠ ID no encontrado"))</f>
        <v>Grupo Salinas / TV Azteca</v>
      </c>
      <c r="D160" s="57" t="str">
        <f>IF(B160="","",IFERROR(INDEX('UNIVERSO MAESTRO'!$D$6:$D$497,MATCH(B160,'UNIVERSO MAESTRO'!$A$6:$A$497,0)),""))</f>
        <v>V9</v>
      </c>
      <c r="E160" s="58" t="s">
        <v>2986</v>
      </c>
      <c r="F160" s="58" t="s">
        <v>2987</v>
      </c>
      <c r="G160" s="55" t="s">
        <v>230</v>
      </c>
      <c r="H160" s="58" t="s">
        <v>2988</v>
      </c>
      <c r="I160" s="58" t="s">
        <v>2989</v>
      </c>
      <c r="J160" s="55" t="s">
        <v>225</v>
      </c>
      <c r="K160" s="55" t="s">
        <v>1530</v>
      </c>
    </row>
    <row r="161" spans="1:11" ht="69.75" customHeight="1" x14ac:dyDescent="0.2">
      <c r="A161" s="55" t="s">
        <v>3010</v>
      </c>
      <c r="B161" s="55" t="s">
        <v>1149</v>
      </c>
      <c r="C161" s="56" t="str">
        <f>IF(B161="","",IFERROR(INDEX('UNIVERSO MAESTRO'!$C$6:$C$497,MATCH(B161,'UNIVERSO MAESTRO'!$A$6:$A$497,0)),"⚠ ID no encontrado"))</f>
        <v>Ollamani, S.A.B. / Grupo Águilas (Club América + Estadio Banorte)</v>
      </c>
      <c r="D161" s="57" t="str">
        <f>IF(B161="","",IFERROR(INDEX('UNIVERSO MAESTRO'!$D$6:$D$497,MATCH(B161,'UNIVERSO MAESTRO'!$A$6:$A$497,0)),""))</f>
        <v>V9</v>
      </c>
      <c r="E161" s="58" t="s">
        <v>3011</v>
      </c>
      <c r="F161" s="58" t="s">
        <v>3012</v>
      </c>
      <c r="G161" s="55" t="s">
        <v>230</v>
      </c>
      <c r="H161" s="58" t="s">
        <v>3013</v>
      </c>
      <c r="I161" s="58" t="s">
        <v>3014</v>
      </c>
      <c r="J161" s="55" t="s">
        <v>225</v>
      </c>
      <c r="K161" s="55" t="s">
        <v>1530</v>
      </c>
    </row>
    <row r="162" spans="1:11" ht="69.75" customHeight="1" x14ac:dyDescent="0.2">
      <c r="A162" s="55" t="s">
        <v>3015</v>
      </c>
      <c r="B162" s="55" t="s">
        <v>1149</v>
      </c>
      <c r="C162" s="56" t="str">
        <f>IF(B162="","",IFERROR(INDEX('UNIVERSO MAESTRO'!$C$6:$C$497,MATCH(B162,'UNIVERSO MAESTRO'!$A$6:$A$497,0)),"⚠ ID no encontrado"))</f>
        <v>Ollamani, S.A.B. / Grupo Águilas (Club América + Estadio Banorte)</v>
      </c>
      <c r="D162" s="57" t="str">
        <f>IF(B162="","",IFERROR(INDEX('UNIVERSO MAESTRO'!$D$6:$D$497,MATCH(B162,'UNIVERSO MAESTRO'!$A$6:$A$497,0)),""))</f>
        <v>V9</v>
      </c>
      <c r="E162" s="58" t="s">
        <v>3016</v>
      </c>
      <c r="F162" s="58" t="s">
        <v>3017</v>
      </c>
      <c r="G162" s="55" t="s">
        <v>230</v>
      </c>
      <c r="H162" s="58" t="s">
        <v>3018</v>
      </c>
      <c r="I162" s="58" t="s">
        <v>3019</v>
      </c>
      <c r="J162" s="55" t="s">
        <v>225</v>
      </c>
      <c r="K162" s="55" t="s">
        <v>1530</v>
      </c>
    </row>
    <row r="163" spans="1:11" ht="69.75" customHeight="1" x14ac:dyDescent="0.2">
      <c r="A163" s="55" t="s">
        <v>3083</v>
      </c>
      <c r="B163" s="55" t="s">
        <v>1196</v>
      </c>
      <c r="C163" s="56" t="str">
        <f>IF(B163="","",IFERROR(INDEX('UNIVERSO MAESTRO'!$C$6:$C$497,MATCH(B163,'UNIVERSO MAESTRO'!$A$6:$A$497,0)),"⚠ ID no encontrado"))</f>
        <v>PIF (Saudi Public Investment Fund)</v>
      </c>
      <c r="D163" s="57" t="str">
        <f>IF(B163="","",IFERROR(INDEX('UNIVERSO MAESTRO'!$D$6:$D$497,MATCH(B163,'UNIVERSO MAESTRO'!$A$6:$A$497,0)),""))</f>
        <v>V9</v>
      </c>
      <c r="E163" s="58" t="s">
        <v>3084</v>
      </c>
      <c r="F163" s="58" t="s">
        <v>3085</v>
      </c>
      <c r="G163" s="55" t="s">
        <v>205</v>
      </c>
      <c r="H163" s="58" t="s">
        <v>3086</v>
      </c>
      <c r="I163" s="58" t="s">
        <v>3087</v>
      </c>
      <c r="J163" s="55" t="s">
        <v>225</v>
      </c>
      <c r="K163" s="55" t="s">
        <v>1530</v>
      </c>
    </row>
    <row r="164" spans="1:11" ht="69.75" customHeight="1" x14ac:dyDescent="0.2">
      <c r="A164" s="55" t="s">
        <v>3088</v>
      </c>
      <c r="B164" s="55" t="s">
        <v>1319</v>
      </c>
      <c r="C164" s="56" t="str">
        <f>IF(B164="","",IFERROR(INDEX('UNIVERSO MAESTRO'!$C$6:$C$497,MATCH(B164,'UNIVERSO MAESTRO'!$A$6:$A$497,0)),"⚠ ID no encontrado"))</f>
        <v>Silver Lake</v>
      </c>
      <c r="D164" s="57" t="str">
        <f>IF(B164="","",IFERROR(INDEX('UNIVERSO MAESTRO'!$D$6:$D$497,MATCH(B164,'UNIVERSO MAESTRO'!$A$6:$A$497,0)),""))</f>
        <v>V9</v>
      </c>
      <c r="E164" s="58" t="s">
        <v>3089</v>
      </c>
      <c r="F164" s="58" t="s">
        <v>3090</v>
      </c>
      <c r="G164" s="55" t="s">
        <v>205</v>
      </c>
      <c r="H164" s="58" t="s">
        <v>3091</v>
      </c>
      <c r="I164" s="58" t="s">
        <v>3092</v>
      </c>
      <c r="J164" s="55" t="s">
        <v>225</v>
      </c>
      <c r="K164" s="55" t="s">
        <v>1530</v>
      </c>
    </row>
    <row r="165" spans="1:11" ht="69.75" hidden="1" customHeight="1" x14ac:dyDescent="0.2">
      <c r="C165" s="53" t="str">
        <f>IF(B191="","",IFERROR(INDEX('UNIVERSO MAESTRO'!$C$6:$C$497,MATCH(B191,'UNIVERSO MAESTRO'!$A$6:$A$497,0)),"⚠ ID no encontrado"))</f>
        <v/>
      </c>
      <c r="D165" s="54" t="str">
        <f>IF(B191="","",IFERROR(INDEX('UNIVERSO MAESTRO'!$D$6:$D$497,MATCH(B191,'UNIVERSO MAESTRO'!$A$6:$A$497,0)),""))</f>
        <v/>
      </c>
    </row>
    <row r="166" spans="1:11" ht="15" hidden="1" customHeight="1" x14ac:dyDescent="0.2">
      <c r="C166" s="53" t="str">
        <f>IF(B192="","",IFERROR(INDEX('UNIVERSO MAESTRO'!$C$6:$C$497,MATCH(B192,'UNIVERSO MAESTRO'!$A$6:$A$497,0)),"⚠ ID no encontrado"))</f>
        <v/>
      </c>
      <c r="D166" s="54" t="str">
        <f>IF(B192="","",IFERROR(INDEX('UNIVERSO MAESTRO'!$D$6:$D$497,MATCH(B192,'UNIVERSO MAESTRO'!$A$6:$A$497,0)),""))</f>
        <v/>
      </c>
    </row>
    <row r="167" spans="1:11" ht="15" hidden="1" customHeight="1" x14ac:dyDescent="0.2">
      <c r="C167" s="53" t="str">
        <f>IF(B193="","",IFERROR(INDEX('UNIVERSO MAESTRO'!$C$6:$C$497,MATCH(B193,'UNIVERSO MAESTRO'!$A$6:$A$497,0)),"⚠ ID no encontrado"))</f>
        <v/>
      </c>
      <c r="D167" s="54" t="str">
        <f>IF(B193="","",IFERROR(INDEX('UNIVERSO MAESTRO'!$D$6:$D$497,MATCH(B193,'UNIVERSO MAESTRO'!$A$6:$A$497,0)),""))</f>
        <v/>
      </c>
    </row>
    <row r="168" spans="1:11" ht="15" hidden="1" customHeight="1" x14ac:dyDescent="0.2">
      <c r="C168" s="53" t="str">
        <f>IF(B194="","",IFERROR(INDEX('UNIVERSO MAESTRO'!$C$6:$C$497,MATCH(B194,'UNIVERSO MAESTRO'!$A$6:$A$497,0)),"⚠ ID no encontrado"))</f>
        <v/>
      </c>
      <c r="D168" s="54" t="str">
        <f>IF(B194="","",IFERROR(INDEX('UNIVERSO MAESTRO'!$D$6:$D$497,MATCH(B194,'UNIVERSO MAESTRO'!$A$6:$A$497,0)),""))</f>
        <v/>
      </c>
    </row>
    <row r="169" spans="1:11" ht="15" hidden="1" customHeight="1" x14ac:dyDescent="0.2">
      <c r="C169" s="53" t="str">
        <f>IF(B195="","",IFERROR(INDEX('UNIVERSO MAESTRO'!$C$6:$C$497,MATCH(B195,'UNIVERSO MAESTRO'!$A$6:$A$497,0)),"⚠ ID no encontrado"))</f>
        <v/>
      </c>
      <c r="D169" s="54" t="str">
        <f>IF(B195="","",IFERROR(INDEX('UNIVERSO MAESTRO'!$D$6:$D$497,MATCH(B195,'UNIVERSO MAESTRO'!$A$6:$A$497,0)),""))</f>
        <v/>
      </c>
    </row>
    <row r="170" spans="1:11" ht="15" hidden="1" customHeight="1" x14ac:dyDescent="0.2">
      <c r="C170" s="53" t="str">
        <f>IF(B196="","",IFERROR(INDEX('UNIVERSO MAESTRO'!$C$6:$C$497,MATCH(B196,'UNIVERSO MAESTRO'!$A$6:$A$497,0)),"⚠ ID no encontrado"))</f>
        <v/>
      </c>
      <c r="D170" s="54" t="str">
        <f>IF(B196="","",IFERROR(INDEX('UNIVERSO MAESTRO'!$D$6:$D$497,MATCH(B196,'UNIVERSO MAESTRO'!$A$6:$A$497,0)),""))</f>
        <v/>
      </c>
    </row>
    <row r="171" spans="1:11" ht="15" hidden="1" customHeight="1" x14ac:dyDescent="0.2">
      <c r="C171" s="53" t="str">
        <f>IF(B197="","",IFERROR(INDEX('UNIVERSO MAESTRO'!$C$6:$C$497,MATCH(B197,'UNIVERSO MAESTRO'!$A$6:$A$497,0)),"⚠ ID no encontrado"))</f>
        <v/>
      </c>
      <c r="D171" s="54" t="str">
        <f>IF(B197="","",IFERROR(INDEX('UNIVERSO MAESTRO'!$D$6:$D$497,MATCH(B197,'UNIVERSO MAESTRO'!$A$6:$A$497,0)),""))</f>
        <v/>
      </c>
    </row>
    <row r="172" spans="1:11" ht="15" hidden="1" customHeight="1" x14ac:dyDescent="0.2">
      <c r="C172" s="53" t="str">
        <f>IF(B198="","",IFERROR(INDEX('UNIVERSO MAESTRO'!$C$6:$C$497,MATCH(B198,'UNIVERSO MAESTRO'!$A$6:$A$497,0)),"⚠ ID no encontrado"))</f>
        <v/>
      </c>
      <c r="D172" s="54" t="str">
        <f>IF(B198="","",IFERROR(INDEX('UNIVERSO MAESTRO'!$D$6:$D$497,MATCH(B198,'UNIVERSO MAESTRO'!$A$6:$A$497,0)),""))</f>
        <v/>
      </c>
    </row>
    <row r="173" spans="1:11" ht="15" hidden="1" customHeight="1" x14ac:dyDescent="0.2">
      <c r="C173" s="53" t="str">
        <f>IF(B199="","",IFERROR(INDEX('UNIVERSO MAESTRO'!$C$6:$C$497,MATCH(B199,'UNIVERSO MAESTRO'!$A$6:$A$497,0)),"⚠ ID no encontrado"))</f>
        <v/>
      </c>
      <c r="D173" s="54" t="str">
        <f>IF(B199="","",IFERROR(INDEX('UNIVERSO MAESTRO'!$D$6:$D$497,MATCH(B199,'UNIVERSO MAESTRO'!$A$6:$A$497,0)),""))</f>
        <v/>
      </c>
    </row>
    <row r="174" spans="1:11" ht="15" hidden="1" customHeight="1" x14ac:dyDescent="0.2">
      <c r="C174" s="53" t="str">
        <f>IF(B200="","",IFERROR(INDEX('UNIVERSO MAESTRO'!$C$6:$C$497,MATCH(B200,'UNIVERSO MAESTRO'!$A$6:$A$497,0)),"⚠ ID no encontrado"))</f>
        <v/>
      </c>
      <c r="D174" s="54" t="str">
        <f>IF(B200="","",IFERROR(INDEX('UNIVERSO MAESTRO'!$D$6:$D$497,MATCH(B200,'UNIVERSO MAESTRO'!$A$6:$A$497,0)),""))</f>
        <v/>
      </c>
    </row>
    <row r="175" spans="1:11" ht="15" hidden="1" customHeight="1" x14ac:dyDescent="0.2">
      <c r="C175" s="53" t="str">
        <f>IF(B201="","",IFERROR(INDEX('UNIVERSO MAESTRO'!$C$6:$C$497,MATCH(B201,'UNIVERSO MAESTRO'!$A$6:$A$497,0)),"⚠ ID no encontrado"))</f>
        <v/>
      </c>
      <c r="D175" s="54" t="str">
        <f>IF(B201="","",IFERROR(INDEX('UNIVERSO MAESTRO'!$D$6:$D$497,MATCH(B201,'UNIVERSO MAESTRO'!$A$6:$A$497,0)),""))</f>
        <v/>
      </c>
    </row>
    <row r="176" spans="1:11" ht="15" hidden="1" customHeight="1" x14ac:dyDescent="0.2">
      <c r="C176" s="53" t="str">
        <f>IF(B202="","",IFERROR(INDEX('UNIVERSO MAESTRO'!$C$6:$C$497,MATCH(B202,'UNIVERSO MAESTRO'!$A$6:$A$497,0)),"⚠ ID no encontrado"))</f>
        <v/>
      </c>
      <c r="D176" s="54" t="str">
        <f>IF(B202="","",IFERROR(INDEX('UNIVERSO MAESTRO'!$D$6:$D$497,MATCH(B202,'UNIVERSO MAESTRO'!$A$6:$A$497,0)),""))</f>
        <v/>
      </c>
    </row>
    <row r="177" spans="3:4" ht="15" hidden="1" customHeight="1" x14ac:dyDescent="0.2">
      <c r="C177" s="53" t="str">
        <f>IF(B203="","",IFERROR(INDEX('UNIVERSO MAESTRO'!$C$6:$C$497,MATCH(B203,'UNIVERSO MAESTRO'!$A$6:$A$497,0)),"⚠ ID no encontrado"))</f>
        <v/>
      </c>
      <c r="D177" s="54" t="str">
        <f>IF(B203="","",IFERROR(INDEX('UNIVERSO MAESTRO'!$D$6:$D$497,MATCH(B203,'UNIVERSO MAESTRO'!$A$6:$A$497,0)),""))</f>
        <v/>
      </c>
    </row>
    <row r="178" spans="3:4" ht="15" hidden="1" customHeight="1" x14ac:dyDescent="0.2">
      <c r="C178" s="53" t="str">
        <f>IF(B204="","",IFERROR(INDEX('UNIVERSO MAESTRO'!$C$6:$C$497,MATCH(B204,'UNIVERSO MAESTRO'!$A$6:$A$497,0)),"⚠ ID no encontrado"))</f>
        <v/>
      </c>
      <c r="D178" s="54" t="str">
        <f>IF(B204="","",IFERROR(INDEX('UNIVERSO MAESTRO'!$D$6:$D$497,MATCH(B204,'UNIVERSO MAESTRO'!$A$6:$A$497,0)),""))</f>
        <v/>
      </c>
    </row>
    <row r="179" spans="3:4" ht="15" hidden="1" customHeight="1" x14ac:dyDescent="0.2">
      <c r="C179" s="53" t="str">
        <f>IF(B205="","",IFERROR(INDEX('UNIVERSO MAESTRO'!$C$6:$C$497,MATCH(B205,'UNIVERSO MAESTRO'!$A$6:$A$497,0)),"⚠ ID no encontrado"))</f>
        <v/>
      </c>
      <c r="D179" s="54" t="str">
        <f>IF(B205="","",IFERROR(INDEX('UNIVERSO MAESTRO'!$D$6:$D$497,MATCH(B205,'UNIVERSO MAESTRO'!$A$6:$A$497,0)),""))</f>
        <v/>
      </c>
    </row>
    <row r="180" spans="3:4" ht="15" hidden="1" customHeight="1" x14ac:dyDescent="0.2">
      <c r="C180" s="53" t="str">
        <f>IF(B206="","",IFERROR(INDEX('UNIVERSO MAESTRO'!$C$6:$C$497,MATCH(B206,'UNIVERSO MAESTRO'!$A$6:$A$497,0)),"⚠ ID no encontrado"))</f>
        <v/>
      </c>
      <c r="D180" s="54" t="str">
        <f>IF(B206="","",IFERROR(INDEX('UNIVERSO MAESTRO'!$D$6:$D$497,MATCH(B206,'UNIVERSO MAESTRO'!$A$6:$A$497,0)),""))</f>
        <v/>
      </c>
    </row>
    <row r="181" spans="3:4" ht="15" hidden="1" customHeight="1" x14ac:dyDescent="0.2">
      <c r="C181" s="53" t="str">
        <f>IF(B207="","",IFERROR(INDEX('UNIVERSO MAESTRO'!$C$6:$C$497,MATCH(B207,'UNIVERSO MAESTRO'!$A$6:$A$497,0)),"⚠ ID no encontrado"))</f>
        <v/>
      </c>
      <c r="D181" s="54" t="str">
        <f>IF(B207="","",IFERROR(INDEX('UNIVERSO MAESTRO'!$D$6:$D$497,MATCH(B207,'UNIVERSO MAESTRO'!$A$6:$A$497,0)),""))</f>
        <v/>
      </c>
    </row>
    <row r="182" spans="3:4" ht="15" hidden="1" customHeight="1" x14ac:dyDescent="0.2">
      <c r="C182" s="53" t="str">
        <f>IF(B208="","",IFERROR(INDEX('UNIVERSO MAESTRO'!$C$6:$C$497,MATCH(B208,'UNIVERSO MAESTRO'!$A$6:$A$497,0)),"⚠ ID no encontrado"))</f>
        <v/>
      </c>
      <c r="D182" s="54" t="str">
        <f>IF(B208="","",IFERROR(INDEX('UNIVERSO MAESTRO'!$D$6:$D$497,MATCH(B208,'UNIVERSO MAESTRO'!$A$6:$A$497,0)),""))</f>
        <v/>
      </c>
    </row>
    <row r="183" spans="3:4" ht="15" hidden="1" customHeight="1" x14ac:dyDescent="0.2">
      <c r="C183" s="53" t="str">
        <f>IF(B209="","",IFERROR(INDEX('UNIVERSO MAESTRO'!$C$6:$C$497,MATCH(B209,'UNIVERSO MAESTRO'!$A$6:$A$497,0)),"⚠ ID no encontrado"))</f>
        <v/>
      </c>
      <c r="D183" s="54" t="str">
        <f>IF(B209="","",IFERROR(INDEX('UNIVERSO MAESTRO'!$D$6:$D$497,MATCH(B209,'UNIVERSO MAESTRO'!$A$6:$A$497,0)),""))</f>
        <v/>
      </c>
    </row>
    <row r="184" spans="3:4" ht="15" hidden="1" customHeight="1" x14ac:dyDescent="0.2">
      <c r="C184" s="53" t="str">
        <f>IF(B210="","",IFERROR(INDEX('UNIVERSO MAESTRO'!$C$6:$C$497,MATCH(B210,'UNIVERSO MAESTRO'!$A$6:$A$497,0)),"⚠ ID no encontrado"))</f>
        <v/>
      </c>
      <c r="D184" s="54" t="str">
        <f>IF(B210="","",IFERROR(INDEX('UNIVERSO MAESTRO'!$D$6:$D$497,MATCH(B210,'UNIVERSO MAESTRO'!$A$6:$A$497,0)),""))</f>
        <v/>
      </c>
    </row>
    <row r="185" spans="3:4" ht="15" hidden="1" customHeight="1" x14ac:dyDescent="0.2">
      <c r="C185" s="53" t="str">
        <f>IF(B211="","",IFERROR(INDEX('UNIVERSO MAESTRO'!$C$6:$C$497,MATCH(B211,'UNIVERSO MAESTRO'!$A$6:$A$497,0)),"⚠ ID no encontrado"))</f>
        <v/>
      </c>
      <c r="D185" s="54" t="str">
        <f>IF(B211="","",IFERROR(INDEX('UNIVERSO MAESTRO'!$D$6:$D$497,MATCH(B211,'UNIVERSO MAESTRO'!$A$6:$A$497,0)),""))</f>
        <v/>
      </c>
    </row>
    <row r="186" spans="3:4" ht="15" hidden="1" customHeight="1" x14ac:dyDescent="0.2">
      <c r="C186" s="53" t="str">
        <f>IF(B212="","",IFERROR(INDEX('UNIVERSO MAESTRO'!$C$6:$C$497,MATCH(B212,'UNIVERSO MAESTRO'!$A$6:$A$497,0)),"⚠ ID no encontrado"))</f>
        <v/>
      </c>
      <c r="D186" s="54" t="str">
        <f>IF(B212="","",IFERROR(INDEX('UNIVERSO MAESTRO'!$D$6:$D$497,MATCH(B212,'UNIVERSO MAESTRO'!$A$6:$A$497,0)),""))</f>
        <v/>
      </c>
    </row>
    <row r="187" spans="3:4" ht="15" hidden="1" customHeight="1" x14ac:dyDescent="0.2">
      <c r="C187" s="53" t="str">
        <f>IF(B213="","",IFERROR(INDEX('UNIVERSO MAESTRO'!$C$6:$C$497,MATCH(B213,'UNIVERSO MAESTRO'!$A$6:$A$497,0)),"⚠ ID no encontrado"))</f>
        <v/>
      </c>
      <c r="D187" s="54" t="str">
        <f>IF(B213="","",IFERROR(INDEX('UNIVERSO MAESTRO'!$D$6:$D$497,MATCH(B213,'UNIVERSO MAESTRO'!$A$6:$A$497,0)),""))</f>
        <v/>
      </c>
    </row>
    <row r="188" spans="3:4" ht="15" hidden="1" customHeight="1" x14ac:dyDescent="0.2">
      <c r="C188" s="53" t="str">
        <f>IF(B214="","",IFERROR(INDEX('UNIVERSO MAESTRO'!$C$6:$C$497,MATCH(B214,'UNIVERSO MAESTRO'!$A$6:$A$497,0)),"⚠ ID no encontrado"))</f>
        <v/>
      </c>
      <c r="D188" s="54" t="str">
        <f>IF(B214="","",IFERROR(INDEX('UNIVERSO MAESTRO'!$D$6:$D$497,MATCH(B214,'UNIVERSO MAESTRO'!$A$6:$A$497,0)),""))</f>
        <v/>
      </c>
    </row>
    <row r="189" spans="3:4" ht="15" hidden="1" customHeight="1" x14ac:dyDescent="0.2">
      <c r="C189" s="53" t="str">
        <f>IF(B215="","",IFERROR(INDEX('UNIVERSO MAESTRO'!$C$6:$C$497,MATCH(B215,'UNIVERSO MAESTRO'!$A$6:$A$497,0)),"⚠ ID no encontrado"))</f>
        <v/>
      </c>
      <c r="D189" s="54" t="str">
        <f>IF(B215="","",IFERROR(INDEX('UNIVERSO MAESTRO'!$D$6:$D$497,MATCH(B215,'UNIVERSO MAESTRO'!$A$6:$A$497,0)),""))</f>
        <v/>
      </c>
    </row>
    <row r="190" spans="3:4" ht="15" hidden="1" customHeight="1" x14ac:dyDescent="0.2">
      <c r="C190" s="53" t="str">
        <f>IF(B216="","",IFERROR(INDEX('UNIVERSO MAESTRO'!$C$6:$C$497,MATCH(B216,'UNIVERSO MAESTRO'!$A$6:$A$497,0)),"⚠ ID no encontrado"))</f>
        <v/>
      </c>
      <c r="D190" s="54" t="str">
        <f>IF(B216="","",IFERROR(INDEX('UNIVERSO MAESTRO'!$D$6:$D$497,MATCH(B216,'UNIVERSO MAESTRO'!$A$6:$A$497,0)),""))</f>
        <v/>
      </c>
    </row>
    <row r="191" spans="3:4" ht="15" hidden="1" customHeight="1" x14ac:dyDescent="0.2">
      <c r="C191" s="53" t="str">
        <f>IF(B217="","",IFERROR(INDEX('UNIVERSO MAESTRO'!$C$6:$C$497,MATCH(B217,'UNIVERSO MAESTRO'!$A$6:$A$497,0)),"⚠ ID no encontrado"))</f>
        <v/>
      </c>
      <c r="D191" s="54" t="str">
        <f>IF(B217="","",IFERROR(INDEX('UNIVERSO MAESTRO'!$D$6:$D$497,MATCH(B217,'UNIVERSO MAESTRO'!$A$6:$A$497,0)),""))</f>
        <v/>
      </c>
    </row>
    <row r="192" spans="3:4" ht="15" hidden="1" customHeight="1" x14ac:dyDescent="0.2">
      <c r="C192" s="53" t="str">
        <f>IF(B218="","",IFERROR(INDEX('UNIVERSO MAESTRO'!$C$6:$C$497,MATCH(B218,'UNIVERSO MAESTRO'!$A$6:$A$497,0)),"⚠ ID no encontrado"))</f>
        <v/>
      </c>
      <c r="D192" s="54" t="str">
        <f>IF(B218="","",IFERROR(INDEX('UNIVERSO MAESTRO'!$D$6:$D$497,MATCH(B218,'UNIVERSO MAESTRO'!$A$6:$A$497,0)),""))</f>
        <v/>
      </c>
    </row>
    <row r="193" spans="3:4" ht="15" hidden="1" customHeight="1" x14ac:dyDescent="0.2">
      <c r="C193" s="53" t="str">
        <f>IF(B219="","",IFERROR(INDEX('UNIVERSO MAESTRO'!$C$6:$C$497,MATCH(B219,'UNIVERSO MAESTRO'!$A$6:$A$497,0)),"⚠ ID no encontrado"))</f>
        <v/>
      </c>
      <c r="D193" s="54" t="str">
        <f>IF(B219="","",IFERROR(INDEX('UNIVERSO MAESTRO'!$D$6:$D$497,MATCH(B219,'UNIVERSO MAESTRO'!$A$6:$A$497,0)),""))</f>
        <v/>
      </c>
    </row>
    <row r="194" spans="3:4" ht="15" hidden="1" customHeight="1" x14ac:dyDescent="0.2">
      <c r="C194" s="53" t="str">
        <f>IF(B220="","",IFERROR(INDEX('UNIVERSO MAESTRO'!$C$6:$C$497,MATCH(B220,'UNIVERSO MAESTRO'!$A$6:$A$497,0)),"⚠ ID no encontrado"))</f>
        <v/>
      </c>
      <c r="D194" s="54" t="str">
        <f>IF(B220="","",IFERROR(INDEX('UNIVERSO MAESTRO'!$D$6:$D$497,MATCH(B220,'UNIVERSO MAESTRO'!$A$6:$A$497,0)),""))</f>
        <v/>
      </c>
    </row>
    <row r="195" spans="3:4" ht="15" hidden="1" customHeight="1" x14ac:dyDescent="0.2">
      <c r="C195" s="53" t="str">
        <f>IF(B221="","",IFERROR(INDEX('UNIVERSO MAESTRO'!$C$6:$C$497,MATCH(B221,'UNIVERSO MAESTRO'!$A$6:$A$497,0)),"⚠ ID no encontrado"))</f>
        <v/>
      </c>
      <c r="D195" s="54" t="str">
        <f>IF(B221="","",IFERROR(INDEX('UNIVERSO MAESTRO'!$D$6:$D$497,MATCH(B221,'UNIVERSO MAESTRO'!$A$6:$A$497,0)),""))</f>
        <v/>
      </c>
    </row>
    <row r="196" spans="3:4" ht="15" hidden="1" customHeight="1" x14ac:dyDescent="0.2">
      <c r="C196" s="53" t="str">
        <f>IF(B222="","",IFERROR(INDEX('UNIVERSO MAESTRO'!$C$6:$C$497,MATCH(B222,'UNIVERSO MAESTRO'!$A$6:$A$497,0)),"⚠ ID no encontrado"))</f>
        <v/>
      </c>
      <c r="D196" s="54" t="str">
        <f>IF(B222="","",IFERROR(INDEX('UNIVERSO MAESTRO'!$D$6:$D$497,MATCH(B222,'UNIVERSO MAESTRO'!$A$6:$A$497,0)),""))</f>
        <v/>
      </c>
    </row>
    <row r="197" spans="3:4" ht="15" hidden="1" customHeight="1" x14ac:dyDescent="0.2">
      <c r="C197" s="53" t="str">
        <f>IF(B223="","",IFERROR(INDEX('UNIVERSO MAESTRO'!$C$6:$C$497,MATCH(B223,'UNIVERSO MAESTRO'!$A$6:$A$497,0)),"⚠ ID no encontrado"))</f>
        <v/>
      </c>
      <c r="D197" s="54" t="str">
        <f>IF(B223="","",IFERROR(INDEX('UNIVERSO MAESTRO'!$D$6:$D$497,MATCH(B223,'UNIVERSO MAESTRO'!$A$6:$A$497,0)),""))</f>
        <v/>
      </c>
    </row>
    <row r="198" spans="3:4" ht="15" hidden="1" customHeight="1" x14ac:dyDescent="0.2">
      <c r="C198" s="53" t="str">
        <f>IF(B224="","",IFERROR(INDEX('UNIVERSO MAESTRO'!$C$6:$C$497,MATCH(B224,'UNIVERSO MAESTRO'!$A$6:$A$497,0)),"⚠ ID no encontrado"))</f>
        <v/>
      </c>
      <c r="D198" s="54" t="str">
        <f>IF(B224="","",IFERROR(INDEX('UNIVERSO MAESTRO'!$D$6:$D$497,MATCH(B224,'UNIVERSO MAESTRO'!$A$6:$A$497,0)),""))</f>
        <v/>
      </c>
    </row>
    <row r="199" spans="3:4" ht="15" hidden="1" customHeight="1" x14ac:dyDescent="0.2">
      <c r="C199" s="53" t="str">
        <f>IF(B225="","",IFERROR(INDEX('UNIVERSO MAESTRO'!$C$6:$C$497,MATCH(B225,'UNIVERSO MAESTRO'!$A$6:$A$497,0)),"⚠ ID no encontrado"))</f>
        <v/>
      </c>
      <c r="D199" s="54" t="str">
        <f>IF(B225="","",IFERROR(INDEX('UNIVERSO MAESTRO'!$D$6:$D$497,MATCH(B225,'UNIVERSO MAESTRO'!$A$6:$A$497,0)),""))</f>
        <v/>
      </c>
    </row>
    <row r="200" spans="3:4" ht="15" hidden="1" customHeight="1" x14ac:dyDescent="0.2">
      <c r="C200" s="53" t="str">
        <f>IF(B226="","",IFERROR(INDEX('UNIVERSO MAESTRO'!$C$6:$C$497,MATCH(B226,'UNIVERSO MAESTRO'!$A$6:$A$497,0)),"⚠ ID no encontrado"))</f>
        <v/>
      </c>
      <c r="D200" s="54" t="str">
        <f>IF(B226="","",IFERROR(INDEX('UNIVERSO MAESTRO'!$D$6:$D$497,MATCH(B226,'UNIVERSO MAESTRO'!$A$6:$A$497,0)),""))</f>
        <v/>
      </c>
    </row>
    <row r="201" spans="3:4" ht="15" hidden="1" customHeight="1" x14ac:dyDescent="0.2">
      <c r="C201" s="53" t="str">
        <f>IF(B227="","",IFERROR(INDEX('UNIVERSO MAESTRO'!$C$6:$C$497,MATCH(B227,'UNIVERSO MAESTRO'!$A$6:$A$497,0)),"⚠ ID no encontrado"))</f>
        <v/>
      </c>
      <c r="D201" s="54" t="str">
        <f>IF(B227="","",IFERROR(INDEX('UNIVERSO MAESTRO'!$D$6:$D$497,MATCH(B227,'UNIVERSO MAESTRO'!$A$6:$A$497,0)),""))</f>
        <v/>
      </c>
    </row>
    <row r="202" spans="3:4" ht="15" hidden="1" customHeight="1" x14ac:dyDescent="0.2">
      <c r="C202" s="53" t="str">
        <f>IF(B228="","",IFERROR(INDEX('UNIVERSO MAESTRO'!$C$6:$C$497,MATCH(B228,'UNIVERSO MAESTRO'!$A$6:$A$497,0)),"⚠ ID no encontrado"))</f>
        <v/>
      </c>
      <c r="D202" s="54" t="str">
        <f>IF(B228="","",IFERROR(INDEX('UNIVERSO MAESTRO'!$D$6:$D$497,MATCH(B228,'UNIVERSO MAESTRO'!$A$6:$A$497,0)),""))</f>
        <v/>
      </c>
    </row>
    <row r="203" spans="3:4" ht="15" hidden="1" customHeight="1" x14ac:dyDescent="0.2">
      <c r="C203" s="53" t="str">
        <f>IF(B229="","",IFERROR(INDEX('UNIVERSO MAESTRO'!$C$6:$C$497,MATCH(B229,'UNIVERSO MAESTRO'!$A$6:$A$497,0)),"⚠ ID no encontrado"))</f>
        <v/>
      </c>
      <c r="D203" s="54" t="str">
        <f>IF(B229="","",IFERROR(INDEX('UNIVERSO MAESTRO'!$D$6:$D$497,MATCH(B229,'UNIVERSO MAESTRO'!$A$6:$A$497,0)),""))</f>
        <v/>
      </c>
    </row>
    <row r="204" spans="3:4" ht="15" hidden="1" customHeight="1" x14ac:dyDescent="0.2">
      <c r="C204" s="53" t="str">
        <f>IF(B230="","",IFERROR(INDEX('UNIVERSO MAESTRO'!$C$6:$C$497,MATCH(B230,'UNIVERSO MAESTRO'!$A$6:$A$497,0)),"⚠ ID no encontrado"))</f>
        <v/>
      </c>
      <c r="D204" s="54" t="str">
        <f>IF(B230="","",IFERROR(INDEX('UNIVERSO MAESTRO'!$D$6:$D$497,MATCH(B230,'UNIVERSO MAESTRO'!$A$6:$A$497,0)),""))</f>
        <v/>
      </c>
    </row>
    <row r="205" spans="3:4" ht="15" hidden="1" customHeight="1" x14ac:dyDescent="0.2">
      <c r="C205" s="53" t="str">
        <f>IF(B231="","",IFERROR(INDEX('UNIVERSO MAESTRO'!$C$6:$C$497,MATCH(B231,'UNIVERSO MAESTRO'!$A$6:$A$497,0)),"⚠ ID no encontrado"))</f>
        <v/>
      </c>
      <c r="D205" s="54" t="str">
        <f>IF(B231="","",IFERROR(INDEX('UNIVERSO MAESTRO'!$D$6:$D$497,MATCH(B231,'UNIVERSO MAESTRO'!$A$6:$A$497,0)),""))</f>
        <v/>
      </c>
    </row>
    <row r="206" spans="3:4" ht="15" hidden="1" customHeight="1" x14ac:dyDescent="0.2">
      <c r="C206" s="53" t="str">
        <f>IF(B232="","",IFERROR(INDEX('UNIVERSO MAESTRO'!$C$6:$C$497,MATCH(B232,'UNIVERSO MAESTRO'!$A$6:$A$497,0)),"⚠ ID no encontrado"))</f>
        <v/>
      </c>
      <c r="D206" s="54" t="str">
        <f>IF(B232="","",IFERROR(INDEX('UNIVERSO MAESTRO'!$D$6:$D$497,MATCH(B232,'UNIVERSO MAESTRO'!$A$6:$A$497,0)),""))</f>
        <v/>
      </c>
    </row>
    <row r="207" spans="3:4" ht="15" hidden="1" customHeight="1" x14ac:dyDescent="0.2">
      <c r="C207" s="53" t="str">
        <f>IF(B233="","",IFERROR(INDEX('UNIVERSO MAESTRO'!$C$6:$C$497,MATCH(B233,'UNIVERSO MAESTRO'!$A$6:$A$497,0)),"⚠ ID no encontrado"))</f>
        <v/>
      </c>
      <c r="D207" s="54" t="str">
        <f>IF(B233="","",IFERROR(INDEX('UNIVERSO MAESTRO'!$D$6:$D$497,MATCH(B233,'UNIVERSO MAESTRO'!$A$6:$A$497,0)),""))</f>
        <v/>
      </c>
    </row>
    <row r="208" spans="3:4" ht="15" hidden="1" customHeight="1" x14ac:dyDescent="0.2">
      <c r="C208" s="53" t="str">
        <f>IF(B234="","",IFERROR(INDEX('UNIVERSO MAESTRO'!$C$6:$C$497,MATCH(B234,'UNIVERSO MAESTRO'!$A$6:$A$497,0)),"⚠ ID no encontrado"))</f>
        <v/>
      </c>
      <c r="D208" s="54" t="str">
        <f>IF(B234="","",IFERROR(INDEX('UNIVERSO MAESTRO'!$D$6:$D$497,MATCH(B234,'UNIVERSO MAESTRO'!$A$6:$A$497,0)),""))</f>
        <v/>
      </c>
    </row>
    <row r="209" spans="3:4" ht="15" hidden="1" customHeight="1" x14ac:dyDescent="0.2">
      <c r="C209" s="53" t="str">
        <f>IF(B235="","",IFERROR(INDEX('UNIVERSO MAESTRO'!$C$6:$C$497,MATCH(B235,'UNIVERSO MAESTRO'!$A$6:$A$497,0)),"⚠ ID no encontrado"))</f>
        <v/>
      </c>
      <c r="D209" s="54" t="str">
        <f>IF(B235="","",IFERROR(INDEX('UNIVERSO MAESTRO'!$D$6:$D$497,MATCH(B235,'UNIVERSO MAESTRO'!$A$6:$A$497,0)),""))</f>
        <v/>
      </c>
    </row>
    <row r="210" spans="3:4" ht="15" hidden="1" customHeight="1" x14ac:dyDescent="0.2">
      <c r="C210" s="53" t="str">
        <f>IF(B236="","",IFERROR(INDEX('UNIVERSO MAESTRO'!$C$6:$C$497,MATCH(B236,'UNIVERSO MAESTRO'!$A$6:$A$497,0)),"⚠ ID no encontrado"))</f>
        <v/>
      </c>
      <c r="D210" s="54" t="str">
        <f>IF(B236="","",IFERROR(INDEX('UNIVERSO MAESTRO'!$D$6:$D$497,MATCH(B236,'UNIVERSO MAESTRO'!$A$6:$A$497,0)),""))</f>
        <v/>
      </c>
    </row>
    <row r="211" spans="3:4" ht="15" hidden="1" customHeight="1" x14ac:dyDescent="0.2">
      <c r="C211" s="53" t="str">
        <f>IF(B237="","",IFERROR(INDEX('UNIVERSO MAESTRO'!$C$6:$C$497,MATCH(B237,'UNIVERSO MAESTRO'!$A$6:$A$497,0)),"⚠ ID no encontrado"))</f>
        <v/>
      </c>
      <c r="D211" s="54" t="str">
        <f>IF(B237="","",IFERROR(INDEX('UNIVERSO MAESTRO'!$D$6:$D$497,MATCH(B237,'UNIVERSO MAESTRO'!$A$6:$A$497,0)),""))</f>
        <v/>
      </c>
    </row>
    <row r="212" spans="3:4" ht="15" hidden="1" customHeight="1" x14ac:dyDescent="0.2">
      <c r="C212" s="53" t="str">
        <f>IF(B238="","",IFERROR(INDEX('UNIVERSO MAESTRO'!$C$6:$C$497,MATCH(B238,'UNIVERSO MAESTRO'!$A$6:$A$497,0)),"⚠ ID no encontrado"))</f>
        <v/>
      </c>
      <c r="D212" s="54" t="str">
        <f>IF(B238="","",IFERROR(INDEX('UNIVERSO MAESTRO'!$D$6:$D$497,MATCH(B238,'UNIVERSO MAESTRO'!$A$6:$A$497,0)),""))</f>
        <v/>
      </c>
    </row>
    <row r="213" spans="3:4" ht="15" hidden="1" customHeight="1" x14ac:dyDescent="0.2">
      <c r="C213" s="53" t="str">
        <f>IF(B239="","",IFERROR(INDEX('UNIVERSO MAESTRO'!$C$6:$C$497,MATCH(B239,'UNIVERSO MAESTRO'!$A$6:$A$497,0)),"⚠ ID no encontrado"))</f>
        <v/>
      </c>
      <c r="D213" s="54" t="str">
        <f>IF(B239="","",IFERROR(INDEX('UNIVERSO MAESTRO'!$D$6:$D$497,MATCH(B239,'UNIVERSO MAESTRO'!$A$6:$A$497,0)),""))</f>
        <v/>
      </c>
    </row>
    <row r="214" spans="3:4" ht="15" hidden="1" customHeight="1" x14ac:dyDescent="0.2">
      <c r="C214" s="53" t="str">
        <f>IF(B240="","",IFERROR(INDEX('UNIVERSO MAESTRO'!$C$6:$C$497,MATCH(B240,'UNIVERSO MAESTRO'!$A$6:$A$497,0)),"⚠ ID no encontrado"))</f>
        <v/>
      </c>
      <c r="D214" s="54" t="str">
        <f>IF(B240="","",IFERROR(INDEX('UNIVERSO MAESTRO'!$D$6:$D$497,MATCH(B240,'UNIVERSO MAESTRO'!$A$6:$A$497,0)),""))</f>
        <v/>
      </c>
    </row>
    <row r="215" spans="3:4" ht="15" hidden="1" customHeight="1" x14ac:dyDescent="0.2">
      <c r="C215" s="53" t="str">
        <f>IF(B241="","",IFERROR(INDEX('UNIVERSO MAESTRO'!$C$6:$C$497,MATCH(B241,'UNIVERSO MAESTRO'!$A$6:$A$497,0)),"⚠ ID no encontrado"))</f>
        <v/>
      </c>
      <c r="D215" s="54" t="str">
        <f>IF(B241="","",IFERROR(INDEX('UNIVERSO MAESTRO'!$D$6:$D$497,MATCH(B241,'UNIVERSO MAESTRO'!$A$6:$A$497,0)),""))</f>
        <v/>
      </c>
    </row>
    <row r="216" spans="3:4" ht="15" hidden="1" customHeight="1" x14ac:dyDescent="0.2">
      <c r="C216" s="53" t="str">
        <f>IF(B242="","",IFERROR(INDEX('UNIVERSO MAESTRO'!$C$6:$C$497,MATCH(B242,'UNIVERSO MAESTRO'!$A$6:$A$497,0)),"⚠ ID no encontrado"))</f>
        <v/>
      </c>
      <c r="D216" s="54" t="str">
        <f>IF(B242="","",IFERROR(INDEX('UNIVERSO MAESTRO'!$D$6:$D$497,MATCH(B242,'UNIVERSO MAESTRO'!$A$6:$A$497,0)),""))</f>
        <v/>
      </c>
    </row>
    <row r="217" spans="3:4" ht="15" hidden="1" customHeight="1" x14ac:dyDescent="0.2">
      <c r="C217" s="53" t="str">
        <f>IF(B243="","",IFERROR(INDEX('UNIVERSO MAESTRO'!$C$6:$C$497,MATCH(B243,'UNIVERSO MAESTRO'!$A$6:$A$497,0)),"⚠ ID no encontrado"))</f>
        <v/>
      </c>
      <c r="D217" s="54" t="str">
        <f>IF(B243="","",IFERROR(INDEX('UNIVERSO MAESTRO'!$D$6:$D$497,MATCH(B243,'UNIVERSO MAESTRO'!$A$6:$A$497,0)),""))</f>
        <v/>
      </c>
    </row>
    <row r="218" spans="3:4" ht="15" hidden="1" customHeight="1" x14ac:dyDescent="0.2">
      <c r="C218" s="53" t="str">
        <f>IF(B244="","",IFERROR(INDEX('UNIVERSO MAESTRO'!$C$6:$C$497,MATCH(B244,'UNIVERSO MAESTRO'!$A$6:$A$497,0)),"⚠ ID no encontrado"))</f>
        <v/>
      </c>
      <c r="D218" s="54" t="str">
        <f>IF(B244="","",IFERROR(INDEX('UNIVERSO MAESTRO'!$D$6:$D$497,MATCH(B244,'UNIVERSO MAESTRO'!$A$6:$A$497,0)),""))</f>
        <v/>
      </c>
    </row>
    <row r="219" spans="3:4" ht="15" hidden="1" customHeight="1" x14ac:dyDescent="0.2">
      <c r="C219" s="53" t="str">
        <f>IF(B245="","",IFERROR(INDEX('UNIVERSO MAESTRO'!$C$6:$C$497,MATCH(B245,'UNIVERSO MAESTRO'!$A$6:$A$497,0)),"⚠ ID no encontrado"))</f>
        <v/>
      </c>
      <c r="D219" s="54" t="str">
        <f>IF(B245="","",IFERROR(INDEX('UNIVERSO MAESTRO'!$D$6:$D$497,MATCH(B245,'UNIVERSO MAESTRO'!$A$6:$A$497,0)),""))</f>
        <v/>
      </c>
    </row>
    <row r="220" spans="3:4" ht="15" hidden="1" customHeight="1" x14ac:dyDescent="0.2">
      <c r="C220" s="53" t="str">
        <f>IF(B246="","",IFERROR(INDEX('UNIVERSO MAESTRO'!$C$6:$C$497,MATCH(B246,'UNIVERSO MAESTRO'!$A$6:$A$497,0)),"⚠ ID no encontrado"))</f>
        <v/>
      </c>
      <c r="D220" s="54" t="str">
        <f>IF(B246="","",IFERROR(INDEX('UNIVERSO MAESTRO'!$D$6:$D$497,MATCH(B246,'UNIVERSO MAESTRO'!$A$6:$A$497,0)),""))</f>
        <v/>
      </c>
    </row>
    <row r="221" spans="3:4" ht="15" hidden="1" customHeight="1" x14ac:dyDescent="0.2">
      <c r="C221" s="53" t="str">
        <f>IF(B247="","",IFERROR(INDEX('UNIVERSO MAESTRO'!$C$6:$C$497,MATCH(B247,'UNIVERSO MAESTRO'!$A$6:$A$497,0)),"⚠ ID no encontrado"))</f>
        <v/>
      </c>
      <c r="D221" s="54" t="str">
        <f>IF(B247="","",IFERROR(INDEX('UNIVERSO MAESTRO'!$D$6:$D$497,MATCH(B247,'UNIVERSO MAESTRO'!$A$6:$A$497,0)),""))</f>
        <v/>
      </c>
    </row>
    <row r="222" spans="3:4" ht="15" hidden="1" customHeight="1" x14ac:dyDescent="0.2">
      <c r="C222" s="53" t="str">
        <f>IF(B248="","",IFERROR(INDEX('UNIVERSO MAESTRO'!$C$6:$C$497,MATCH(B248,'UNIVERSO MAESTRO'!$A$6:$A$497,0)),"⚠ ID no encontrado"))</f>
        <v/>
      </c>
      <c r="D222" s="54" t="str">
        <f>IF(B248="","",IFERROR(INDEX('UNIVERSO MAESTRO'!$D$6:$D$497,MATCH(B248,'UNIVERSO MAESTRO'!$A$6:$A$497,0)),""))</f>
        <v/>
      </c>
    </row>
    <row r="223" spans="3:4" ht="15" hidden="1" customHeight="1" x14ac:dyDescent="0.2">
      <c r="C223" s="53" t="str">
        <f>IF(B249="","",IFERROR(INDEX('UNIVERSO MAESTRO'!$C$6:$C$497,MATCH(B249,'UNIVERSO MAESTRO'!$A$6:$A$497,0)),"⚠ ID no encontrado"))</f>
        <v/>
      </c>
      <c r="D223" s="54" t="str">
        <f>IF(B249="","",IFERROR(INDEX('UNIVERSO MAESTRO'!$D$6:$D$497,MATCH(B249,'UNIVERSO MAESTRO'!$A$6:$A$497,0)),""))</f>
        <v/>
      </c>
    </row>
    <row r="224" spans="3:4" ht="15" hidden="1" customHeight="1" x14ac:dyDescent="0.2">
      <c r="C224" s="53" t="str">
        <f>IF(B250="","",IFERROR(INDEX('UNIVERSO MAESTRO'!$C$6:$C$497,MATCH(B250,'UNIVERSO MAESTRO'!$A$6:$A$497,0)),"⚠ ID no encontrado"))</f>
        <v/>
      </c>
      <c r="D224" s="54" t="str">
        <f>IF(B250="","",IFERROR(INDEX('UNIVERSO MAESTRO'!$D$6:$D$497,MATCH(B250,'UNIVERSO MAESTRO'!$A$6:$A$497,0)),""))</f>
        <v/>
      </c>
    </row>
    <row r="225" spans="3:4" ht="15" hidden="1" customHeight="1" x14ac:dyDescent="0.2">
      <c r="C225" s="53" t="str">
        <f>IF(B251="","",IFERROR(INDEX('UNIVERSO MAESTRO'!$C$6:$C$497,MATCH(B251,'UNIVERSO MAESTRO'!$A$6:$A$497,0)),"⚠ ID no encontrado"))</f>
        <v/>
      </c>
      <c r="D225" s="54" t="str">
        <f>IF(B251="","",IFERROR(INDEX('UNIVERSO MAESTRO'!$D$6:$D$497,MATCH(B251,'UNIVERSO MAESTRO'!$A$6:$A$497,0)),""))</f>
        <v/>
      </c>
    </row>
    <row r="226" spans="3:4" ht="15" hidden="1" customHeight="1" x14ac:dyDescent="0.2">
      <c r="C226" s="53" t="str">
        <f>IF(B252="","",IFERROR(INDEX('UNIVERSO MAESTRO'!$C$6:$C$497,MATCH(B252,'UNIVERSO MAESTRO'!$A$6:$A$497,0)),"⚠ ID no encontrado"))</f>
        <v/>
      </c>
      <c r="D226" s="54" t="str">
        <f>IF(B252="","",IFERROR(INDEX('UNIVERSO MAESTRO'!$D$6:$D$497,MATCH(B252,'UNIVERSO MAESTRO'!$A$6:$A$497,0)),""))</f>
        <v/>
      </c>
    </row>
    <row r="227" spans="3:4" ht="15" hidden="1" customHeight="1" x14ac:dyDescent="0.2">
      <c r="C227" s="53" t="str">
        <f>IF(B253="","",IFERROR(INDEX('UNIVERSO MAESTRO'!$C$6:$C$497,MATCH(B253,'UNIVERSO MAESTRO'!$A$6:$A$497,0)),"⚠ ID no encontrado"))</f>
        <v/>
      </c>
      <c r="D227" s="54" t="str">
        <f>IF(B253="","",IFERROR(INDEX('UNIVERSO MAESTRO'!$D$6:$D$497,MATCH(B253,'UNIVERSO MAESTRO'!$A$6:$A$497,0)),""))</f>
        <v/>
      </c>
    </row>
    <row r="228" spans="3:4" ht="15" hidden="1" customHeight="1" x14ac:dyDescent="0.2">
      <c r="C228" s="53" t="str">
        <f>IF(B254="","",IFERROR(INDEX('UNIVERSO MAESTRO'!$C$6:$C$497,MATCH(B254,'UNIVERSO MAESTRO'!$A$6:$A$497,0)),"⚠ ID no encontrado"))</f>
        <v/>
      </c>
      <c r="D228" s="54" t="str">
        <f>IF(B254="","",IFERROR(INDEX('UNIVERSO MAESTRO'!$D$6:$D$497,MATCH(B254,'UNIVERSO MAESTRO'!$A$6:$A$497,0)),""))</f>
        <v/>
      </c>
    </row>
    <row r="229" spans="3:4" ht="15" hidden="1" customHeight="1" x14ac:dyDescent="0.2">
      <c r="C229" s="53" t="str">
        <f>IF(B255="","",IFERROR(INDEX('UNIVERSO MAESTRO'!$C$6:$C$497,MATCH(B255,'UNIVERSO MAESTRO'!$A$6:$A$497,0)),"⚠ ID no encontrado"))</f>
        <v/>
      </c>
      <c r="D229" s="54" t="str">
        <f>IF(B255="","",IFERROR(INDEX('UNIVERSO MAESTRO'!$D$6:$D$497,MATCH(B255,'UNIVERSO MAESTRO'!$A$6:$A$497,0)),""))</f>
        <v/>
      </c>
    </row>
    <row r="230" spans="3:4" ht="15" hidden="1" customHeight="1" x14ac:dyDescent="0.2">
      <c r="C230" s="53" t="str">
        <f>IF(B256="","",IFERROR(INDEX('UNIVERSO MAESTRO'!$C$6:$C$497,MATCH(B256,'UNIVERSO MAESTRO'!$A$6:$A$497,0)),"⚠ ID no encontrado"))</f>
        <v/>
      </c>
      <c r="D230" s="54" t="str">
        <f>IF(B256="","",IFERROR(INDEX('UNIVERSO MAESTRO'!$D$6:$D$497,MATCH(B256,'UNIVERSO MAESTRO'!$A$6:$A$497,0)),""))</f>
        <v/>
      </c>
    </row>
    <row r="231" spans="3:4" ht="15" hidden="1" customHeight="1" x14ac:dyDescent="0.2">
      <c r="C231" s="53" t="str">
        <f>IF(B257="","",IFERROR(INDEX('UNIVERSO MAESTRO'!$C$6:$C$497,MATCH(B257,'UNIVERSO MAESTRO'!$A$6:$A$497,0)),"⚠ ID no encontrado"))</f>
        <v/>
      </c>
      <c r="D231" s="54" t="str">
        <f>IF(B257="","",IFERROR(INDEX('UNIVERSO MAESTRO'!$D$6:$D$497,MATCH(B257,'UNIVERSO MAESTRO'!$A$6:$A$497,0)),""))</f>
        <v/>
      </c>
    </row>
    <row r="232" spans="3:4" ht="15" hidden="1" customHeight="1" x14ac:dyDescent="0.2">
      <c r="C232" s="53" t="str">
        <f>IF(B258="","",IFERROR(INDEX('UNIVERSO MAESTRO'!$C$6:$C$497,MATCH(B258,'UNIVERSO MAESTRO'!$A$6:$A$497,0)),"⚠ ID no encontrado"))</f>
        <v/>
      </c>
      <c r="D232" s="54" t="str">
        <f>IF(B258="","",IFERROR(INDEX('UNIVERSO MAESTRO'!$D$6:$D$497,MATCH(B258,'UNIVERSO MAESTRO'!$A$6:$A$497,0)),""))</f>
        <v/>
      </c>
    </row>
    <row r="233" spans="3:4" ht="15" hidden="1" customHeight="1" x14ac:dyDescent="0.2">
      <c r="C233" s="53" t="str">
        <f>IF(B259="","",IFERROR(INDEX('UNIVERSO MAESTRO'!$C$6:$C$497,MATCH(B259,'UNIVERSO MAESTRO'!$A$6:$A$497,0)),"⚠ ID no encontrado"))</f>
        <v/>
      </c>
      <c r="D233" s="54" t="str">
        <f>IF(B259="","",IFERROR(INDEX('UNIVERSO MAESTRO'!$D$6:$D$497,MATCH(B259,'UNIVERSO MAESTRO'!$A$6:$A$497,0)),""))</f>
        <v/>
      </c>
    </row>
    <row r="234" spans="3:4" ht="15" hidden="1" customHeight="1" x14ac:dyDescent="0.2">
      <c r="C234" s="53" t="str">
        <f>IF(B260="","",IFERROR(INDEX('UNIVERSO MAESTRO'!$C$6:$C$497,MATCH(B260,'UNIVERSO MAESTRO'!$A$6:$A$497,0)),"⚠ ID no encontrado"))</f>
        <v/>
      </c>
      <c r="D234" s="54" t="str">
        <f>IF(B260="","",IFERROR(INDEX('UNIVERSO MAESTRO'!$D$6:$D$497,MATCH(B260,'UNIVERSO MAESTRO'!$A$6:$A$497,0)),""))</f>
        <v/>
      </c>
    </row>
    <row r="235" spans="3:4" ht="15" hidden="1" customHeight="1" x14ac:dyDescent="0.2">
      <c r="C235" s="53" t="str">
        <f>IF(B261="","",IFERROR(INDEX('UNIVERSO MAESTRO'!$C$6:$C$497,MATCH(B261,'UNIVERSO MAESTRO'!$A$6:$A$497,0)),"⚠ ID no encontrado"))</f>
        <v/>
      </c>
      <c r="D235" s="54" t="str">
        <f>IF(B261="","",IFERROR(INDEX('UNIVERSO MAESTRO'!$D$6:$D$497,MATCH(B261,'UNIVERSO MAESTRO'!$A$6:$A$497,0)),""))</f>
        <v/>
      </c>
    </row>
    <row r="236" spans="3:4" ht="15" hidden="1" customHeight="1" x14ac:dyDescent="0.2">
      <c r="C236" s="53" t="str">
        <f>IF(B262="","",IFERROR(INDEX('UNIVERSO MAESTRO'!$C$6:$C$497,MATCH(B262,'UNIVERSO MAESTRO'!$A$6:$A$497,0)),"⚠ ID no encontrado"))</f>
        <v/>
      </c>
      <c r="D236" s="54" t="str">
        <f>IF(B262="","",IFERROR(INDEX('UNIVERSO MAESTRO'!$D$6:$D$497,MATCH(B262,'UNIVERSO MAESTRO'!$A$6:$A$497,0)),""))</f>
        <v/>
      </c>
    </row>
    <row r="237" spans="3:4" ht="15" hidden="1" customHeight="1" x14ac:dyDescent="0.2">
      <c r="C237" s="53" t="str">
        <f>IF(B263="","",IFERROR(INDEX('UNIVERSO MAESTRO'!$C$6:$C$497,MATCH(B263,'UNIVERSO MAESTRO'!$A$6:$A$497,0)),"⚠ ID no encontrado"))</f>
        <v/>
      </c>
      <c r="D237" s="54" t="str">
        <f>IF(B263="","",IFERROR(INDEX('UNIVERSO MAESTRO'!$D$6:$D$497,MATCH(B263,'UNIVERSO MAESTRO'!$A$6:$A$497,0)),""))</f>
        <v/>
      </c>
    </row>
    <row r="238" spans="3:4" ht="15" hidden="1" customHeight="1" x14ac:dyDescent="0.2">
      <c r="C238" s="53" t="str">
        <f>IF(B264="","",IFERROR(INDEX('UNIVERSO MAESTRO'!$C$6:$C$497,MATCH(B264,'UNIVERSO MAESTRO'!$A$6:$A$497,0)),"⚠ ID no encontrado"))</f>
        <v/>
      </c>
      <c r="D238" s="54" t="str">
        <f>IF(B264="","",IFERROR(INDEX('UNIVERSO MAESTRO'!$D$6:$D$497,MATCH(B264,'UNIVERSO MAESTRO'!$A$6:$A$497,0)),""))</f>
        <v/>
      </c>
    </row>
    <row r="239" spans="3:4" ht="15" hidden="1" customHeight="1" x14ac:dyDescent="0.2">
      <c r="C239" s="53" t="str">
        <f>IF(B265="","",IFERROR(INDEX('UNIVERSO MAESTRO'!$C$6:$C$497,MATCH(B265,'UNIVERSO MAESTRO'!$A$6:$A$497,0)),"⚠ ID no encontrado"))</f>
        <v/>
      </c>
      <c r="D239" s="54" t="str">
        <f>IF(B265="","",IFERROR(INDEX('UNIVERSO MAESTRO'!$D$6:$D$497,MATCH(B265,'UNIVERSO MAESTRO'!$A$6:$A$497,0)),""))</f>
        <v/>
      </c>
    </row>
    <row r="240" spans="3:4" ht="15" hidden="1" customHeight="1" x14ac:dyDescent="0.2">
      <c r="C240" s="53" t="str">
        <f>IF(B266="","",IFERROR(INDEX('UNIVERSO MAESTRO'!$C$6:$C$497,MATCH(B266,'UNIVERSO MAESTRO'!$A$6:$A$497,0)),"⚠ ID no encontrado"))</f>
        <v/>
      </c>
      <c r="D240" s="54" t="str">
        <f>IF(B266="","",IFERROR(INDEX('UNIVERSO MAESTRO'!$D$6:$D$497,MATCH(B266,'UNIVERSO MAESTRO'!$A$6:$A$497,0)),""))</f>
        <v/>
      </c>
    </row>
    <row r="241" spans="3:4" ht="15" hidden="1" customHeight="1" x14ac:dyDescent="0.2">
      <c r="C241" s="53" t="str">
        <f>IF(B267="","",IFERROR(INDEX('UNIVERSO MAESTRO'!$C$6:$C$497,MATCH(B267,'UNIVERSO MAESTRO'!$A$6:$A$497,0)),"⚠ ID no encontrado"))</f>
        <v/>
      </c>
      <c r="D241" s="54" t="str">
        <f>IF(B267="","",IFERROR(INDEX('UNIVERSO MAESTRO'!$D$6:$D$497,MATCH(B267,'UNIVERSO MAESTRO'!$A$6:$A$497,0)),""))</f>
        <v/>
      </c>
    </row>
    <row r="242" spans="3:4" ht="15" hidden="1" customHeight="1" x14ac:dyDescent="0.2">
      <c r="C242" s="53" t="str">
        <f>IF(B268="","",IFERROR(INDEX('UNIVERSO MAESTRO'!$C$6:$C$497,MATCH(B268,'UNIVERSO MAESTRO'!$A$6:$A$497,0)),"⚠ ID no encontrado"))</f>
        <v/>
      </c>
      <c r="D242" s="54" t="str">
        <f>IF(B268="","",IFERROR(INDEX('UNIVERSO MAESTRO'!$D$6:$D$497,MATCH(B268,'UNIVERSO MAESTRO'!$A$6:$A$497,0)),""))</f>
        <v/>
      </c>
    </row>
    <row r="243" spans="3:4" ht="15" hidden="1" customHeight="1" x14ac:dyDescent="0.2">
      <c r="C243" s="53" t="str">
        <f>IF(B269="","",IFERROR(INDEX('UNIVERSO MAESTRO'!$C$6:$C$497,MATCH(B269,'UNIVERSO MAESTRO'!$A$6:$A$497,0)),"⚠ ID no encontrado"))</f>
        <v/>
      </c>
      <c r="D243" s="54" t="str">
        <f>IF(B269="","",IFERROR(INDEX('UNIVERSO MAESTRO'!$D$6:$D$497,MATCH(B269,'UNIVERSO MAESTRO'!$A$6:$A$497,0)),""))</f>
        <v/>
      </c>
    </row>
    <row r="244" spans="3:4" ht="15" hidden="1" customHeight="1" x14ac:dyDescent="0.2">
      <c r="C244" s="53" t="str">
        <f>IF(B270="","",IFERROR(INDEX('UNIVERSO MAESTRO'!$C$6:$C$497,MATCH(B270,'UNIVERSO MAESTRO'!$A$6:$A$497,0)),"⚠ ID no encontrado"))</f>
        <v/>
      </c>
      <c r="D244" s="54" t="str">
        <f>IF(B270="","",IFERROR(INDEX('UNIVERSO MAESTRO'!$D$6:$D$497,MATCH(B270,'UNIVERSO MAESTRO'!$A$6:$A$497,0)),""))</f>
        <v/>
      </c>
    </row>
    <row r="245" spans="3:4" ht="15" hidden="1" customHeight="1" x14ac:dyDescent="0.2">
      <c r="C245" s="53" t="str">
        <f>IF(B271="","",IFERROR(INDEX('UNIVERSO MAESTRO'!$C$6:$C$497,MATCH(B271,'UNIVERSO MAESTRO'!$A$6:$A$497,0)),"⚠ ID no encontrado"))</f>
        <v/>
      </c>
      <c r="D245" s="54" t="str">
        <f>IF(B271="","",IFERROR(INDEX('UNIVERSO MAESTRO'!$D$6:$D$497,MATCH(B271,'UNIVERSO MAESTRO'!$A$6:$A$497,0)),""))</f>
        <v/>
      </c>
    </row>
    <row r="246" spans="3:4" ht="15" hidden="1" customHeight="1" x14ac:dyDescent="0.2">
      <c r="C246" s="53" t="str">
        <f>IF(B272="","",IFERROR(INDEX('UNIVERSO MAESTRO'!$C$6:$C$497,MATCH(B272,'UNIVERSO MAESTRO'!$A$6:$A$497,0)),"⚠ ID no encontrado"))</f>
        <v/>
      </c>
      <c r="D246" s="54" t="str">
        <f>IF(B272="","",IFERROR(INDEX('UNIVERSO MAESTRO'!$D$6:$D$497,MATCH(B272,'UNIVERSO MAESTRO'!$A$6:$A$497,0)),""))</f>
        <v/>
      </c>
    </row>
    <row r="247" spans="3:4" ht="15" hidden="1" customHeight="1" x14ac:dyDescent="0.2">
      <c r="C247" s="53" t="str">
        <f>IF(B273="","",IFERROR(INDEX('UNIVERSO MAESTRO'!$C$6:$C$497,MATCH(B273,'UNIVERSO MAESTRO'!$A$6:$A$497,0)),"⚠ ID no encontrado"))</f>
        <v/>
      </c>
      <c r="D247" s="54" t="str">
        <f>IF(B273="","",IFERROR(INDEX('UNIVERSO MAESTRO'!$D$6:$D$497,MATCH(B273,'UNIVERSO MAESTRO'!$A$6:$A$497,0)),""))</f>
        <v/>
      </c>
    </row>
    <row r="248" spans="3:4" ht="15" hidden="1" customHeight="1" x14ac:dyDescent="0.2">
      <c r="C248" s="53" t="str">
        <f>IF(B274="","",IFERROR(INDEX('UNIVERSO MAESTRO'!$C$6:$C$497,MATCH(B274,'UNIVERSO MAESTRO'!$A$6:$A$497,0)),"⚠ ID no encontrado"))</f>
        <v/>
      </c>
      <c r="D248" s="54" t="str">
        <f>IF(B274="","",IFERROR(INDEX('UNIVERSO MAESTRO'!$D$6:$D$497,MATCH(B274,'UNIVERSO MAESTRO'!$A$6:$A$497,0)),""))</f>
        <v/>
      </c>
    </row>
    <row r="249" spans="3:4" ht="15" hidden="1" customHeight="1" x14ac:dyDescent="0.2">
      <c r="C249" s="53" t="str">
        <f>IF(B275="","",IFERROR(INDEX('UNIVERSO MAESTRO'!$C$6:$C$497,MATCH(B275,'UNIVERSO MAESTRO'!$A$6:$A$497,0)),"⚠ ID no encontrado"))</f>
        <v/>
      </c>
      <c r="D249" s="54" t="str">
        <f>IF(B275="","",IFERROR(INDEX('UNIVERSO MAESTRO'!$D$6:$D$497,MATCH(B275,'UNIVERSO MAESTRO'!$A$6:$A$497,0)),""))</f>
        <v/>
      </c>
    </row>
    <row r="250" spans="3:4" ht="15" hidden="1" customHeight="1" x14ac:dyDescent="0.2">
      <c r="C250" s="53" t="str">
        <f>IF(B276="","",IFERROR(INDEX('UNIVERSO MAESTRO'!$C$6:$C$497,MATCH(B276,'UNIVERSO MAESTRO'!$A$6:$A$497,0)),"⚠ ID no encontrado"))</f>
        <v/>
      </c>
      <c r="D250" s="54" t="str">
        <f>IF(B276="","",IFERROR(INDEX('UNIVERSO MAESTRO'!$D$6:$D$497,MATCH(B276,'UNIVERSO MAESTRO'!$A$6:$A$497,0)),""))</f>
        <v/>
      </c>
    </row>
    <row r="251" spans="3:4" ht="15" hidden="1" customHeight="1" x14ac:dyDescent="0.2">
      <c r="C251" s="53" t="str">
        <f>IF(B277="","",IFERROR(INDEX('UNIVERSO MAESTRO'!$C$6:$C$497,MATCH(B277,'UNIVERSO MAESTRO'!$A$6:$A$497,0)),"⚠ ID no encontrado"))</f>
        <v/>
      </c>
      <c r="D251" s="54" t="str">
        <f>IF(B277="","",IFERROR(INDEX('UNIVERSO MAESTRO'!$D$6:$D$497,MATCH(B277,'UNIVERSO MAESTRO'!$A$6:$A$497,0)),""))</f>
        <v/>
      </c>
    </row>
    <row r="252" spans="3:4" ht="15" hidden="1" customHeight="1" x14ac:dyDescent="0.2">
      <c r="C252" s="53" t="str">
        <f>IF(B278="","",IFERROR(INDEX('UNIVERSO MAESTRO'!$C$6:$C$497,MATCH(B278,'UNIVERSO MAESTRO'!$A$6:$A$497,0)),"⚠ ID no encontrado"))</f>
        <v/>
      </c>
      <c r="D252" s="54" t="str">
        <f>IF(B278="","",IFERROR(INDEX('UNIVERSO MAESTRO'!$D$6:$D$497,MATCH(B278,'UNIVERSO MAESTRO'!$A$6:$A$497,0)),""))</f>
        <v/>
      </c>
    </row>
    <row r="253" spans="3:4" ht="15" hidden="1" customHeight="1" x14ac:dyDescent="0.2">
      <c r="C253" s="53" t="str">
        <f>IF(B279="","",IFERROR(INDEX('UNIVERSO MAESTRO'!$C$6:$C$497,MATCH(B279,'UNIVERSO MAESTRO'!$A$6:$A$497,0)),"⚠ ID no encontrado"))</f>
        <v/>
      </c>
      <c r="D253" s="54" t="str">
        <f>IF(B279="","",IFERROR(INDEX('UNIVERSO MAESTRO'!$D$6:$D$497,MATCH(B279,'UNIVERSO MAESTRO'!$A$6:$A$497,0)),""))</f>
        <v/>
      </c>
    </row>
    <row r="254" spans="3:4" ht="15" hidden="1" customHeight="1" x14ac:dyDescent="0.2">
      <c r="C254" s="53" t="str">
        <f>IF(B280="","",IFERROR(INDEX('UNIVERSO MAESTRO'!$C$6:$C$497,MATCH(B280,'UNIVERSO MAESTRO'!$A$6:$A$497,0)),"⚠ ID no encontrado"))</f>
        <v/>
      </c>
      <c r="D254" s="54" t="str">
        <f>IF(B280="","",IFERROR(INDEX('UNIVERSO MAESTRO'!$D$6:$D$497,MATCH(B280,'UNIVERSO MAESTRO'!$A$6:$A$497,0)),""))</f>
        <v/>
      </c>
    </row>
    <row r="255" spans="3:4" ht="15" hidden="1" customHeight="1" x14ac:dyDescent="0.2">
      <c r="C255" s="53" t="str">
        <f>IF(B281="","",IFERROR(INDEX('UNIVERSO MAESTRO'!$C$6:$C$497,MATCH(B281,'UNIVERSO MAESTRO'!$A$6:$A$497,0)),"⚠ ID no encontrado"))</f>
        <v/>
      </c>
      <c r="D255" s="54" t="str">
        <f>IF(B281="","",IFERROR(INDEX('UNIVERSO MAESTRO'!$D$6:$D$497,MATCH(B281,'UNIVERSO MAESTRO'!$A$6:$A$497,0)),""))</f>
        <v/>
      </c>
    </row>
    <row r="256" spans="3:4" ht="15" hidden="1" customHeight="1" x14ac:dyDescent="0.2">
      <c r="C256" s="53" t="str">
        <f>IF(B282="","",IFERROR(INDEX('UNIVERSO MAESTRO'!$C$6:$C$497,MATCH(B282,'UNIVERSO MAESTRO'!$A$6:$A$497,0)),"⚠ ID no encontrado"))</f>
        <v/>
      </c>
      <c r="D256" s="54" t="str">
        <f>IF(B282="","",IFERROR(INDEX('UNIVERSO MAESTRO'!$D$6:$D$497,MATCH(B282,'UNIVERSO MAESTRO'!$A$6:$A$497,0)),""))</f>
        <v/>
      </c>
    </row>
    <row r="257" spans="3:4" ht="15" hidden="1" customHeight="1" x14ac:dyDescent="0.2">
      <c r="C257" s="53" t="str">
        <f>IF(B283="","",IFERROR(INDEX('UNIVERSO MAESTRO'!$C$6:$C$497,MATCH(B283,'UNIVERSO MAESTRO'!$A$6:$A$497,0)),"⚠ ID no encontrado"))</f>
        <v/>
      </c>
      <c r="D257" s="54" t="str">
        <f>IF(B283="","",IFERROR(INDEX('UNIVERSO MAESTRO'!$D$6:$D$497,MATCH(B283,'UNIVERSO MAESTRO'!$A$6:$A$497,0)),""))</f>
        <v/>
      </c>
    </row>
    <row r="258" spans="3:4" ht="15" hidden="1" customHeight="1" x14ac:dyDescent="0.2">
      <c r="C258" s="53" t="str">
        <f>IF(B284="","",IFERROR(INDEX('UNIVERSO MAESTRO'!$C$6:$C$497,MATCH(B284,'UNIVERSO MAESTRO'!$A$6:$A$497,0)),"⚠ ID no encontrado"))</f>
        <v/>
      </c>
      <c r="D258" s="54" t="str">
        <f>IF(B284="","",IFERROR(INDEX('UNIVERSO MAESTRO'!$D$6:$D$497,MATCH(B284,'UNIVERSO MAESTRO'!$A$6:$A$497,0)),""))</f>
        <v/>
      </c>
    </row>
    <row r="259" spans="3:4" ht="15" hidden="1" customHeight="1" x14ac:dyDescent="0.2">
      <c r="C259" s="53" t="str">
        <f>IF(B285="","",IFERROR(INDEX('UNIVERSO MAESTRO'!$C$6:$C$497,MATCH(B285,'UNIVERSO MAESTRO'!$A$6:$A$497,0)),"⚠ ID no encontrado"))</f>
        <v/>
      </c>
      <c r="D259" s="54" t="str">
        <f>IF(B285="","",IFERROR(INDEX('UNIVERSO MAESTRO'!$D$6:$D$497,MATCH(B285,'UNIVERSO MAESTRO'!$A$6:$A$497,0)),""))</f>
        <v/>
      </c>
    </row>
    <row r="260" spans="3:4" ht="15" hidden="1" customHeight="1" x14ac:dyDescent="0.2">
      <c r="C260" s="53" t="str">
        <f>IF(B286="","",IFERROR(INDEX('UNIVERSO MAESTRO'!$C$6:$C$497,MATCH(B286,'UNIVERSO MAESTRO'!$A$6:$A$497,0)),"⚠ ID no encontrado"))</f>
        <v/>
      </c>
      <c r="D260" s="54" t="str">
        <f>IF(B286="","",IFERROR(INDEX('UNIVERSO MAESTRO'!$D$6:$D$497,MATCH(B286,'UNIVERSO MAESTRO'!$A$6:$A$497,0)),""))</f>
        <v/>
      </c>
    </row>
    <row r="261" spans="3:4" ht="15" hidden="1" customHeight="1" x14ac:dyDescent="0.2">
      <c r="C261" s="53" t="str">
        <f>IF(B287="","",IFERROR(INDEX('UNIVERSO MAESTRO'!$C$6:$C$497,MATCH(B287,'UNIVERSO MAESTRO'!$A$6:$A$497,0)),"⚠ ID no encontrado"))</f>
        <v/>
      </c>
      <c r="D261" s="54" t="str">
        <f>IF(B287="","",IFERROR(INDEX('UNIVERSO MAESTRO'!$D$6:$D$497,MATCH(B287,'UNIVERSO MAESTRO'!$A$6:$A$497,0)),""))</f>
        <v/>
      </c>
    </row>
    <row r="262" spans="3:4" ht="15" hidden="1" customHeight="1" x14ac:dyDescent="0.2">
      <c r="C262" s="53" t="str">
        <f>IF(B288="","",IFERROR(INDEX('UNIVERSO MAESTRO'!$C$6:$C$497,MATCH(B288,'UNIVERSO MAESTRO'!$A$6:$A$497,0)),"⚠ ID no encontrado"))</f>
        <v/>
      </c>
      <c r="D262" s="54" t="str">
        <f>IF(B288="","",IFERROR(INDEX('UNIVERSO MAESTRO'!$D$6:$D$497,MATCH(B288,'UNIVERSO MAESTRO'!$A$6:$A$497,0)),""))</f>
        <v/>
      </c>
    </row>
    <row r="263" spans="3:4" ht="15" hidden="1" customHeight="1" x14ac:dyDescent="0.2">
      <c r="C263" s="53" t="str">
        <f>IF(B289="","",IFERROR(INDEX('UNIVERSO MAESTRO'!$C$6:$C$497,MATCH(B289,'UNIVERSO MAESTRO'!$A$6:$A$497,0)),"⚠ ID no encontrado"))</f>
        <v/>
      </c>
      <c r="D263" s="54" t="str">
        <f>IF(B289="","",IFERROR(INDEX('UNIVERSO MAESTRO'!$D$6:$D$497,MATCH(B289,'UNIVERSO MAESTRO'!$A$6:$A$497,0)),""))</f>
        <v/>
      </c>
    </row>
    <row r="264" spans="3:4" ht="15" hidden="1" customHeight="1" x14ac:dyDescent="0.2">
      <c r="C264" s="53" t="str">
        <f>IF(B290="","",IFERROR(INDEX('UNIVERSO MAESTRO'!$C$6:$C$497,MATCH(B290,'UNIVERSO MAESTRO'!$A$6:$A$497,0)),"⚠ ID no encontrado"))</f>
        <v/>
      </c>
      <c r="D264" s="54" t="str">
        <f>IF(B290="","",IFERROR(INDEX('UNIVERSO MAESTRO'!$D$6:$D$497,MATCH(B290,'UNIVERSO MAESTRO'!$A$6:$A$497,0)),""))</f>
        <v/>
      </c>
    </row>
    <row r="265" spans="3:4" ht="15" hidden="1" customHeight="1" x14ac:dyDescent="0.2">
      <c r="C265" s="53" t="str">
        <f>IF(B291="","",IFERROR(INDEX('UNIVERSO MAESTRO'!$C$6:$C$497,MATCH(B291,'UNIVERSO MAESTRO'!$A$6:$A$497,0)),"⚠ ID no encontrado"))</f>
        <v/>
      </c>
      <c r="D265" s="54" t="str">
        <f>IF(B291="","",IFERROR(INDEX('UNIVERSO MAESTRO'!$D$6:$D$497,MATCH(B291,'UNIVERSO MAESTRO'!$A$6:$A$497,0)),""))</f>
        <v/>
      </c>
    </row>
    <row r="266" spans="3:4" ht="15" hidden="1" customHeight="1" x14ac:dyDescent="0.2">
      <c r="C266" s="53" t="str">
        <f>IF(B292="","",IFERROR(INDEX('UNIVERSO MAESTRO'!$C$6:$C$497,MATCH(B292,'UNIVERSO MAESTRO'!$A$6:$A$497,0)),"⚠ ID no encontrado"))</f>
        <v/>
      </c>
      <c r="D266" s="54" t="str">
        <f>IF(B292="","",IFERROR(INDEX('UNIVERSO MAESTRO'!$D$6:$D$497,MATCH(B292,'UNIVERSO MAESTRO'!$A$6:$A$497,0)),""))</f>
        <v/>
      </c>
    </row>
    <row r="267" spans="3:4" ht="15" hidden="1" customHeight="1" x14ac:dyDescent="0.2">
      <c r="C267" s="53" t="str">
        <f>IF(B293="","",IFERROR(INDEX('UNIVERSO MAESTRO'!$C$6:$C$497,MATCH(B293,'UNIVERSO MAESTRO'!$A$6:$A$497,0)),"⚠ ID no encontrado"))</f>
        <v/>
      </c>
      <c r="D267" s="54" t="str">
        <f>IF(B293="","",IFERROR(INDEX('UNIVERSO MAESTRO'!$D$6:$D$497,MATCH(B293,'UNIVERSO MAESTRO'!$A$6:$A$497,0)),""))</f>
        <v/>
      </c>
    </row>
    <row r="268" spans="3:4" ht="15" hidden="1" customHeight="1" x14ac:dyDescent="0.2">
      <c r="C268" s="53" t="str">
        <f>IF(B294="","",IFERROR(INDEX('UNIVERSO MAESTRO'!$C$6:$C$497,MATCH(B294,'UNIVERSO MAESTRO'!$A$6:$A$497,0)),"⚠ ID no encontrado"))</f>
        <v/>
      </c>
      <c r="D268" s="54" t="str">
        <f>IF(B294="","",IFERROR(INDEX('UNIVERSO MAESTRO'!$D$6:$D$497,MATCH(B294,'UNIVERSO MAESTRO'!$A$6:$A$497,0)),""))</f>
        <v/>
      </c>
    </row>
    <row r="269" spans="3:4" ht="15" hidden="1" customHeight="1" x14ac:dyDescent="0.2">
      <c r="C269" s="53" t="str">
        <f>IF(B295="","",IFERROR(INDEX('UNIVERSO MAESTRO'!$C$6:$C$497,MATCH(B295,'UNIVERSO MAESTRO'!$A$6:$A$497,0)),"⚠ ID no encontrado"))</f>
        <v/>
      </c>
      <c r="D269" s="54" t="str">
        <f>IF(B295="","",IFERROR(INDEX('UNIVERSO MAESTRO'!$D$6:$D$497,MATCH(B295,'UNIVERSO MAESTRO'!$A$6:$A$497,0)),""))</f>
        <v/>
      </c>
    </row>
    <row r="270" spans="3:4" ht="15" hidden="1" customHeight="1" x14ac:dyDescent="0.2">
      <c r="C270" s="53" t="str">
        <f>IF(B296="","",IFERROR(INDEX('UNIVERSO MAESTRO'!$C$6:$C$497,MATCH(B296,'UNIVERSO MAESTRO'!$A$6:$A$497,0)),"⚠ ID no encontrado"))</f>
        <v/>
      </c>
      <c r="D270" s="54" t="str">
        <f>IF(B296="","",IFERROR(INDEX('UNIVERSO MAESTRO'!$D$6:$D$497,MATCH(B296,'UNIVERSO MAESTRO'!$A$6:$A$497,0)),""))</f>
        <v/>
      </c>
    </row>
    <row r="271" spans="3:4" ht="15" hidden="1" customHeight="1" x14ac:dyDescent="0.2">
      <c r="C271" s="53" t="str">
        <f>IF(B297="","",IFERROR(INDEX('UNIVERSO MAESTRO'!$C$6:$C$497,MATCH(B297,'UNIVERSO MAESTRO'!$A$6:$A$497,0)),"⚠ ID no encontrado"))</f>
        <v/>
      </c>
      <c r="D271" s="54" t="str">
        <f>IF(B297="","",IFERROR(INDEX('UNIVERSO MAESTRO'!$D$6:$D$497,MATCH(B297,'UNIVERSO MAESTRO'!$A$6:$A$497,0)),""))</f>
        <v/>
      </c>
    </row>
    <row r="272" spans="3:4" ht="15" hidden="1" customHeight="1" x14ac:dyDescent="0.2">
      <c r="C272" s="53" t="str">
        <f>IF(B298="","",IFERROR(INDEX('UNIVERSO MAESTRO'!$C$6:$C$497,MATCH(B298,'UNIVERSO MAESTRO'!$A$6:$A$497,0)),"⚠ ID no encontrado"))</f>
        <v/>
      </c>
      <c r="D272" s="54" t="str">
        <f>IF(B298="","",IFERROR(INDEX('UNIVERSO MAESTRO'!$D$6:$D$497,MATCH(B298,'UNIVERSO MAESTRO'!$A$6:$A$497,0)),""))</f>
        <v/>
      </c>
    </row>
    <row r="273" spans="3:4" ht="15" hidden="1" customHeight="1" x14ac:dyDescent="0.2">
      <c r="C273" s="53" t="str">
        <f>IF(B299="","",IFERROR(INDEX('UNIVERSO MAESTRO'!$C$6:$C$497,MATCH(B299,'UNIVERSO MAESTRO'!$A$6:$A$497,0)),"⚠ ID no encontrado"))</f>
        <v/>
      </c>
      <c r="D273" s="54" t="str">
        <f>IF(B299="","",IFERROR(INDEX('UNIVERSO MAESTRO'!$D$6:$D$497,MATCH(B299,'UNIVERSO MAESTRO'!$A$6:$A$497,0)),""))</f>
        <v/>
      </c>
    </row>
    <row r="274" spans="3:4" ht="15" hidden="1" customHeight="1" x14ac:dyDescent="0.2">
      <c r="C274" s="53" t="str">
        <f>IF(B300="","",IFERROR(INDEX('UNIVERSO MAESTRO'!$C$6:$C$497,MATCH(B300,'UNIVERSO MAESTRO'!$A$6:$A$497,0)),"⚠ ID no encontrado"))</f>
        <v/>
      </c>
      <c r="D274" s="54" t="str">
        <f>IF(B300="","",IFERROR(INDEX('UNIVERSO MAESTRO'!$D$6:$D$497,MATCH(B300,'UNIVERSO MAESTRO'!$A$6:$A$497,0)),""))</f>
        <v/>
      </c>
    </row>
    <row r="275" spans="3:4" ht="15" hidden="1" customHeight="1" x14ac:dyDescent="0.2">
      <c r="C275" s="53" t="str">
        <f>IF(B301="","",IFERROR(INDEX('UNIVERSO MAESTRO'!$C$6:$C$497,MATCH(B301,'UNIVERSO MAESTRO'!$A$6:$A$497,0)),"⚠ ID no encontrado"))</f>
        <v/>
      </c>
      <c r="D275" s="54" t="str">
        <f>IF(B301="","",IFERROR(INDEX('UNIVERSO MAESTRO'!$D$6:$D$497,MATCH(B301,'UNIVERSO MAESTRO'!$A$6:$A$497,0)),""))</f>
        <v/>
      </c>
    </row>
    <row r="276" spans="3:4" ht="15" hidden="1" customHeight="1" x14ac:dyDescent="0.2">
      <c r="C276" s="53" t="str">
        <f>IF(B302="","",IFERROR(INDEX('UNIVERSO MAESTRO'!$C$6:$C$497,MATCH(B302,'UNIVERSO MAESTRO'!$A$6:$A$497,0)),"⚠ ID no encontrado"))</f>
        <v/>
      </c>
      <c r="D276" s="54" t="str">
        <f>IF(B302="","",IFERROR(INDEX('UNIVERSO MAESTRO'!$D$6:$D$497,MATCH(B302,'UNIVERSO MAESTRO'!$A$6:$A$497,0)),""))</f>
        <v/>
      </c>
    </row>
    <row r="277" spans="3:4" ht="15" hidden="1" customHeight="1" x14ac:dyDescent="0.2">
      <c r="C277" s="53" t="str">
        <f>IF(B303="","",IFERROR(INDEX('UNIVERSO MAESTRO'!$C$6:$C$497,MATCH(B303,'UNIVERSO MAESTRO'!$A$6:$A$497,0)),"⚠ ID no encontrado"))</f>
        <v/>
      </c>
      <c r="D277" s="54" t="str">
        <f>IF(B303="","",IFERROR(INDEX('UNIVERSO MAESTRO'!$D$6:$D$497,MATCH(B303,'UNIVERSO MAESTRO'!$A$6:$A$497,0)),""))</f>
        <v/>
      </c>
    </row>
    <row r="278" spans="3:4" ht="15" hidden="1" customHeight="1" x14ac:dyDescent="0.2">
      <c r="C278" s="53" t="str">
        <f>IF(B304="","",IFERROR(INDEX('UNIVERSO MAESTRO'!$C$6:$C$497,MATCH(B304,'UNIVERSO MAESTRO'!$A$6:$A$497,0)),"⚠ ID no encontrado"))</f>
        <v/>
      </c>
      <c r="D278" s="54" t="str">
        <f>IF(B304="","",IFERROR(INDEX('UNIVERSO MAESTRO'!$D$6:$D$497,MATCH(B304,'UNIVERSO MAESTRO'!$A$6:$A$497,0)),""))</f>
        <v/>
      </c>
    </row>
    <row r="279" spans="3:4" ht="15" hidden="1" customHeight="1" x14ac:dyDescent="0.2">
      <c r="C279" s="53" t="str">
        <f>IF(B305="","",IFERROR(INDEX('UNIVERSO MAESTRO'!$C$6:$C$497,MATCH(B305,'UNIVERSO MAESTRO'!$A$6:$A$497,0)),"⚠ ID no encontrado"))</f>
        <v/>
      </c>
      <c r="D279" s="54" t="str">
        <f>IF(B305="","",IFERROR(INDEX('UNIVERSO MAESTRO'!$D$6:$D$497,MATCH(B305,'UNIVERSO MAESTRO'!$A$6:$A$497,0)),""))</f>
        <v/>
      </c>
    </row>
    <row r="280" spans="3:4" ht="15" hidden="1" customHeight="1" x14ac:dyDescent="0.2">
      <c r="C280" s="53" t="str">
        <f>IF(B306="","",IFERROR(INDEX('UNIVERSO MAESTRO'!$C$6:$C$497,MATCH(B306,'UNIVERSO MAESTRO'!$A$6:$A$497,0)),"⚠ ID no encontrado"))</f>
        <v/>
      </c>
      <c r="D280" s="54" t="str">
        <f>IF(B306="","",IFERROR(INDEX('UNIVERSO MAESTRO'!$D$6:$D$497,MATCH(B306,'UNIVERSO MAESTRO'!$A$6:$A$497,0)),""))</f>
        <v/>
      </c>
    </row>
    <row r="281" spans="3:4" ht="15" hidden="1" customHeight="1" x14ac:dyDescent="0.2">
      <c r="C281" s="53" t="str">
        <f>IF(B307="","",IFERROR(INDEX('UNIVERSO MAESTRO'!$C$6:$C$497,MATCH(B307,'UNIVERSO MAESTRO'!$A$6:$A$497,0)),"⚠ ID no encontrado"))</f>
        <v/>
      </c>
      <c r="D281" s="54" t="str">
        <f>IF(B307="","",IFERROR(INDEX('UNIVERSO MAESTRO'!$D$6:$D$497,MATCH(B307,'UNIVERSO MAESTRO'!$A$6:$A$497,0)),""))</f>
        <v/>
      </c>
    </row>
    <row r="282" spans="3:4" ht="15" hidden="1" customHeight="1" x14ac:dyDescent="0.2">
      <c r="C282" s="53" t="str">
        <f>IF(B308="","",IFERROR(INDEX('UNIVERSO MAESTRO'!$C$6:$C$497,MATCH(B308,'UNIVERSO MAESTRO'!$A$6:$A$497,0)),"⚠ ID no encontrado"))</f>
        <v/>
      </c>
      <c r="D282" s="54" t="str">
        <f>IF(B308="","",IFERROR(INDEX('UNIVERSO MAESTRO'!$D$6:$D$497,MATCH(B308,'UNIVERSO MAESTRO'!$A$6:$A$497,0)),""))</f>
        <v/>
      </c>
    </row>
    <row r="283" spans="3:4" ht="15" hidden="1" customHeight="1" x14ac:dyDescent="0.2">
      <c r="C283" s="53" t="str">
        <f>IF(B309="","",IFERROR(INDEX('UNIVERSO MAESTRO'!$C$6:$C$497,MATCH(B309,'UNIVERSO MAESTRO'!$A$6:$A$497,0)),"⚠ ID no encontrado"))</f>
        <v/>
      </c>
      <c r="D283" s="54" t="str">
        <f>IF(B309="","",IFERROR(INDEX('UNIVERSO MAESTRO'!$D$6:$D$497,MATCH(B309,'UNIVERSO MAESTRO'!$A$6:$A$497,0)),""))</f>
        <v/>
      </c>
    </row>
    <row r="284" spans="3:4" ht="15" hidden="1" customHeight="1" x14ac:dyDescent="0.2">
      <c r="C284" s="53" t="str">
        <f>IF(B310="","",IFERROR(INDEX('UNIVERSO MAESTRO'!$C$6:$C$497,MATCH(B310,'UNIVERSO MAESTRO'!$A$6:$A$497,0)),"⚠ ID no encontrado"))</f>
        <v/>
      </c>
      <c r="D284" s="54" t="str">
        <f>IF(B310="","",IFERROR(INDEX('UNIVERSO MAESTRO'!$D$6:$D$497,MATCH(B310,'UNIVERSO MAESTRO'!$A$6:$A$497,0)),""))</f>
        <v/>
      </c>
    </row>
    <row r="285" spans="3:4" ht="15" hidden="1" customHeight="1" x14ac:dyDescent="0.2">
      <c r="C285" s="53" t="str">
        <f>IF(B311="","",IFERROR(INDEX('UNIVERSO MAESTRO'!$C$6:$C$497,MATCH(B311,'UNIVERSO MAESTRO'!$A$6:$A$497,0)),"⚠ ID no encontrado"))</f>
        <v/>
      </c>
      <c r="D285" s="54" t="str">
        <f>IF(B311="","",IFERROR(INDEX('UNIVERSO MAESTRO'!$D$6:$D$497,MATCH(B311,'UNIVERSO MAESTRO'!$A$6:$A$497,0)),""))</f>
        <v/>
      </c>
    </row>
    <row r="286" spans="3:4" ht="15" hidden="1" customHeight="1" x14ac:dyDescent="0.2">
      <c r="C286" s="53" t="str">
        <f>IF(B312="","",IFERROR(INDEX('UNIVERSO MAESTRO'!$C$6:$C$497,MATCH(B312,'UNIVERSO MAESTRO'!$A$6:$A$497,0)),"⚠ ID no encontrado"))</f>
        <v/>
      </c>
      <c r="D286" s="54" t="str">
        <f>IF(B312="","",IFERROR(INDEX('UNIVERSO MAESTRO'!$D$6:$D$497,MATCH(B312,'UNIVERSO MAESTRO'!$A$6:$A$497,0)),""))</f>
        <v/>
      </c>
    </row>
    <row r="287" spans="3:4" ht="15" hidden="1" customHeight="1" x14ac:dyDescent="0.2">
      <c r="C287" s="53" t="str">
        <f>IF(B313="","",IFERROR(INDEX('UNIVERSO MAESTRO'!$C$6:$C$497,MATCH(B313,'UNIVERSO MAESTRO'!$A$6:$A$497,0)),"⚠ ID no encontrado"))</f>
        <v/>
      </c>
      <c r="D287" s="54" t="str">
        <f>IF(B313="","",IFERROR(INDEX('UNIVERSO MAESTRO'!$D$6:$D$497,MATCH(B313,'UNIVERSO MAESTRO'!$A$6:$A$497,0)),""))</f>
        <v/>
      </c>
    </row>
    <row r="288" spans="3:4" ht="15" hidden="1" customHeight="1" x14ac:dyDescent="0.2">
      <c r="C288" s="53" t="str">
        <f>IF(B314="","",IFERROR(INDEX('UNIVERSO MAESTRO'!$C$6:$C$497,MATCH(B314,'UNIVERSO MAESTRO'!$A$6:$A$497,0)),"⚠ ID no encontrado"))</f>
        <v/>
      </c>
      <c r="D288" s="54" t="str">
        <f>IF(B314="","",IFERROR(INDEX('UNIVERSO MAESTRO'!$D$6:$D$497,MATCH(B314,'UNIVERSO MAESTRO'!$A$6:$A$497,0)),""))</f>
        <v/>
      </c>
    </row>
    <row r="289" spans="3:4" ht="15" hidden="1" customHeight="1" x14ac:dyDescent="0.2">
      <c r="C289" s="53" t="str">
        <f>IF(B315="","",IFERROR(INDEX('UNIVERSO MAESTRO'!$C$6:$C$497,MATCH(B315,'UNIVERSO MAESTRO'!$A$6:$A$497,0)),"⚠ ID no encontrado"))</f>
        <v/>
      </c>
      <c r="D289" s="54" t="str">
        <f>IF(B315="","",IFERROR(INDEX('UNIVERSO MAESTRO'!$D$6:$D$497,MATCH(B315,'UNIVERSO MAESTRO'!$A$6:$A$497,0)),""))</f>
        <v/>
      </c>
    </row>
    <row r="290" spans="3:4" ht="15" hidden="1" customHeight="1" x14ac:dyDescent="0.2">
      <c r="C290" s="53" t="str">
        <f>IF(B316="","",IFERROR(INDEX('UNIVERSO MAESTRO'!$C$6:$C$497,MATCH(B316,'UNIVERSO MAESTRO'!$A$6:$A$497,0)),"⚠ ID no encontrado"))</f>
        <v/>
      </c>
      <c r="D290" s="54" t="str">
        <f>IF(B316="","",IFERROR(INDEX('UNIVERSO MAESTRO'!$D$6:$D$497,MATCH(B316,'UNIVERSO MAESTRO'!$A$6:$A$497,0)),""))</f>
        <v/>
      </c>
    </row>
    <row r="291" spans="3:4" ht="15" hidden="1" customHeight="1" x14ac:dyDescent="0.2">
      <c r="C291" s="53" t="str">
        <f>IF(B317="","",IFERROR(INDEX('UNIVERSO MAESTRO'!$C$6:$C$497,MATCH(B317,'UNIVERSO MAESTRO'!$A$6:$A$497,0)),"⚠ ID no encontrado"))</f>
        <v/>
      </c>
      <c r="D291" s="54" t="str">
        <f>IF(B317="","",IFERROR(INDEX('UNIVERSO MAESTRO'!$D$6:$D$497,MATCH(B317,'UNIVERSO MAESTRO'!$A$6:$A$497,0)),""))</f>
        <v/>
      </c>
    </row>
    <row r="292" spans="3:4" ht="15" hidden="1" customHeight="1" x14ac:dyDescent="0.2">
      <c r="C292" s="53" t="str">
        <f>IF(B318="","",IFERROR(INDEX('UNIVERSO MAESTRO'!$C$6:$C$497,MATCH(B318,'UNIVERSO MAESTRO'!$A$6:$A$497,0)),"⚠ ID no encontrado"))</f>
        <v/>
      </c>
      <c r="D292" s="54" t="str">
        <f>IF(B318="","",IFERROR(INDEX('UNIVERSO MAESTRO'!$D$6:$D$497,MATCH(B318,'UNIVERSO MAESTRO'!$A$6:$A$497,0)),""))</f>
        <v/>
      </c>
    </row>
    <row r="293" spans="3:4" ht="15" hidden="1" customHeight="1" x14ac:dyDescent="0.2">
      <c r="C293" s="53" t="str">
        <f>IF(B319="","",IFERROR(INDEX('UNIVERSO MAESTRO'!$C$6:$C$497,MATCH(B319,'UNIVERSO MAESTRO'!$A$6:$A$497,0)),"⚠ ID no encontrado"))</f>
        <v/>
      </c>
      <c r="D293" s="54" t="str">
        <f>IF(B319="","",IFERROR(INDEX('UNIVERSO MAESTRO'!$D$6:$D$497,MATCH(B319,'UNIVERSO MAESTRO'!$A$6:$A$497,0)),""))</f>
        <v/>
      </c>
    </row>
    <row r="294" spans="3:4" ht="15" hidden="1" customHeight="1" x14ac:dyDescent="0.2">
      <c r="C294" s="53" t="str">
        <f>IF(B320="","",IFERROR(INDEX('UNIVERSO MAESTRO'!$C$6:$C$497,MATCH(B320,'UNIVERSO MAESTRO'!$A$6:$A$497,0)),"⚠ ID no encontrado"))</f>
        <v/>
      </c>
      <c r="D294" s="54" t="str">
        <f>IF(B320="","",IFERROR(INDEX('UNIVERSO MAESTRO'!$D$6:$D$497,MATCH(B320,'UNIVERSO MAESTRO'!$A$6:$A$497,0)),""))</f>
        <v/>
      </c>
    </row>
    <row r="295" spans="3:4" ht="15" hidden="1" customHeight="1" x14ac:dyDescent="0.2">
      <c r="C295" s="53" t="str">
        <f>IF(B321="","",IFERROR(INDEX('UNIVERSO MAESTRO'!$C$6:$C$497,MATCH(B321,'UNIVERSO MAESTRO'!$A$6:$A$497,0)),"⚠ ID no encontrado"))</f>
        <v/>
      </c>
      <c r="D295" s="54" t="str">
        <f>IF(B321="","",IFERROR(INDEX('UNIVERSO MAESTRO'!$D$6:$D$497,MATCH(B321,'UNIVERSO MAESTRO'!$A$6:$A$497,0)),""))</f>
        <v/>
      </c>
    </row>
    <row r="296" spans="3:4" ht="15" hidden="1" customHeight="1" x14ac:dyDescent="0.2">
      <c r="C296" s="53" t="str">
        <f>IF(B322="","",IFERROR(INDEX('UNIVERSO MAESTRO'!$C$6:$C$497,MATCH(B322,'UNIVERSO MAESTRO'!$A$6:$A$497,0)),"⚠ ID no encontrado"))</f>
        <v/>
      </c>
      <c r="D296" s="54" t="str">
        <f>IF(B322="","",IFERROR(INDEX('UNIVERSO MAESTRO'!$D$6:$D$497,MATCH(B322,'UNIVERSO MAESTRO'!$A$6:$A$497,0)),""))</f>
        <v/>
      </c>
    </row>
    <row r="297" spans="3:4" ht="15" hidden="1" customHeight="1" x14ac:dyDescent="0.2">
      <c r="C297" s="53" t="str">
        <f>IF(B323="","",IFERROR(INDEX('UNIVERSO MAESTRO'!$C$6:$C$497,MATCH(B323,'UNIVERSO MAESTRO'!$A$6:$A$497,0)),"⚠ ID no encontrado"))</f>
        <v/>
      </c>
      <c r="D297" s="54" t="str">
        <f>IF(B323="","",IFERROR(INDEX('UNIVERSO MAESTRO'!$D$6:$D$497,MATCH(B323,'UNIVERSO MAESTRO'!$A$6:$A$497,0)),""))</f>
        <v/>
      </c>
    </row>
    <row r="298" spans="3:4" ht="15" hidden="1" customHeight="1" x14ac:dyDescent="0.2">
      <c r="C298" s="53" t="str">
        <f>IF(B324="","",IFERROR(INDEX('UNIVERSO MAESTRO'!$C$6:$C$497,MATCH(B324,'UNIVERSO MAESTRO'!$A$6:$A$497,0)),"⚠ ID no encontrado"))</f>
        <v/>
      </c>
      <c r="D298" s="54" t="str">
        <f>IF(B324="","",IFERROR(INDEX('UNIVERSO MAESTRO'!$D$6:$D$497,MATCH(B324,'UNIVERSO MAESTRO'!$A$6:$A$497,0)),""))</f>
        <v/>
      </c>
    </row>
    <row r="299" spans="3:4" ht="15" hidden="1" customHeight="1" x14ac:dyDescent="0.2">
      <c r="C299" s="53" t="str">
        <f>IF(B325="","",IFERROR(INDEX('UNIVERSO MAESTRO'!$C$6:$C$497,MATCH(B325,'UNIVERSO MAESTRO'!$A$6:$A$497,0)),"⚠ ID no encontrado"))</f>
        <v/>
      </c>
      <c r="D299" s="54" t="str">
        <f>IF(B325="","",IFERROR(INDEX('UNIVERSO MAESTRO'!$D$6:$D$497,MATCH(B325,'UNIVERSO MAESTRO'!$A$6:$A$497,0)),""))</f>
        <v/>
      </c>
    </row>
    <row r="300" spans="3:4" ht="15" hidden="1" customHeight="1" x14ac:dyDescent="0.2">
      <c r="C300" s="53" t="str">
        <f>IF(B326="","",IFERROR(INDEX('UNIVERSO MAESTRO'!$C$6:$C$497,MATCH(B326,'UNIVERSO MAESTRO'!$A$6:$A$497,0)),"⚠ ID no encontrado"))</f>
        <v/>
      </c>
      <c r="D300" s="54" t="str">
        <f>IF(B326="","",IFERROR(INDEX('UNIVERSO MAESTRO'!$D$6:$D$497,MATCH(B326,'UNIVERSO MAESTRO'!$A$6:$A$497,0)),""))</f>
        <v/>
      </c>
    </row>
    <row r="301" spans="3:4" ht="15" hidden="1" customHeight="1" x14ac:dyDescent="0.2">
      <c r="C301" s="53" t="str">
        <f>IF(B327="","",IFERROR(INDEX('UNIVERSO MAESTRO'!$C$6:$C$497,MATCH(B327,'UNIVERSO MAESTRO'!$A$6:$A$497,0)),"⚠ ID no encontrado"))</f>
        <v/>
      </c>
      <c r="D301" s="54" t="str">
        <f>IF(B327="","",IFERROR(INDEX('UNIVERSO MAESTRO'!$D$6:$D$497,MATCH(B327,'UNIVERSO MAESTRO'!$A$6:$A$497,0)),""))</f>
        <v/>
      </c>
    </row>
    <row r="302" spans="3:4" ht="15" hidden="1" customHeight="1" x14ac:dyDescent="0.2">
      <c r="C302" s="53" t="str">
        <f>IF(B328="","",IFERROR(INDEX('UNIVERSO MAESTRO'!$C$6:$C$497,MATCH(B328,'UNIVERSO MAESTRO'!$A$6:$A$497,0)),"⚠ ID no encontrado"))</f>
        <v/>
      </c>
      <c r="D302" s="54" t="str">
        <f>IF(B328="","",IFERROR(INDEX('UNIVERSO MAESTRO'!$D$6:$D$497,MATCH(B328,'UNIVERSO MAESTRO'!$A$6:$A$497,0)),""))</f>
        <v/>
      </c>
    </row>
    <row r="303" spans="3:4" ht="15" hidden="1" customHeight="1" x14ac:dyDescent="0.2">
      <c r="C303" s="53" t="str">
        <f>IF(B329="","",IFERROR(INDEX('UNIVERSO MAESTRO'!$C$6:$C$497,MATCH(B329,'UNIVERSO MAESTRO'!$A$6:$A$497,0)),"⚠ ID no encontrado"))</f>
        <v/>
      </c>
      <c r="D303" s="54" t="str">
        <f>IF(B329="","",IFERROR(INDEX('UNIVERSO MAESTRO'!$D$6:$D$497,MATCH(B329,'UNIVERSO MAESTRO'!$A$6:$A$497,0)),""))</f>
        <v/>
      </c>
    </row>
    <row r="304" spans="3:4" ht="15" hidden="1" customHeight="1" x14ac:dyDescent="0.2">
      <c r="C304" s="53" t="str">
        <f>IF(B330="","",IFERROR(INDEX('UNIVERSO MAESTRO'!$C$6:$C$497,MATCH(B330,'UNIVERSO MAESTRO'!$A$6:$A$497,0)),"⚠ ID no encontrado"))</f>
        <v/>
      </c>
      <c r="D304" s="54" t="str">
        <f>IF(B330="","",IFERROR(INDEX('UNIVERSO MAESTRO'!$D$6:$D$497,MATCH(B330,'UNIVERSO MAESTRO'!$A$6:$A$497,0)),""))</f>
        <v/>
      </c>
    </row>
    <row r="305" spans="3:4" ht="15" hidden="1" customHeight="1" x14ac:dyDescent="0.2">
      <c r="C305" s="53" t="str">
        <f>IF(B331="","",IFERROR(INDEX('UNIVERSO MAESTRO'!$C$6:$C$497,MATCH(B331,'UNIVERSO MAESTRO'!$A$6:$A$497,0)),"⚠ ID no encontrado"))</f>
        <v/>
      </c>
      <c r="D305" s="54" t="str">
        <f>IF(B331="","",IFERROR(INDEX('UNIVERSO MAESTRO'!$D$6:$D$497,MATCH(B331,'UNIVERSO MAESTRO'!$A$6:$A$497,0)),""))</f>
        <v/>
      </c>
    </row>
    <row r="306" spans="3:4" ht="15" hidden="1" customHeight="1" x14ac:dyDescent="0.2">
      <c r="C306" s="53" t="str">
        <f>IF(B332="","",IFERROR(INDEX('UNIVERSO MAESTRO'!$C$6:$C$497,MATCH(B332,'UNIVERSO MAESTRO'!$A$6:$A$497,0)),"⚠ ID no encontrado"))</f>
        <v/>
      </c>
      <c r="D306" s="54" t="str">
        <f>IF(B332="","",IFERROR(INDEX('UNIVERSO MAESTRO'!$D$6:$D$497,MATCH(B332,'UNIVERSO MAESTRO'!$A$6:$A$497,0)),""))</f>
        <v/>
      </c>
    </row>
    <row r="307" spans="3:4" ht="15" hidden="1" customHeight="1" x14ac:dyDescent="0.2">
      <c r="C307" s="53" t="str">
        <f>IF(B333="","",IFERROR(INDEX('UNIVERSO MAESTRO'!$C$6:$C$497,MATCH(B333,'UNIVERSO MAESTRO'!$A$6:$A$497,0)),"⚠ ID no encontrado"))</f>
        <v/>
      </c>
      <c r="D307" s="54" t="str">
        <f>IF(B333="","",IFERROR(INDEX('UNIVERSO MAESTRO'!$D$6:$D$497,MATCH(B333,'UNIVERSO MAESTRO'!$A$6:$A$497,0)),""))</f>
        <v/>
      </c>
    </row>
    <row r="308" spans="3:4" ht="15" hidden="1" customHeight="1" x14ac:dyDescent="0.2">
      <c r="C308" s="53" t="str">
        <f>IF(B334="","",IFERROR(INDEX('UNIVERSO MAESTRO'!$C$6:$C$497,MATCH(B334,'UNIVERSO MAESTRO'!$A$6:$A$497,0)),"⚠ ID no encontrado"))</f>
        <v/>
      </c>
      <c r="D308" s="54" t="str">
        <f>IF(B334="","",IFERROR(INDEX('UNIVERSO MAESTRO'!$D$6:$D$497,MATCH(B334,'UNIVERSO MAESTRO'!$A$6:$A$497,0)),""))</f>
        <v/>
      </c>
    </row>
    <row r="309" spans="3:4" ht="15" hidden="1" customHeight="1" x14ac:dyDescent="0.2">
      <c r="C309" s="53" t="str">
        <f>IF(B335="","",IFERROR(INDEX('UNIVERSO MAESTRO'!$C$6:$C$497,MATCH(B335,'UNIVERSO MAESTRO'!$A$6:$A$497,0)),"⚠ ID no encontrado"))</f>
        <v/>
      </c>
      <c r="D309" s="54" t="str">
        <f>IF(B335="","",IFERROR(INDEX('UNIVERSO MAESTRO'!$D$6:$D$497,MATCH(B335,'UNIVERSO MAESTRO'!$A$6:$A$497,0)),""))</f>
        <v/>
      </c>
    </row>
    <row r="310" spans="3:4" ht="15" hidden="1" customHeight="1" x14ac:dyDescent="0.2">
      <c r="C310" s="53" t="str">
        <f>IF(B336="","",IFERROR(INDEX('UNIVERSO MAESTRO'!$C$6:$C$497,MATCH(B336,'UNIVERSO MAESTRO'!$A$6:$A$497,0)),"⚠ ID no encontrado"))</f>
        <v/>
      </c>
      <c r="D310" s="54" t="str">
        <f>IF(B336="","",IFERROR(INDEX('UNIVERSO MAESTRO'!$D$6:$D$497,MATCH(B336,'UNIVERSO MAESTRO'!$A$6:$A$497,0)),""))</f>
        <v/>
      </c>
    </row>
    <row r="311" spans="3:4" ht="15" hidden="1" customHeight="1" x14ac:dyDescent="0.2">
      <c r="C311" s="53" t="str">
        <f>IF(B337="","",IFERROR(INDEX('UNIVERSO MAESTRO'!$C$6:$C$497,MATCH(B337,'UNIVERSO MAESTRO'!$A$6:$A$497,0)),"⚠ ID no encontrado"))</f>
        <v/>
      </c>
      <c r="D311" s="54" t="str">
        <f>IF(B337="","",IFERROR(INDEX('UNIVERSO MAESTRO'!$D$6:$D$497,MATCH(B337,'UNIVERSO MAESTRO'!$A$6:$A$497,0)),""))</f>
        <v/>
      </c>
    </row>
    <row r="312" spans="3:4" ht="15" hidden="1" customHeight="1" x14ac:dyDescent="0.2">
      <c r="C312" s="53" t="str">
        <f>IF(B338="","",IFERROR(INDEX('UNIVERSO MAESTRO'!$C$6:$C$497,MATCH(B338,'UNIVERSO MAESTRO'!$A$6:$A$497,0)),"⚠ ID no encontrado"))</f>
        <v/>
      </c>
      <c r="D312" s="54" t="str">
        <f>IF(B338="","",IFERROR(INDEX('UNIVERSO MAESTRO'!$D$6:$D$497,MATCH(B338,'UNIVERSO MAESTRO'!$A$6:$A$497,0)),""))</f>
        <v/>
      </c>
    </row>
    <row r="313" spans="3:4" ht="15" hidden="1" customHeight="1" x14ac:dyDescent="0.2">
      <c r="C313" s="53" t="str">
        <f>IF(B339="","",IFERROR(INDEX('UNIVERSO MAESTRO'!$C$6:$C$497,MATCH(B339,'UNIVERSO MAESTRO'!$A$6:$A$497,0)),"⚠ ID no encontrado"))</f>
        <v/>
      </c>
      <c r="D313" s="54" t="str">
        <f>IF(B339="","",IFERROR(INDEX('UNIVERSO MAESTRO'!$D$6:$D$497,MATCH(B339,'UNIVERSO MAESTRO'!$A$6:$A$497,0)),""))</f>
        <v/>
      </c>
    </row>
    <row r="314" spans="3:4" ht="15" hidden="1" customHeight="1" x14ac:dyDescent="0.2">
      <c r="C314" s="53" t="str">
        <f>IF(B340="","",IFERROR(INDEX('UNIVERSO MAESTRO'!$C$6:$C$497,MATCH(B340,'UNIVERSO MAESTRO'!$A$6:$A$497,0)),"⚠ ID no encontrado"))</f>
        <v/>
      </c>
      <c r="D314" s="54" t="str">
        <f>IF(B340="","",IFERROR(INDEX('UNIVERSO MAESTRO'!$D$6:$D$497,MATCH(B340,'UNIVERSO MAESTRO'!$A$6:$A$497,0)),""))</f>
        <v/>
      </c>
    </row>
    <row r="315" spans="3:4" ht="15" hidden="1" customHeight="1" x14ac:dyDescent="0.2">
      <c r="C315" s="53" t="str">
        <f>IF(B341="","",IFERROR(INDEX('UNIVERSO MAESTRO'!$C$6:$C$497,MATCH(B341,'UNIVERSO MAESTRO'!$A$6:$A$497,0)),"⚠ ID no encontrado"))</f>
        <v/>
      </c>
      <c r="D315" s="54" t="str">
        <f>IF(B341="","",IFERROR(INDEX('UNIVERSO MAESTRO'!$D$6:$D$497,MATCH(B341,'UNIVERSO MAESTRO'!$A$6:$A$497,0)),""))</f>
        <v/>
      </c>
    </row>
    <row r="316" spans="3:4" ht="15" hidden="1" customHeight="1" x14ac:dyDescent="0.2">
      <c r="C316" s="53" t="str">
        <f>IF(B342="","",IFERROR(INDEX('UNIVERSO MAESTRO'!$C$6:$C$497,MATCH(B342,'UNIVERSO MAESTRO'!$A$6:$A$497,0)),"⚠ ID no encontrado"))</f>
        <v/>
      </c>
      <c r="D316" s="54" t="str">
        <f>IF(B342="","",IFERROR(INDEX('UNIVERSO MAESTRO'!$D$6:$D$497,MATCH(B342,'UNIVERSO MAESTRO'!$A$6:$A$497,0)),""))</f>
        <v/>
      </c>
    </row>
    <row r="317" spans="3:4" ht="15" hidden="1" customHeight="1" x14ac:dyDescent="0.2">
      <c r="C317" s="53" t="str">
        <f>IF(B343="","",IFERROR(INDEX('UNIVERSO MAESTRO'!$C$6:$C$497,MATCH(B343,'UNIVERSO MAESTRO'!$A$6:$A$497,0)),"⚠ ID no encontrado"))</f>
        <v/>
      </c>
      <c r="D317" s="54" t="str">
        <f>IF(B343="","",IFERROR(INDEX('UNIVERSO MAESTRO'!$D$6:$D$497,MATCH(B343,'UNIVERSO MAESTRO'!$A$6:$A$497,0)),""))</f>
        <v/>
      </c>
    </row>
    <row r="318" spans="3:4" ht="15" hidden="1" customHeight="1" x14ac:dyDescent="0.2">
      <c r="C318" s="53" t="str">
        <f>IF(B344="","",IFERROR(INDEX('UNIVERSO MAESTRO'!$C$6:$C$497,MATCH(B344,'UNIVERSO MAESTRO'!$A$6:$A$497,0)),"⚠ ID no encontrado"))</f>
        <v/>
      </c>
      <c r="D318" s="54" t="str">
        <f>IF(B344="","",IFERROR(INDEX('UNIVERSO MAESTRO'!$D$6:$D$497,MATCH(B344,'UNIVERSO MAESTRO'!$A$6:$A$497,0)),""))</f>
        <v/>
      </c>
    </row>
    <row r="319" spans="3:4" ht="15" hidden="1" customHeight="1" x14ac:dyDescent="0.2">
      <c r="C319" s="53" t="str">
        <f>IF(B345="","",IFERROR(INDEX('UNIVERSO MAESTRO'!$C$6:$C$497,MATCH(B345,'UNIVERSO MAESTRO'!$A$6:$A$497,0)),"⚠ ID no encontrado"))</f>
        <v/>
      </c>
      <c r="D319" s="54" t="str">
        <f>IF(B345="","",IFERROR(INDEX('UNIVERSO MAESTRO'!$D$6:$D$497,MATCH(B345,'UNIVERSO MAESTRO'!$A$6:$A$497,0)),""))</f>
        <v/>
      </c>
    </row>
    <row r="320" spans="3:4" ht="15" hidden="1" customHeight="1" x14ac:dyDescent="0.2">
      <c r="C320" s="53" t="str">
        <f>IF(B346="","",IFERROR(INDEX('UNIVERSO MAESTRO'!$C$6:$C$497,MATCH(B346,'UNIVERSO MAESTRO'!$A$6:$A$497,0)),"⚠ ID no encontrado"))</f>
        <v/>
      </c>
      <c r="D320" s="54" t="str">
        <f>IF(B346="","",IFERROR(INDEX('UNIVERSO MAESTRO'!$D$6:$D$497,MATCH(B346,'UNIVERSO MAESTRO'!$A$6:$A$497,0)),""))</f>
        <v/>
      </c>
    </row>
    <row r="321" spans="3:4" ht="15" hidden="1" customHeight="1" x14ac:dyDescent="0.2">
      <c r="C321" s="53" t="str">
        <f>IF(B347="","",IFERROR(INDEX('UNIVERSO MAESTRO'!$C$6:$C$497,MATCH(B347,'UNIVERSO MAESTRO'!$A$6:$A$497,0)),"⚠ ID no encontrado"))</f>
        <v>Grupo BAL / Familia Baillères</v>
      </c>
      <c r="D321" s="54">
        <f>IF(B347="","",IFERROR(INDEX('UNIVERSO MAESTRO'!$D$6:$D$497,MATCH(B347,'UNIVERSO MAESTRO'!$A$6:$A$497,0)),""))</f>
        <v>0</v>
      </c>
    </row>
    <row r="322" spans="3:4" ht="15" hidden="1" customHeight="1" x14ac:dyDescent="0.2">
      <c r="C322" s="53" t="str">
        <f>IF(B348="","",IFERROR(INDEX('UNIVERSO MAESTRO'!$C$6:$C$497,MATCH(B348,'UNIVERSO MAESTRO'!$A$6:$A$497,0)),"⚠ ID no encontrado"))</f>
        <v/>
      </c>
      <c r="D322" s="54" t="str">
        <f>IF(B348="","",IFERROR(INDEX('UNIVERSO MAESTRO'!$D$6:$D$497,MATCH(B348,'UNIVERSO MAESTRO'!$A$6:$A$497,0)),""))</f>
        <v/>
      </c>
    </row>
    <row r="323" spans="3:4" ht="15" hidden="1" customHeight="1" x14ac:dyDescent="0.2">
      <c r="C323" s="53" t="str">
        <f>IF(B349="","",IFERROR(INDEX('UNIVERSO MAESTRO'!$C$6:$C$497,MATCH(B349,'UNIVERSO MAESTRO'!$A$6:$A$497,0)),"⚠ ID no encontrado"))</f>
        <v/>
      </c>
      <c r="D323" s="54" t="str">
        <f>IF(B349="","",IFERROR(INDEX('UNIVERSO MAESTRO'!$D$6:$D$497,MATCH(B349,'UNIVERSO MAESTRO'!$A$6:$A$497,0)),""))</f>
        <v/>
      </c>
    </row>
    <row r="324" spans="3:4" ht="15" hidden="1" customHeight="1" x14ac:dyDescent="0.2">
      <c r="C324" s="53" t="str">
        <f>IF(B350="","",IFERROR(INDEX('UNIVERSO MAESTRO'!$C$6:$C$497,MATCH(B350,'UNIVERSO MAESTRO'!$A$6:$A$497,0)),"⚠ ID no encontrado"))</f>
        <v/>
      </c>
      <c r="D324" s="54" t="str">
        <f>IF(B350="","",IFERROR(INDEX('UNIVERSO MAESTRO'!$D$6:$D$497,MATCH(B350,'UNIVERSO MAESTRO'!$A$6:$A$497,0)),""))</f>
        <v/>
      </c>
    </row>
    <row r="325" spans="3:4" ht="15" hidden="1" customHeight="1" x14ac:dyDescent="0.2">
      <c r="C325" s="53" t="str">
        <f>IF(B351="","",IFERROR(INDEX('UNIVERSO MAESTRO'!$C$6:$C$497,MATCH(B351,'UNIVERSO MAESTRO'!$A$6:$A$497,0)),"⚠ ID no encontrado"))</f>
        <v/>
      </c>
      <c r="D325" s="54" t="str">
        <f>IF(B351="","",IFERROR(INDEX('UNIVERSO MAESTRO'!$D$6:$D$497,MATCH(B351,'UNIVERSO MAESTRO'!$A$6:$A$497,0)),""))</f>
        <v/>
      </c>
    </row>
    <row r="326" spans="3:4" ht="15" hidden="1" customHeight="1" x14ac:dyDescent="0.2">
      <c r="C326" s="53" t="str">
        <f>IF(B352="","",IFERROR(INDEX('UNIVERSO MAESTRO'!$C$6:$C$497,MATCH(B352,'UNIVERSO MAESTRO'!$A$6:$A$497,0)),"⚠ ID no encontrado"))</f>
        <v/>
      </c>
      <c r="D326" s="54" t="str">
        <f>IF(B352="","",IFERROR(INDEX('UNIVERSO MAESTRO'!$D$6:$D$497,MATCH(B352,'UNIVERSO MAESTRO'!$A$6:$A$497,0)),""))</f>
        <v/>
      </c>
    </row>
    <row r="327" spans="3:4" ht="15" hidden="1" customHeight="1" x14ac:dyDescent="0.2">
      <c r="C327" s="53" t="str">
        <f>IF(B353="","",IFERROR(INDEX('UNIVERSO MAESTRO'!$C$6:$C$497,MATCH(B353,'UNIVERSO MAESTRO'!$A$6:$A$497,0)),"⚠ ID no encontrado"))</f>
        <v/>
      </c>
      <c r="D327" s="54" t="str">
        <f>IF(B353="","",IFERROR(INDEX('UNIVERSO MAESTRO'!$D$6:$D$497,MATCH(B353,'UNIVERSO MAESTRO'!$A$6:$A$497,0)),""))</f>
        <v/>
      </c>
    </row>
    <row r="328" spans="3:4" ht="15" hidden="1" customHeight="1" x14ac:dyDescent="0.2">
      <c r="C328" s="53" t="str">
        <f>IF(B354="","",IFERROR(INDEX('UNIVERSO MAESTRO'!$C$6:$C$497,MATCH(B354,'UNIVERSO MAESTRO'!$A$6:$A$497,0)),"⚠ ID no encontrado"))</f>
        <v/>
      </c>
      <c r="D328" s="54" t="str">
        <f>IF(B354="","",IFERROR(INDEX('UNIVERSO MAESTRO'!$D$6:$D$497,MATCH(B354,'UNIVERSO MAESTRO'!$A$6:$A$497,0)),""))</f>
        <v/>
      </c>
    </row>
    <row r="329" spans="3:4" ht="15" hidden="1" customHeight="1" x14ac:dyDescent="0.2">
      <c r="C329" s="53" t="str">
        <f>IF(B355="","",IFERROR(INDEX('UNIVERSO MAESTRO'!$C$6:$C$497,MATCH(B355,'UNIVERSO MAESTRO'!$A$6:$A$497,0)),"⚠ ID no encontrado"))</f>
        <v/>
      </c>
      <c r="D329" s="54" t="str">
        <f>IF(B355="","",IFERROR(INDEX('UNIVERSO MAESTRO'!$D$6:$D$497,MATCH(B355,'UNIVERSO MAESTRO'!$A$6:$A$497,0)),""))</f>
        <v/>
      </c>
    </row>
    <row r="330" spans="3:4" ht="15" hidden="1" customHeight="1" x14ac:dyDescent="0.2">
      <c r="C330" s="53" t="str">
        <f>IF(B356="","",IFERROR(INDEX('UNIVERSO MAESTRO'!$C$6:$C$497,MATCH(B356,'UNIVERSO MAESTRO'!$A$6:$A$497,0)),"⚠ ID no encontrado"))</f>
        <v/>
      </c>
      <c r="D330" s="54" t="str">
        <f>IF(B356="","",IFERROR(INDEX('UNIVERSO MAESTRO'!$D$6:$D$497,MATCH(B356,'UNIVERSO MAESTRO'!$A$6:$A$497,0)),""))</f>
        <v/>
      </c>
    </row>
    <row r="331" spans="3:4" ht="15" hidden="1" customHeight="1" x14ac:dyDescent="0.2">
      <c r="C331" s="53" t="str">
        <f>IF(B357="","",IFERROR(INDEX('UNIVERSO MAESTRO'!$C$6:$C$497,MATCH(B357,'UNIVERSO MAESTRO'!$A$6:$A$497,0)),"⚠ ID no encontrado"))</f>
        <v/>
      </c>
      <c r="D331" s="54" t="str">
        <f>IF(B357="","",IFERROR(INDEX('UNIVERSO MAESTRO'!$D$6:$D$497,MATCH(B357,'UNIVERSO MAESTRO'!$A$6:$A$497,0)),""))</f>
        <v/>
      </c>
    </row>
    <row r="332" spans="3:4" ht="15" hidden="1" customHeight="1" x14ac:dyDescent="0.2">
      <c r="C332" s="53" t="str">
        <f>IF(B358="","",IFERROR(INDEX('UNIVERSO MAESTRO'!$C$6:$C$497,MATCH(B358,'UNIVERSO MAESTRO'!$A$6:$A$497,0)),"⚠ ID no encontrado"))</f>
        <v/>
      </c>
      <c r="D332" s="54" t="str">
        <f>IF(B358="","",IFERROR(INDEX('UNIVERSO MAESTRO'!$D$6:$D$497,MATCH(B358,'UNIVERSO MAESTRO'!$A$6:$A$497,0)),""))</f>
        <v/>
      </c>
    </row>
    <row r="333" spans="3:4" ht="15" hidden="1" customHeight="1" x14ac:dyDescent="0.2">
      <c r="C333" s="53" t="str">
        <f>IF(B359="","",IFERROR(INDEX('UNIVERSO MAESTRO'!$C$6:$C$497,MATCH(B359,'UNIVERSO MAESTRO'!$A$6:$A$497,0)),"⚠ ID no encontrado"))</f>
        <v/>
      </c>
      <c r="D333" s="54" t="str">
        <f>IF(B359="","",IFERROR(INDEX('UNIVERSO MAESTRO'!$D$6:$D$497,MATCH(B359,'UNIVERSO MAESTRO'!$A$6:$A$497,0)),""))</f>
        <v/>
      </c>
    </row>
    <row r="334" spans="3:4" ht="15" hidden="1" customHeight="1" x14ac:dyDescent="0.2">
      <c r="C334" s="53" t="str">
        <f>IF(B360="","",IFERROR(INDEX('UNIVERSO MAESTRO'!$C$6:$C$497,MATCH(B360,'UNIVERSO MAESTRO'!$A$6:$A$497,0)),"⚠ ID no encontrado"))</f>
        <v/>
      </c>
      <c r="D334" s="54" t="str">
        <f>IF(B360="","",IFERROR(INDEX('UNIVERSO MAESTRO'!$D$6:$D$497,MATCH(B360,'UNIVERSO MAESTRO'!$A$6:$A$497,0)),""))</f>
        <v/>
      </c>
    </row>
    <row r="335" spans="3:4" ht="15" hidden="1" customHeight="1" x14ac:dyDescent="0.2">
      <c r="C335" s="53" t="str">
        <f>IF(B361="","",IFERROR(INDEX('UNIVERSO MAESTRO'!$C$6:$C$497,MATCH(B361,'UNIVERSO MAESTRO'!$A$6:$A$497,0)),"⚠ ID no encontrado"))</f>
        <v/>
      </c>
      <c r="D335" s="54" t="str">
        <f>IF(B361="","",IFERROR(INDEX('UNIVERSO MAESTRO'!$D$6:$D$497,MATCH(B361,'UNIVERSO MAESTRO'!$A$6:$A$497,0)),""))</f>
        <v/>
      </c>
    </row>
    <row r="336" spans="3:4" ht="15" hidden="1" customHeight="1" x14ac:dyDescent="0.2">
      <c r="C336" s="53" t="str">
        <f>IF(B362="","",IFERROR(INDEX('UNIVERSO MAESTRO'!$C$6:$C$497,MATCH(B362,'UNIVERSO MAESTRO'!$A$6:$A$497,0)),"⚠ ID no encontrado"))</f>
        <v/>
      </c>
      <c r="D336" s="54" t="str">
        <f>IF(B362="","",IFERROR(INDEX('UNIVERSO MAESTRO'!$D$6:$D$497,MATCH(B362,'UNIVERSO MAESTRO'!$A$6:$A$497,0)),""))</f>
        <v/>
      </c>
    </row>
    <row r="337" spans="1:11" ht="15" hidden="1" customHeight="1" x14ac:dyDescent="0.2">
      <c r="C337" s="53" t="str">
        <f>IF(B363="","",IFERROR(INDEX('UNIVERSO MAESTRO'!$C$6:$C$497,MATCH(B363,'UNIVERSO MAESTRO'!$A$6:$A$497,0)),"⚠ ID no encontrado"))</f>
        <v/>
      </c>
      <c r="D337" s="54" t="str">
        <f>IF(B363="","",IFERROR(INDEX('UNIVERSO MAESTRO'!$D$6:$D$497,MATCH(B363,'UNIVERSO MAESTRO'!$A$6:$A$497,0)),""))</f>
        <v/>
      </c>
    </row>
    <row r="338" spans="1:11" ht="15" hidden="1" customHeight="1" x14ac:dyDescent="0.2">
      <c r="C338" s="53" t="str">
        <f>IF(B364="","",IFERROR(INDEX('UNIVERSO MAESTRO'!$C$6:$C$497,MATCH(B364,'UNIVERSO MAESTRO'!$A$6:$A$497,0)),"⚠ ID no encontrado"))</f>
        <v/>
      </c>
      <c r="D338" s="54" t="str">
        <f>IF(B364="","",IFERROR(INDEX('UNIVERSO MAESTRO'!$D$6:$D$497,MATCH(B364,'UNIVERSO MAESTRO'!$A$6:$A$497,0)),""))</f>
        <v/>
      </c>
    </row>
    <row r="339" spans="1:11" ht="15" hidden="1" customHeight="1" x14ac:dyDescent="0.2">
      <c r="C339" s="53" t="str">
        <f>IF(B365="","",IFERROR(INDEX('UNIVERSO MAESTRO'!$C$6:$C$497,MATCH(B365,'UNIVERSO MAESTRO'!$A$6:$A$497,0)),"⚠ ID no encontrado"))</f>
        <v/>
      </c>
      <c r="D339" s="54" t="str">
        <f>IF(B365="","",IFERROR(INDEX('UNIVERSO MAESTRO'!$D$6:$D$497,MATCH(B365,'UNIVERSO MAESTRO'!$A$6:$A$497,0)),""))</f>
        <v/>
      </c>
    </row>
    <row r="340" spans="1:11" ht="15" hidden="1" customHeight="1" x14ac:dyDescent="0.2">
      <c r="C340" s="53" t="str">
        <f>IF(B366="","",IFERROR(INDEX('UNIVERSO MAESTRO'!$C$6:$C$497,MATCH(B366,'UNIVERSO MAESTRO'!$A$6:$A$497,0)),"⚠ ID no encontrado"))</f>
        <v/>
      </c>
      <c r="D340" s="54" t="str">
        <f>IF(B366="","",IFERROR(INDEX('UNIVERSO MAESTRO'!$D$6:$D$497,MATCH(B366,'UNIVERSO MAESTRO'!$A$6:$A$497,0)),""))</f>
        <v/>
      </c>
    </row>
    <row r="341" spans="1:11" ht="15" hidden="1" customHeight="1" x14ac:dyDescent="0.2">
      <c r="C341" s="53" t="str">
        <f>IF(B367="","",IFERROR(INDEX('UNIVERSO MAESTRO'!$C$6:$C$497,MATCH(B367,'UNIVERSO MAESTRO'!$A$6:$A$497,0)),"⚠ ID no encontrado"))</f>
        <v/>
      </c>
      <c r="D341" s="54" t="str">
        <f>IF(B367="","",IFERROR(INDEX('UNIVERSO MAESTRO'!$D$6:$D$497,MATCH(B367,'UNIVERSO MAESTRO'!$A$6:$A$497,0)),""))</f>
        <v/>
      </c>
    </row>
    <row r="342" spans="1:11" ht="15" hidden="1" customHeight="1" x14ac:dyDescent="0.2">
      <c r="C342" s="53" t="str">
        <f>IF(B368="","",IFERROR(INDEX('UNIVERSO MAESTRO'!$C$6:$C$497,MATCH(B368,'UNIVERSO MAESTRO'!$A$6:$A$497,0)),"⚠ ID no encontrado"))</f>
        <v/>
      </c>
      <c r="D342" s="54" t="str">
        <f>IF(B368="","",IFERROR(INDEX('UNIVERSO MAESTRO'!$D$6:$D$497,MATCH(B368,'UNIVERSO MAESTRO'!$A$6:$A$497,0)),""))</f>
        <v/>
      </c>
    </row>
    <row r="343" spans="1:11" ht="15" hidden="1" customHeight="1" x14ac:dyDescent="0.2">
      <c r="C343" s="53" t="str">
        <f>IF(B369="","",IFERROR(INDEX('UNIVERSO MAESTRO'!$C$6:$C$497,MATCH(B369,'UNIVERSO MAESTRO'!$A$6:$A$497,0)),"⚠ ID no encontrado"))</f>
        <v/>
      </c>
      <c r="D343" s="54" t="str">
        <f>IF(B369="","",IFERROR(INDEX('UNIVERSO MAESTRO'!$D$6:$D$497,MATCH(B369,'UNIVERSO MAESTRO'!$A$6:$A$497,0)),""))</f>
        <v/>
      </c>
    </row>
    <row r="344" spans="1:11" ht="15" hidden="1" customHeight="1" x14ac:dyDescent="0.2">
      <c r="C344" s="53" t="str">
        <f>IF(B370="","",IFERROR(INDEX('UNIVERSO MAESTRO'!$C$6:$C$497,MATCH(B370,'UNIVERSO MAESTRO'!$A$6:$A$497,0)),"⚠ ID no encontrado"))</f>
        <v/>
      </c>
      <c r="D344" s="54" t="str">
        <f>IF(B370="","",IFERROR(INDEX('UNIVERSO MAESTRO'!$D$6:$D$497,MATCH(B370,'UNIVERSO MAESTRO'!$A$6:$A$497,0)),""))</f>
        <v/>
      </c>
    </row>
    <row r="345" spans="1:11" ht="15" hidden="1" customHeight="1" x14ac:dyDescent="0.2">
      <c r="C345" s="53" t="str">
        <f>IF(B371="","",IFERROR(INDEX('UNIVERSO MAESTRO'!$C$6:$C$497,MATCH(B371,'UNIVERSO MAESTRO'!$A$6:$A$497,0)),"⚠ ID no encontrado"))</f>
        <v/>
      </c>
      <c r="D345" s="54" t="str">
        <f>IF(B371="","",IFERROR(INDEX('UNIVERSO MAESTRO'!$D$6:$D$497,MATCH(B371,'UNIVERSO MAESTRO'!$A$6:$A$497,0)),""))</f>
        <v/>
      </c>
    </row>
    <row r="346" spans="1:11" ht="15" hidden="1" customHeight="1" x14ac:dyDescent="0.2">
      <c r="C346" s="53" t="str">
        <f>IF(B372="","",IFERROR(INDEX('UNIVERSO MAESTRO'!$C$6:$C$497,MATCH(B372,'UNIVERSO MAESTRO'!$A$6:$A$497,0)),"⚠ ID no encontrado"))</f>
        <v/>
      </c>
      <c r="D346" s="54" t="str">
        <f>IF(B372="","",IFERROR(INDEX('UNIVERSO MAESTRO'!$D$6:$D$497,MATCH(B372,'UNIVERSO MAESTRO'!$A$6:$A$497,0)),""))</f>
        <v/>
      </c>
    </row>
    <row r="347" spans="1:11" ht="15" hidden="1" customHeight="1" x14ac:dyDescent="0.2">
      <c r="A347" s="55" t="s">
        <v>3113</v>
      </c>
      <c r="B347" s="55" t="s">
        <v>729</v>
      </c>
      <c r="C347" s="56" t="str">
        <f>IF(B347="","",IFERROR(INDEX('UNIVERSO MAESTRO'!$C$6:$C$497,MATCH(B347,'UNIVERSO MAESTRO'!$A$6:$A$497,0)),"⚠ ID no encontrado"))</f>
        <v>Grupo BAL / Familia Baillères</v>
      </c>
      <c r="D347" s="57">
        <f>IF(B347="","",IFERROR(INDEX('UNIVERSO MAESTRO'!$D$6:$D$497,MATCH(B347,'UNIVERSO MAESTRO'!$A$6:$A$497,0)),""))</f>
        <v>0</v>
      </c>
      <c r="E347" s="58" t="s">
        <v>3109</v>
      </c>
      <c r="F347" s="58" t="s">
        <v>3114</v>
      </c>
      <c r="G347" s="55" t="s">
        <v>205</v>
      </c>
      <c r="H347" s="58" t="s">
        <v>3115</v>
      </c>
      <c r="I347" s="58" t="s">
        <v>3116</v>
      </c>
      <c r="J347" s="55" t="s">
        <v>225</v>
      </c>
      <c r="K347" s="55" t="s">
        <v>353</v>
      </c>
    </row>
    <row r="348" spans="1:11" ht="15" customHeight="1" x14ac:dyDescent="0.2"/>
    <row r="349" spans="1:11" ht="15" customHeight="1" x14ac:dyDescent="0.2"/>
    <row r="350" spans="1:11" ht="15" customHeight="1" x14ac:dyDescent="0.2"/>
    <row r="351" spans="1:11" ht="15" customHeight="1" x14ac:dyDescent="0.2"/>
    <row r="352" spans="1:11"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sheetData>
  <autoFilter ref="A5:K347" xr:uid="{00000000-0001-0000-0400-000000000000}">
    <filterColumn colId="3">
      <filters>
        <filter val="V1"/>
        <filter val="V2"/>
        <filter val="V3"/>
        <filter val="V4"/>
        <filter val="V5"/>
        <filter val="V6"/>
        <filter val="V7"/>
        <filter val="V8"/>
        <filter val="V9"/>
      </filters>
    </filterColumn>
    <sortState xmlns:xlrd2="http://schemas.microsoft.com/office/spreadsheetml/2017/richdata2" ref="A6:K164">
      <sortCondition ref="D5:D347"/>
    </sortState>
  </autoFilter>
  <mergeCells count="3">
    <mergeCell ref="B1:K1"/>
    <mergeCell ref="B2:K2"/>
    <mergeCell ref="A3:K3"/>
  </mergeCells>
  <dataValidations count="3">
    <dataValidation type="list" allowBlank="1" sqref="J6:J373" xr:uid="{00000000-0002-0000-0400-000000000000}">
      <formula1>L_CERTEZA</formula1>
      <formula2>0</formula2>
    </dataValidation>
    <dataValidation type="list" allowBlank="1" sqref="K6:K373" xr:uid="{00000000-0002-0000-0400-000001000000}">
      <formula1>L_VIS_POI</formula1>
      <formula2>0</formula2>
    </dataValidation>
    <dataValidation type="list" allowBlank="1" showErrorMessage="1" errorTitle="Tier inválido" error="Selecciona Tier 1, Tier 2 o Tier 3" sqref="G6:G373" xr:uid="{00000000-0002-0000-0400-000002000000}">
      <formula1>L_TIER</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47"/>
  <sheetViews>
    <sheetView tabSelected="1" zoomScaleNormal="100" workbookViewId="0">
      <pane xSplit="4" ySplit="7" topLeftCell="AS29" activePane="bottomRight" state="frozen"/>
      <selection pane="topRight" activeCell="E1" sqref="E1"/>
      <selection pane="bottomLeft" activeCell="A9" sqref="A9"/>
      <selection pane="bottomRight" activeCell="AV4" sqref="AV1:AV1048576"/>
    </sheetView>
  </sheetViews>
  <sheetFormatPr baseColWidth="10" defaultColWidth="8.83203125" defaultRowHeight="15" x14ac:dyDescent="0.2"/>
  <cols>
    <col min="1" max="2" width="11" customWidth="1"/>
    <col min="3" max="3" width="32" customWidth="1"/>
    <col min="4" max="4" width="11" customWidth="1"/>
    <col min="5" max="37" width="13" customWidth="1"/>
    <col min="38" max="47" width="9" customWidth="1"/>
    <col min="48" max="48" width="26" customWidth="1"/>
    <col min="49" max="49" width="14" customWidth="1"/>
    <col min="50" max="50" width="22.6640625" customWidth="1"/>
  </cols>
  <sheetData>
    <row r="1" spans="1:50" ht="31.5" customHeight="1" x14ac:dyDescent="0.2">
      <c r="A1" s="43" t="s">
        <v>178</v>
      </c>
      <c r="B1" s="150" t="s">
        <v>98</v>
      </c>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row>
    <row r="2" spans="1:50" ht="21.75" customHeight="1" x14ac:dyDescent="0.2">
      <c r="A2" s="45" t="s">
        <v>179</v>
      </c>
      <c r="B2" s="151" t="s">
        <v>3261</v>
      </c>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row>
    <row r="3" spans="1:50" ht="18" customHeight="1" x14ac:dyDescent="0.2">
      <c r="A3" s="152" t="s">
        <v>181</v>
      </c>
      <c r="B3" s="152"/>
      <c r="C3" s="152"/>
      <c r="D3" s="152"/>
      <c r="E3" s="152"/>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row>
    <row r="4" spans="1:50" ht="6" customHeight="1" x14ac:dyDescent="0.2"/>
    <row r="5" spans="1:50" ht="24" customHeight="1" x14ac:dyDescent="0.2">
      <c r="A5" s="47" t="s">
        <v>182</v>
      </c>
      <c r="B5" s="47" t="s">
        <v>183</v>
      </c>
      <c r="C5" s="47" t="s">
        <v>184</v>
      </c>
      <c r="D5" s="47" t="s">
        <v>185</v>
      </c>
      <c r="E5" s="205" t="s">
        <v>24</v>
      </c>
      <c r="F5" s="205"/>
      <c r="G5" s="205"/>
      <c r="H5" s="205"/>
      <c r="I5" s="206" t="s">
        <v>27</v>
      </c>
      <c r="J5" s="206"/>
      <c r="K5" s="206"/>
      <c r="L5" s="207" t="s">
        <v>30</v>
      </c>
      <c r="M5" s="207"/>
      <c r="N5" s="207"/>
      <c r="O5" s="207"/>
      <c r="P5" s="208" t="s">
        <v>36</v>
      </c>
      <c r="Q5" s="208"/>
      <c r="R5" s="208"/>
      <c r="S5" s="208"/>
      <c r="T5" s="208"/>
      <c r="U5" s="208"/>
      <c r="V5" s="209" t="s">
        <v>39</v>
      </c>
      <c r="W5" s="209"/>
      <c r="X5" s="209"/>
      <c r="Y5" s="209"/>
      <c r="Z5" s="210" t="s">
        <v>42</v>
      </c>
      <c r="AA5" s="210"/>
      <c r="AB5" s="210"/>
      <c r="AC5" s="211" t="s">
        <v>48</v>
      </c>
      <c r="AD5" s="211"/>
      <c r="AE5" s="211"/>
      <c r="AF5" s="212" t="s">
        <v>51</v>
      </c>
      <c r="AG5" s="212"/>
      <c r="AH5" s="212"/>
      <c r="AI5" s="213" t="s">
        <v>54</v>
      </c>
      <c r="AJ5" s="213"/>
      <c r="AK5" s="213"/>
      <c r="AL5" s="47" t="s">
        <v>3262</v>
      </c>
      <c r="AM5" s="47" t="s">
        <v>3263</v>
      </c>
      <c r="AN5" s="47" t="s">
        <v>3264</v>
      </c>
      <c r="AO5" s="47" t="s">
        <v>3265</v>
      </c>
      <c r="AP5" s="47" t="s">
        <v>3266</v>
      </c>
      <c r="AQ5" s="47" t="s">
        <v>3267</v>
      </c>
      <c r="AR5" s="47" t="s">
        <v>3268</v>
      </c>
      <c r="AS5" s="47" t="s">
        <v>3269</v>
      </c>
      <c r="AT5" s="47" t="s">
        <v>3270</v>
      </c>
      <c r="AU5" s="47" t="s">
        <v>3271</v>
      </c>
      <c r="AV5" s="47" t="s">
        <v>3273</v>
      </c>
      <c r="AW5" s="47" t="s">
        <v>3274</v>
      </c>
      <c r="AX5" s="47" t="s">
        <v>3272</v>
      </c>
    </row>
    <row r="6" spans="1:50" ht="21.75" customHeight="1" x14ac:dyDescent="0.2">
      <c r="A6" s="59"/>
      <c r="B6" s="59"/>
      <c r="C6" s="59"/>
      <c r="D6" s="59"/>
      <c r="E6" s="60" t="s">
        <v>3275</v>
      </c>
      <c r="F6" s="60" t="s">
        <v>3276</v>
      </c>
      <c r="G6" s="60" t="s">
        <v>3277</v>
      </c>
      <c r="H6" s="60" t="s">
        <v>3278</v>
      </c>
      <c r="I6" s="61" t="s">
        <v>3279</v>
      </c>
      <c r="J6" s="61" t="s">
        <v>3280</v>
      </c>
      <c r="K6" s="61" t="s">
        <v>3281</v>
      </c>
      <c r="L6" s="62" t="s">
        <v>3282</v>
      </c>
      <c r="M6" s="62" t="s">
        <v>3283</v>
      </c>
      <c r="N6" s="62" t="s">
        <v>3284</v>
      </c>
      <c r="O6" s="62" t="s">
        <v>3285</v>
      </c>
      <c r="P6" s="63" t="s">
        <v>3286</v>
      </c>
      <c r="Q6" s="63" t="s">
        <v>3287</v>
      </c>
      <c r="R6" s="63" t="s">
        <v>3288</v>
      </c>
      <c r="S6" s="63" t="s">
        <v>3289</v>
      </c>
      <c r="T6" s="63" t="s">
        <v>3290</v>
      </c>
      <c r="U6" s="63" t="s">
        <v>3291</v>
      </c>
      <c r="V6" s="64" t="s">
        <v>3292</v>
      </c>
      <c r="W6" s="64" t="s">
        <v>3293</v>
      </c>
      <c r="X6" s="64" t="s">
        <v>3294</v>
      </c>
      <c r="Y6" s="64" t="s">
        <v>3295</v>
      </c>
      <c r="Z6" s="65" t="s">
        <v>3296</v>
      </c>
      <c r="AA6" s="65" t="s">
        <v>3297</v>
      </c>
      <c r="AB6" s="65" t="s">
        <v>3298</v>
      </c>
      <c r="AC6" s="66" t="s">
        <v>3299</v>
      </c>
      <c r="AD6" s="66" t="s">
        <v>3300</v>
      </c>
      <c r="AE6" s="66" t="s">
        <v>3301</v>
      </c>
      <c r="AF6" s="67" t="s">
        <v>3302</v>
      </c>
      <c r="AG6" s="67" t="s">
        <v>3303</v>
      </c>
      <c r="AH6" s="67" t="s">
        <v>3304</v>
      </c>
      <c r="AI6" s="68" t="s">
        <v>3305</v>
      </c>
      <c r="AJ6" s="68" t="s">
        <v>3306</v>
      </c>
      <c r="AK6" s="68" t="s">
        <v>3307</v>
      </c>
      <c r="AL6" s="59"/>
      <c r="AM6" s="59"/>
      <c r="AN6" s="59"/>
      <c r="AO6" s="59"/>
      <c r="AP6" s="59"/>
      <c r="AQ6" s="59"/>
      <c r="AR6" s="59"/>
      <c r="AS6" s="59"/>
      <c r="AT6" s="59"/>
      <c r="AU6" s="59"/>
      <c r="AV6" s="47"/>
      <c r="AW6" s="47"/>
      <c r="AX6" s="59"/>
    </row>
    <row r="7" spans="1:50" ht="49.5" customHeight="1" x14ac:dyDescent="0.2">
      <c r="A7" s="47" t="s">
        <v>182</v>
      </c>
      <c r="B7" s="47" t="s">
        <v>183</v>
      </c>
      <c r="C7" s="47" t="s">
        <v>184</v>
      </c>
      <c r="D7" s="47" t="s">
        <v>185</v>
      </c>
      <c r="E7" s="69" t="s">
        <v>3308</v>
      </c>
      <c r="F7" s="69" t="s">
        <v>1548</v>
      </c>
      <c r="G7" s="69" t="s">
        <v>3309</v>
      </c>
      <c r="H7" s="69" t="s">
        <v>3310</v>
      </c>
      <c r="I7" s="70" t="s">
        <v>3311</v>
      </c>
      <c r="J7" s="70" t="s">
        <v>3312</v>
      </c>
      <c r="K7" s="70" t="s">
        <v>3313</v>
      </c>
      <c r="L7" s="71" t="s">
        <v>3314</v>
      </c>
      <c r="M7" s="71" t="s">
        <v>3315</v>
      </c>
      <c r="N7" s="71" t="s">
        <v>3316</v>
      </c>
      <c r="O7" s="71" t="s">
        <v>3317</v>
      </c>
      <c r="P7" s="72" t="s">
        <v>3318</v>
      </c>
      <c r="Q7" s="72" t="s">
        <v>3319</v>
      </c>
      <c r="R7" s="72" t="s">
        <v>3320</v>
      </c>
      <c r="S7" s="72" t="s">
        <v>3321</v>
      </c>
      <c r="T7" s="72" t="s">
        <v>3322</v>
      </c>
      <c r="U7" s="72" t="s">
        <v>3323</v>
      </c>
      <c r="V7" s="73" t="s">
        <v>3324</v>
      </c>
      <c r="W7" s="73" t="s">
        <v>3325</v>
      </c>
      <c r="X7" s="73" t="s">
        <v>3326</v>
      </c>
      <c r="Y7" s="73" t="s">
        <v>3327</v>
      </c>
      <c r="Z7" s="74" t="s">
        <v>3328</v>
      </c>
      <c r="AA7" s="74" t="s">
        <v>3329</v>
      </c>
      <c r="AB7" s="74" t="s">
        <v>3330</v>
      </c>
      <c r="AC7" s="75" t="s">
        <v>3331</v>
      </c>
      <c r="AD7" s="75" t="s">
        <v>3332</v>
      </c>
      <c r="AE7" s="75" t="s">
        <v>3333</v>
      </c>
      <c r="AF7" s="76" t="s">
        <v>3334</v>
      </c>
      <c r="AG7" s="76" t="s">
        <v>3335</v>
      </c>
      <c r="AH7" s="76" t="s">
        <v>3336</v>
      </c>
      <c r="AI7" s="77" t="s">
        <v>3337</v>
      </c>
      <c r="AJ7" s="77" t="s">
        <v>3338</v>
      </c>
      <c r="AK7" s="77" t="s">
        <v>3339</v>
      </c>
      <c r="AL7" s="47" t="s">
        <v>3262</v>
      </c>
      <c r="AM7" s="47" t="s">
        <v>3263</v>
      </c>
      <c r="AN7" s="47" t="s">
        <v>3264</v>
      </c>
      <c r="AO7" s="47" t="s">
        <v>3265</v>
      </c>
      <c r="AP7" s="47" t="s">
        <v>3266</v>
      </c>
      <c r="AQ7" s="47" t="s">
        <v>3267</v>
      </c>
      <c r="AR7" s="47" t="s">
        <v>3268</v>
      </c>
      <c r="AS7" s="47" t="s">
        <v>3269</v>
      </c>
      <c r="AT7" s="47" t="s">
        <v>3270</v>
      </c>
      <c r="AU7" s="47" t="s">
        <v>3271</v>
      </c>
      <c r="AV7" s="47" t="s">
        <v>3273</v>
      </c>
      <c r="AW7" s="47" t="s">
        <v>3274</v>
      </c>
      <c r="AX7" s="47" t="s">
        <v>3272</v>
      </c>
    </row>
    <row r="8" spans="1:50" ht="24" customHeight="1" x14ac:dyDescent="0.2">
      <c r="A8" s="48" t="s">
        <v>537</v>
      </c>
      <c r="B8" s="48" t="s">
        <v>538</v>
      </c>
      <c r="C8" s="78" t="str">
        <f>IF(A8="","",IFERROR(INDEX('UNIVERSO MAESTRO'!$C$6:$C$497,MATCH(A8,'UNIVERSO MAESTRO'!$A$6:$A$497,0)),"⚠ ID no encontrado"))</f>
        <v>Endeavor / WME Group</v>
      </c>
      <c r="D8" s="79" t="str">
        <f>IF(A8="","",IFERROR(INDEX('UNIVERSO MAESTRO'!$D$6:$D$497,MATCH(A8,'UNIVERSO MAESTRO'!$A$6:$A$497,0)),""))</f>
        <v>V9</v>
      </c>
      <c r="E8" s="80" t="s">
        <v>1530</v>
      </c>
      <c r="F8" s="80" t="s">
        <v>1530</v>
      </c>
      <c r="G8" s="80" t="s">
        <v>1530</v>
      </c>
      <c r="H8" s="80" t="s">
        <v>353</v>
      </c>
      <c r="I8" s="80" t="s">
        <v>353</v>
      </c>
      <c r="J8" s="80" t="s">
        <v>353</v>
      </c>
      <c r="K8" s="80" t="s">
        <v>353</v>
      </c>
      <c r="L8" s="80" t="s">
        <v>353</v>
      </c>
      <c r="M8" s="80" t="s">
        <v>353</v>
      </c>
      <c r="N8" s="80" t="s">
        <v>353</v>
      </c>
      <c r="O8" s="80" t="s">
        <v>353</v>
      </c>
      <c r="P8" s="80" t="s">
        <v>1530</v>
      </c>
      <c r="Q8" s="80" t="s">
        <v>1530</v>
      </c>
      <c r="R8" s="80" t="s">
        <v>353</v>
      </c>
      <c r="S8" s="80" t="s">
        <v>353</v>
      </c>
      <c r="T8" s="80" t="s">
        <v>3340</v>
      </c>
      <c r="U8" s="80" t="s">
        <v>353</v>
      </c>
      <c r="V8" s="80" t="s">
        <v>1530</v>
      </c>
      <c r="W8" s="80" t="s">
        <v>1530</v>
      </c>
      <c r="X8" s="80" t="s">
        <v>353</v>
      </c>
      <c r="Y8" s="80" t="s">
        <v>3340</v>
      </c>
      <c r="Z8" s="80" t="s">
        <v>353</v>
      </c>
      <c r="AA8" s="80" t="s">
        <v>353</v>
      </c>
      <c r="AB8" s="80" t="s">
        <v>353</v>
      </c>
      <c r="AC8" s="80" t="s">
        <v>353</v>
      </c>
      <c r="AD8" s="80" t="s">
        <v>353</v>
      </c>
      <c r="AE8" s="80" t="s">
        <v>353</v>
      </c>
      <c r="AF8" s="80" t="s">
        <v>353</v>
      </c>
      <c r="AG8" s="80" t="s">
        <v>353</v>
      </c>
      <c r="AH8" s="80" t="s">
        <v>353</v>
      </c>
      <c r="AI8" s="80" t="s">
        <v>1530</v>
      </c>
      <c r="AJ8" s="80" t="s">
        <v>353</v>
      </c>
      <c r="AK8" s="80" t="s">
        <v>353</v>
      </c>
      <c r="AL8" s="81">
        <f>IF(E8="Sí",1,IF(E8="Parcial",0.5,0))+IF(F8="Sí",1,IF(F8="Parcial",0.5,0))+IF(G8="Sí",1,IF(G8="Parcial",0.5,0))+IF(H8="Sí",1,IF(H8="Parcial",0.5,0))</f>
        <v>3</v>
      </c>
      <c r="AM8" s="82">
        <f>IF(I8="Sí",1,IF(I8="Parcial",0.5,0))+IF(J8="Sí",1,IF(J8="Parcial",0.5,0))+IF(K8="Sí",1,IF(K8="Parcial",0.5,0))</f>
        <v>0</v>
      </c>
      <c r="AN8" s="83">
        <f>IF(L8="Sí",1,IF(L8="Parcial",0.5,0))+IF(M8="Sí",1,IF(M8="Parcial",0.5,0))+IF(N8="Sí",1,IF(N8="Parcial",0.5,0))+IF(O8="Sí",1,IF(O8="Parcial",0.5,0))</f>
        <v>0</v>
      </c>
      <c r="AO8" s="84">
        <f>IF(P8="Sí",1,IF(P8="Parcial",0.5,0))+IF(Q8="Sí",1,IF(Q8="Parcial",0.5,0))+IF(R8="Sí",1,IF(R8="Parcial",0.5,0))+IF(S8="Sí",1,IF(S8="Parcial",0.5,0))+IF(T8="Sí",1,IF(T8="Parcial",0.5,0))+IF(U8="Sí",1,IF(U8="Parcial",0.5,0))</f>
        <v>2.5</v>
      </c>
      <c r="AP8" s="85">
        <f>IF(V8="Sí",1,IF(V8="Parcial",0.5,0))+IF(W8="Sí",1,IF(W8="Parcial",0.5,0))+IF(X8="Sí",1,IF(X8="Parcial",0.5,0))+IF(Y8="Sí",1,IF(Y8="Parcial",0.5,0))</f>
        <v>2.5</v>
      </c>
      <c r="AQ8" s="86">
        <f>IF(Z8="Sí",1,IF(Z8="Parcial",0.5,0))+IF(AA8="Sí",1,IF(AA8="Parcial",0.5,0))+IF(AB8="Sí",1,IF(AB8="Parcial",0.5,0))</f>
        <v>0</v>
      </c>
      <c r="AR8" s="87">
        <f>IF(AC8="Sí",1,IF(AC8="Parcial",0.5,0))+IF(AD8="Sí",1,IF(AD8="Parcial",0.5,0))+IF(AE8="Sí",1,IF(AE8="Parcial",0.5,0))</f>
        <v>0</v>
      </c>
      <c r="AS8" s="88">
        <f>IF(AF8="Sí",1,IF(AF8="Parcial",0.5,0))+IF(AG8="Sí",1,IF(AG8="Parcial",0.5,0))+IF(AH8="Sí",1,IF(AH8="Parcial",0.5,0))</f>
        <v>0</v>
      </c>
      <c r="AT8" s="89">
        <f>IF(AI8="Sí",1,IF(AI8="Parcial",0.5,0))+IF(AJ8="Sí",1,IF(AJ8="Parcial",0.5,0))+IF(AK8="Sí",1,IF(AK8="Parcial",0.5,0))</f>
        <v>1</v>
      </c>
      <c r="AU8" s="90">
        <f>SUM(AL8,AM8,AN8,AO8,AP8,AQ8,AR8,AS8,AT8)</f>
        <v>9</v>
      </c>
      <c r="AV8" s="225">
        <f>IFERROR(IF(OR(A8="",AU8=0),"",AU8/(IF(AL8&gt;0,1,0)+IF(AM8&gt;0,1,0)+IF(AN8&gt;0,1,0)+IF(AO8&gt;0,1,0)+IF(AP8&gt;0,1,0)+IF(AQ8&gt;0,1,0)+IF(AR8&gt;0,1,0)+IF(AS8&gt;0,1,0)+IF(AT8&gt;0,1,0))),"")</f>
        <v>2.25</v>
      </c>
      <c r="AW8" s="225">
        <f>IFERROR(IF(OR(A8="",AU8=""),"",IF(AND(MAX($AU$8:$AU$156)=0,MAX($AV$8:$AV$156)=0),"",0.5*(AU8/MAX($AU$8:$AU$156))+0.5*(AV8/MAX($AV$8:$AV$156)))),"")</f>
        <v>0.78125</v>
      </c>
      <c r="AX8" s="79" t="str">
        <f>IF(A8="","",IF((IF(AL8&gt;=1,1,0)+IF(AM8&gt;=1,1,0)+IF(AN8&gt;=1,1,0)+IF(AO8&gt;=1,1,0)+IF(AP8&gt;=1,1,0)+IF(AQ8&gt;=1,1,0)+IF(AR8&gt;=1,1,0)+IF(AS8&gt;=1,1,0)+IF(AT8&gt;=1,1,0))&gt;=5,"Diversificado (5+ verticales)",IF((IF(AL8&gt;=1,1,0)+IF(AM8&gt;=1,1,0)+IF(AN8&gt;=1,1,0)+IF(AO8&gt;=1,1,0)+IF(AP8&gt;=1,1,0)+IF(AQ8&gt;=1,1,0)+IF(AR8&gt;=1,1,0)+IF(AS8&gt;=1,1,0)+IF(AT8&gt;=1,1,0))&gt;=3,"Multi-capacidad (3-4 verticales)",IF((IF(AL8&gt;=1,1,0)+IF(AM8&gt;=1,1,0)+IF(AN8&gt;=1,1,0)+IF(AO8&gt;=1,1,0)+IF(AP8&gt;=1,1,0)+IF(AQ8&gt;=1,1,0)+IF(AR8&gt;=1,1,0)+IF(AS8&gt;=1,1,0)+IF(AT8&gt;=1,1,0))&gt;=1,"Especialista (1-2 verticales)","Sin función mapeada"))))</f>
        <v>Multi-capacidad (3-4 verticales)</v>
      </c>
    </row>
    <row r="9" spans="1:50" ht="24" customHeight="1" x14ac:dyDescent="0.2">
      <c r="A9" s="48" t="s">
        <v>622</v>
      </c>
      <c r="B9" s="48" t="s">
        <v>623</v>
      </c>
      <c r="C9" s="78" t="str">
        <f>IF(A9="","",IFERROR(INDEX('UNIVERSO MAESTRO'!$C$6:$C$497,MATCH(A9,'UNIVERSO MAESTRO'!$A$6:$A$497,0)),"⚠ ID no encontrado"))</f>
        <v>FEMSA / Club de Fútbol Monterrey Rayados</v>
      </c>
      <c r="D9" s="79" t="str">
        <f>IF(A9="","",IFERROR(INDEX('UNIVERSO MAESTRO'!$D$6:$D$497,MATCH(A9,'UNIVERSO MAESTRO'!$A$6:$A$497,0)),""))</f>
        <v>V9</v>
      </c>
      <c r="E9" s="80" t="s">
        <v>1530</v>
      </c>
      <c r="F9" s="80" t="s">
        <v>353</v>
      </c>
      <c r="G9" s="80" t="s">
        <v>1530</v>
      </c>
      <c r="H9" s="80" t="s">
        <v>353</v>
      </c>
      <c r="I9" s="80" t="s">
        <v>353</v>
      </c>
      <c r="J9" s="80" t="s">
        <v>353</v>
      </c>
      <c r="K9" s="80" t="s">
        <v>353</v>
      </c>
      <c r="L9" s="80" t="s">
        <v>353</v>
      </c>
      <c r="M9" s="80" t="s">
        <v>353</v>
      </c>
      <c r="N9" s="80" t="s">
        <v>353</v>
      </c>
      <c r="O9" s="80" t="s">
        <v>353</v>
      </c>
      <c r="P9" s="80" t="s">
        <v>353</v>
      </c>
      <c r="Q9" s="80" t="s">
        <v>353</v>
      </c>
      <c r="R9" s="80" t="s">
        <v>353</v>
      </c>
      <c r="S9" s="80" t="s">
        <v>353</v>
      </c>
      <c r="T9" s="80" t="s">
        <v>353</v>
      </c>
      <c r="U9" s="80" t="s">
        <v>353</v>
      </c>
      <c r="V9" s="80" t="s">
        <v>1530</v>
      </c>
      <c r="W9" s="80" t="s">
        <v>1530</v>
      </c>
      <c r="X9" s="80" t="s">
        <v>353</v>
      </c>
      <c r="Y9" s="80" t="s">
        <v>1530</v>
      </c>
      <c r="Z9" s="80" t="s">
        <v>353</v>
      </c>
      <c r="AA9" s="80" t="s">
        <v>353</v>
      </c>
      <c r="AB9" s="80" t="s">
        <v>353</v>
      </c>
      <c r="AC9" s="80" t="s">
        <v>1530</v>
      </c>
      <c r="AD9" s="80" t="s">
        <v>1530</v>
      </c>
      <c r="AE9" s="80" t="s">
        <v>1530</v>
      </c>
      <c r="AF9" s="80" t="s">
        <v>353</v>
      </c>
      <c r="AG9" s="80" t="s">
        <v>353</v>
      </c>
      <c r="AH9" s="80" t="s">
        <v>353</v>
      </c>
      <c r="AI9" s="80" t="s">
        <v>1530</v>
      </c>
      <c r="AJ9" s="80" t="s">
        <v>353</v>
      </c>
      <c r="AK9" s="80" t="s">
        <v>353</v>
      </c>
      <c r="AL9" s="81">
        <f>IF(E9="Sí",1,IF(E9="Parcial",0.5,0))+IF(F9="Sí",1,IF(F9="Parcial",0.5,0))+IF(G9="Sí",1,IF(G9="Parcial",0.5,0))+IF(H9="Sí",1,IF(H9="Parcial",0.5,0))</f>
        <v>2</v>
      </c>
      <c r="AM9" s="82">
        <f>IF(I9="Sí",1,IF(I9="Parcial",0.5,0))+IF(J9="Sí",1,IF(J9="Parcial",0.5,0))+IF(K9="Sí",1,IF(K9="Parcial",0.5,0))</f>
        <v>0</v>
      </c>
      <c r="AN9" s="83">
        <f>IF(L9="Sí",1,IF(L9="Parcial",0.5,0))+IF(M9="Sí",1,IF(M9="Parcial",0.5,0))+IF(N9="Sí",1,IF(N9="Parcial",0.5,0))+IF(O9="Sí",1,IF(O9="Parcial",0.5,0))</f>
        <v>0</v>
      </c>
      <c r="AO9" s="84">
        <f>IF(P9="Sí",1,IF(P9="Parcial",0.5,0))+IF(Q9="Sí",1,IF(Q9="Parcial",0.5,0))+IF(R9="Sí",1,IF(R9="Parcial",0.5,0))+IF(S9="Sí",1,IF(S9="Parcial",0.5,0))+IF(T9="Sí",1,IF(T9="Parcial",0.5,0))+IF(U9="Sí",1,IF(U9="Parcial",0.5,0))</f>
        <v>0</v>
      </c>
      <c r="AP9" s="85">
        <f>IF(V9="Sí",1,IF(V9="Parcial",0.5,0))+IF(W9="Sí",1,IF(W9="Parcial",0.5,0))+IF(X9="Sí",1,IF(X9="Parcial",0.5,0))+IF(Y9="Sí",1,IF(Y9="Parcial",0.5,0))</f>
        <v>3</v>
      </c>
      <c r="AQ9" s="86">
        <f>IF(Z9="Sí",1,IF(Z9="Parcial",0.5,0))+IF(AA9="Sí",1,IF(AA9="Parcial",0.5,0))+IF(AB9="Sí",1,IF(AB9="Parcial",0.5,0))</f>
        <v>0</v>
      </c>
      <c r="AR9" s="87">
        <f>IF(AC9="Sí",1,IF(AC9="Parcial",0.5,0))+IF(AD9="Sí",1,IF(AD9="Parcial",0.5,0))+IF(AE9="Sí",1,IF(AE9="Parcial",0.5,0))</f>
        <v>3</v>
      </c>
      <c r="AS9" s="88">
        <f>IF(AF9="Sí",1,IF(AF9="Parcial",0.5,0))+IF(AG9="Sí",1,IF(AG9="Parcial",0.5,0))+IF(AH9="Sí",1,IF(AH9="Parcial",0.5,0))</f>
        <v>0</v>
      </c>
      <c r="AT9" s="89">
        <f>IF(AI9="Sí",1,IF(AI9="Parcial",0.5,0))+IF(AJ9="Sí",1,IF(AJ9="Parcial",0.5,0))+IF(AK9="Sí",1,IF(AK9="Parcial",0.5,0))</f>
        <v>1</v>
      </c>
      <c r="AU9" s="90">
        <f>SUM(AL9,AM9,AN9,AO9,AP9,AQ9,AR9,AS9,AT9)</f>
        <v>9</v>
      </c>
      <c r="AV9" s="225">
        <f>IFERROR(IF(OR(A9="",AU9=0),"",AU9/(IF(AL9&gt;0,1,0)+IF(AM9&gt;0,1,0)+IF(AN9&gt;0,1,0)+IF(AO9&gt;0,1,0)+IF(AP9&gt;0,1,0)+IF(AQ9&gt;0,1,0)+IF(AR9&gt;0,1,0)+IF(AS9&gt;0,1,0)+IF(AT9&gt;0,1,0))),"")</f>
        <v>2.25</v>
      </c>
      <c r="AW9" s="225">
        <f>IFERROR(IF(OR(A9="",AU9=""),"",IF(AND(MAX($AU$8:$AU$156)=0,MAX($AV$8:$AV$156)=0),"",0.5*(AU9/MAX($AU$8:$AU$156))+0.5*(AV9/MAX($AV$8:$AV$156)))),"")</f>
        <v>0.78125</v>
      </c>
      <c r="AX9" s="79" t="str">
        <f>IF(A9="","",IF((IF(AL9&gt;=1,1,0)+IF(AM9&gt;=1,1,0)+IF(AN9&gt;=1,1,0)+IF(AO9&gt;=1,1,0)+IF(AP9&gt;=1,1,0)+IF(AQ9&gt;=1,1,0)+IF(AR9&gt;=1,1,0)+IF(AS9&gt;=1,1,0)+IF(AT9&gt;=1,1,0))&gt;=5,"Diversificado (5+ verticales)",IF((IF(AL9&gt;=1,1,0)+IF(AM9&gt;=1,1,0)+IF(AN9&gt;=1,1,0)+IF(AO9&gt;=1,1,0)+IF(AP9&gt;=1,1,0)+IF(AQ9&gt;=1,1,0)+IF(AR9&gt;=1,1,0)+IF(AS9&gt;=1,1,0)+IF(AT9&gt;=1,1,0))&gt;=3,"Multi-capacidad (3-4 verticales)",IF((IF(AL9&gt;=1,1,0)+IF(AM9&gt;=1,1,0)+IF(AN9&gt;=1,1,0)+IF(AO9&gt;=1,1,0)+IF(AP9&gt;=1,1,0)+IF(AQ9&gt;=1,1,0)+IF(AR9&gt;=1,1,0)+IF(AS9&gt;=1,1,0)+IF(AT9&gt;=1,1,0))&gt;=1,"Especialista (1-2 verticales)","Sin función mapeada"))))</f>
        <v>Multi-capacidad (3-4 verticales)</v>
      </c>
    </row>
    <row r="10" spans="1:50" ht="24" customHeight="1" x14ac:dyDescent="0.2">
      <c r="A10" s="48" t="s">
        <v>400</v>
      </c>
      <c r="B10" s="48" t="s">
        <v>401</v>
      </c>
      <c r="C10" s="78" t="str">
        <f>IF(A10="","",IFERROR(INDEX('UNIVERSO MAESTRO'!$C$6:$C$497,MATCH(A10,'UNIVERSO MAESTRO'!$A$6:$A$497,0)),"⚠ ID no encontrado"))</f>
        <v>CIE / OCESA (V5 Experiencias)</v>
      </c>
      <c r="D10" s="79" t="str">
        <f>IF(A10="","",IFERROR(INDEX('UNIVERSO MAESTRO'!$D$6:$D$497,MATCH(A10,'UNIVERSO MAESTRO'!$A$6:$A$497,0)),""))</f>
        <v>V5</v>
      </c>
      <c r="E10" s="80" t="s">
        <v>353</v>
      </c>
      <c r="F10" s="80" t="s">
        <v>353</v>
      </c>
      <c r="G10" s="80" t="s">
        <v>353</v>
      </c>
      <c r="H10" s="80" t="s">
        <v>353</v>
      </c>
      <c r="I10" s="80" t="s">
        <v>353</v>
      </c>
      <c r="J10" s="80" t="s">
        <v>353</v>
      </c>
      <c r="K10" s="80" t="s">
        <v>353</v>
      </c>
      <c r="L10" s="80" t="s">
        <v>353</v>
      </c>
      <c r="M10" s="80" t="s">
        <v>353</v>
      </c>
      <c r="N10" s="80" t="s">
        <v>353</v>
      </c>
      <c r="O10" s="80" t="s">
        <v>353</v>
      </c>
      <c r="P10" s="80" t="s">
        <v>353</v>
      </c>
      <c r="Q10" s="80" t="s">
        <v>353</v>
      </c>
      <c r="R10" s="80" t="s">
        <v>353</v>
      </c>
      <c r="S10" s="80" t="s">
        <v>353</v>
      </c>
      <c r="T10" s="80" t="s">
        <v>353</v>
      </c>
      <c r="U10" s="80" t="s">
        <v>353</v>
      </c>
      <c r="V10" s="80" t="s">
        <v>1530</v>
      </c>
      <c r="W10" s="80" t="s">
        <v>1530</v>
      </c>
      <c r="X10" s="80" t="s">
        <v>353</v>
      </c>
      <c r="Y10" s="80" t="s">
        <v>1530</v>
      </c>
      <c r="Z10" s="80" t="s">
        <v>1530</v>
      </c>
      <c r="AA10" s="80" t="s">
        <v>1530</v>
      </c>
      <c r="AB10" s="80" t="s">
        <v>353</v>
      </c>
      <c r="AC10" s="80" t="s">
        <v>3340</v>
      </c>
      <c r="AD10" s="80" t="s">
        <v>1530</v>
      </c>
      <c r="AE10" s="80" t="s">
        <v>1530</v>
      </c>
      <c r="AF10" s="80" t="s">
        <v>353</v>
      </c>
      <c r="AG10" s="80" t="s">
        <v>353</v>
      </c>
      <c r="AH10" s="80" t="s">
        <v>353</v>
      </c>
      <c r="AI10" s="80" t="s">
        <v>353</v>
      </c>
      <c r="AJ10" s="80" t="s">
        <v>353</v>
      </c>
      <c r="AK10" s="80" t="s">
        <v>353</v>
      </c>
      <c r="AL10" s="81">
        <f>IF(E10="Sí",1,IF(E10="Parcial",0.5,0))+IF(F10="Sí",1,IF(F10="Parcial",0.5,0))+IF(G10="Sí",1,IF(G10="Parcial",0.5,0))+IF(H10="Sí",1,IF(H10="Parcial",0.5,0))</f>
        <v>0</v>
      </c>
      <c r="AM10" s="82">
        <f>IF(I10="Sí",1,IF(I10="Parcial",0.5,0))+IF(J10="Sí",1,IF(J10="Parcial",0.5,0))+IF(K10="Sí",1,IF(K10="Parcial",0.5,0))</f>
        <v>0</v>
      </c>
      <c r="AN10" s="83">
        <f>IF(L10="Sí",1,IF(L10="Parcial",0.5,0))+IF(M10="Sí",1,IF(M10="Parcial",0.5,0))+IF(N10="Sí",1,IF(N10="Parcial",0.5,0))+IF(O10="Sí",1,IF(O10="Parcial",0.5,0))</f>
        <v>0</v>
      </c>
      <c r="AO10" s="84">
        <f>IF(P10="Sí",1,IF(P10="Parcial",0.5,0))+IF(Q10="Sí",1,IF(Q10="Parcial",0.5,0))+IF(R10="Sí",1,IF(R10="Parcial",0.5,0))+IF(S10="Sí",1,IF(S10="Parcial",0.5,0))+IF(T10="Sí",1,IF(T10="Parcial",0.5,0))+IF(U10="Sí",1,IF(U10="Parcial",0.5,0))</f>
        <v>0</v>
      </c>
      <c r="AP10" s="85">
        <f>IF(V10="Sí",1,IF(V10="Parcial",0.5,0))+IF(W10="Sí",1,IF(W10="Parcial",0.5,0))+IF(X10="Sí",1,IF(X10="Parcial",0.5,0))+IF(Y10="Sí",1,IF(Y10="Parcial",0.5,0))</f>
        <v>3</v>
      </c>
      <c r="AQ10" s="86">
        <f>IF(Z10="Sí",1,IF(Z10="Parcial",0.5,0))+IF(AA10="Sí",1,IF(AA10="Parcial",0.5,0))+IF(AB10="Sí",1,IF(AB10="Parcial",0.5,0))</f>
        <v>2</v>
      </c>
      <c r="AR10" s="87">
        <f>IF(AC10="Sí",1,IF(AC10="Parcial",0.5,0))+IF(AD10="Sí",1,IF(AD10="Parcial",0.5,0))+IF(AE10="Sí",1,IF(AE10="Parcial",0.5,0))</f>
        <v>2.5</v>
      </c>
      <c r="AS10" s="88">
        <f>IF(AF10="Sí",1,IF(AF10="Parcial",0.5,0))+IF(AG10="Sí",1,IF(AG10="Parcial",0.5,0))+IF(AH10="Sí",1,IF(AH10="Parcial",0.5,0))</f>
        <v>0</v>
      </c>
      <c r="AT10" s="89">
        <f>IF(AI10="Sí",1,IF(AI10="Parcial",0.5,0))+IF(AJ10="Sí",1,IF(AJ10="Parcial",0.5,0))+IF(AK10="Sí",1,IF(AK10="Parcial",0.5,0))</f>
        <v>0</v>
      </c>
      <c r="AU10" s="90">
        <f>SUM(AL10,AM10,AN10,AO10,AP10,AQ10,AR10,AS10,AT10)</f>
        <v>7.5</v>
      </c>
      <c r="AV10" s="225">
        <f>IFERROR(IF(OR(A10="",AU10=0),"",AU10/(IF(AL10&gt;0,1,0)+IF(AM10&gt;0,1,0)+IF(AN10&gt;0,1,0)+IF(AO10&gt;0,1,0)+IF(AP10&gt;0,1,0)+IF(AQ10&gt;0,1,0)+IF(AR10&gt;0,1,0)+IF(AS10&gt;0,1,0)+IF(AT10&gt;0,1,0))),"")</f>
        <v>2.5</v>
      </c>
      <c r="AW10" s="225">
        <f>IFERROR(IF(OR(A10="",AU10=""),"",IF(AND(MAX($AU$8:$AU$156)=0,MAX($AV$8:$AV$156)=0),"",0.5*(AU10/MAX($AU$8:$AU$156))+0.5*(AV10/MAX($AV$8:$AV$156)))),"")</f>
        <v>0.72916666666666674</v>
      </c>
      <c r="AX10" s="79" t="str">
        <f>IF(A10="","",IF((IF(AL10&gt;=1,1,0)+IF(AM10&gt;=1,1,0)+IF(AN10&gt;=1,1,0)+IF(AO10&gt;=1,1,0)+IF(AP10&gt;=1,1,0)+IF(AQ10&gt;=1,1,0)+IF(AR10&gt;=1,1,0)+IF(AS10&gt;=1,1,0)+IF(AT10&gt;=1,1,0))&gt;=5,"Diversificado (5+ verticales)",IF((IF(AL10&gt;=1,1,0)+IF(AM10&gt;=1,1,0)+IF(AN10&gt;=1,1,0)+IF(AO10&gt;=1,1,0)+IF(AP10&gt;=1,1,0)+IF(AQ10&gt;=1,1,0)+IF(AR10&gt;=1,1,0)+IF(AS10&gt;=1,1,0)+IF(AT10&gt;=1,1,0))&gt;=3,"Multi-capacidad (3-4 verticales)",IF((IF(AL10&gt;=1,1,0)+IF(AM10&gt;=1,1,0)+IF(AN10&gt;=1,1,0)+IF(AO10&gt;=1,1,0)+IF(AP10&gt;=1,1,0)+IF(AQ10&gt;=1,1,0)+IF(AR10&gt;=1,1,0)+IF(AS10&gt;=1,1,0)+IF(AT10&gt;=1,1,0))&gt;=1,"Especialista (1-2 verticales)","Sin función mapeada"))))</f>
        <v>Multi-capacidad (3-4 verticales)</v>
      </c>
    </row>
    <row r="11" spans="1:50" ht="24" customHeight="1" x14ac:dyDescent="0.2">
      <c r="A11" s="48" t="s">
        <v>614</v>
      </c>
      <c r="B11" s="48" t="s">
        <v>615</v>
      </c>
      <c r="C11" s="78" t="str">
        <f>IF(A11="","",IFERROR(INDEX('UNIVERSO MAESTRO'!$C$6:$C$497,MATCH(A11,'UNIVERSO MAESTRO'!$A$6:$A$497,0)),"⚠ ID no encontrado"))</f>
        <v>Federación Mexicana de Fútbol</v>
      </c>
      <c r="D11" s="79" t="str">
        <f>IF(A11="","",IFERROR(INDEX('UNIVERSO MAESTRO'!$D$6:$D$497,MATCH(A11,'UNIVERSO MAESTRO'!$A$6:$A$497,0)),""))</f>
        <v>V1</v>
      </c>
      <c r="E11" s="80" t="s">
        <v>1530</v>
      </c>
      <c r="F11" s="80" t="s">
        <v>1530</v>
      </c>
      <c r="G11" s="80" t="s">
        <v>1530</v>
      </c>
      <c r="H11" s="80" t="s">
        <v>1530</v>
      </c>
      <c r="I11" s="80" t="s">
        <v>353</v>
      </c>
      <c r="J11" s="80" t="s">
        <v>353</v>
      </c>
      <c r="K11" s="80" t="s">
        <v>353</v>
      </c>
      <c r="L11" s="80" t="s">
        <v>353</v>
      </c>
      <c r="M11" s="80" t="s">
        <v>353</v>
      </c>
      <c r="N11" s="80" t="s">
        <v>353</v>
      </c>
      <c r="O11" s="80" t="s">
        <v>353</v>
      </c>
      <c r="P11" s="80" t="s">
        <v>353</v>
      </c>
      <c r="Q11" s="80" t="s">
        <v>353</v>
      </c>
      <c r="R11" s="80" t="s">
        <v>353</v>
      </c>
      <c r="S11" s="80" t="s">
        <v>353</v>
      </c>
      <c r="T11" s="80" t="s">
        <v>353</v>
      </c>
      <c r="U11" s="80" t="s">
        <v>353</v>
      </c>
      <c r="V11" s="80" t="s">
        <v>353</v>
      </c>
      <c r="W11" s="80" t="s">
        <v>353</v>
      </c>
      <c r="X11" s="80" t="s">
        <v>353</v>
      </c>
      <c r="Y11" s="80" t="s">
        <v>353</v>
      </c>
      <c r="Z11" s="80" t="s">
        <v>353</v>
      </c>
      <c r="AA11" s="80" t="s">
        <v>353</v>
      </c>
      <c r="AB11" s="80" t="s">
        <v>353</v>
      </c>
      <c r="AC11" s="80" t="s">
        <v>353</v>
      </c>
      <c r="AD11" s="80" t="s">
        <v>353</v>
      </c>
      <c r="AE11" s="80" t="s">
        <v>353</v>
      </c>
      <c r="AF11" s="80" t="s">
        <v>353</v>
      </c>
      <c r="AG11" s="80" t="s">
        <v>353</v>
      </c>
      <c r="AH11" s="80" t="s">
        <v>353</v>
      </c>
      <c r="AI11" s="80" t="s">
        <v>353</v>
      </c>
      <c r="AJ11" s="80" t="s">
        <v>353</v>
      </c>
      <c r="AK11" s="80" t="s">
        <v>353</v>
      </c>
      <c r="AL11" s="81">
        <f>IF(E11="Sí",1,IF(E11="Parcial",0.5,0))+IF(F11="Sí",1,IF(F11="Parcial",0.5,0))+IF(G11="Sí",1,IF(G11="Parcial",0.5,0))+IF(H11="Sí",1,IF(H11="Parcial",0.5,0))</f>
        <v>4</v>
      </c>
      <c r="AM11" s="82">
        <f>IF(I11="Sí",1,IF(I11="Parcial",0.5,0))+IF(J11="Sí",1,IF(J11="Parcial",0.5,0))+IF(K11="Sí",1,IF(K11="Parcial",0.5,0))</f>
        <v>0</v>
      </c>
      <c r="AN11" s="83">
        <f>IF(L11="Sí",1,IF(L11="Parcial",0.5,0))+IF(M11="Sí",1,IF(M11="Parcial",0.5,0))+IF(N11="Sí",1,IF(N11="Parcial",0.5,0))+IF(O11="Sí",1,IF(O11="Parcial",0.5,0))</f>
        <v>0</v>
      </c>
      <c r="AO11" s="84">
        <f>IF(P11="Sí",1,IF(P11="Parcial",0.5,0))+IF(Q11="Sí",1,IF(Q11="Parcial",0.5,0))+IF(R11="Sí",1,IF(R11="Parcial",0.5,0))+IF(S11="Sí",1,IF(S11="Parcial",0.5,0))+IF(T11="Sí",1,IF(T11="Parcial",0.5,0))+IF(U11="Sí",1,IF(U11="Parcial",0.5,0))</f>
        <v>0</v>
      </c>
      <c r="AP11" s="85">
        <f>IF(V11="Sí",1,IF(V11="Parcial",0.5,0))+IF(W11="Sí",1,IF(W11="Parcial",0.5,0))+IF(X11="Sí",1,IF(X11="Parcial",0.5,0))+IF(Y11="Sí",1,IF(Y11="Parcial",0.5,0))</f>
        <v>0</v>
      </c>
      <c r="AQ11" s="86">
        <f>IF(Z11="Sí",1,IF(Z11="Parcial",0.5,0))+IF(AA11="Sí",1,IF(AA11="Parcial",0.5,0))+IF(AB11="Sí",1,IF(AB11="Parcial",0.5,0))</f>
        <v>0</v>
      </c>
      <c r="AR11" s="87">
        <f>IF(AC11="Sí",1,IF(AC11="Parcial",0.5,0))+IF(AD11="Sí",1,IF(AD11="Parcial",0.5,0))+IF(AE11="Sí",1,IF(AE11="Parcial",0.5,0))</f>
        <v>0</v>
      </c>
      <c r="AS11" s="88">
        <f>IF(AF11="Sí",1,IF(AF11="Parcial",0.5,0))+IF(AG11="Sí",1,IF(AG11="Parcial",0.5,0))+IF(AH11="Sí",1,IF(AH11="Parcial",0.5,0))</f>
        <v>0</v>
      </c>
      <c r="AT11" s="89">
        <f>IF(AI11="Sí",1,IF(AI11="Parcial",0.5,0))+IF(AJ11="Sí",1,IF(AJ11="Parcial",0.5,0))+IF(AK11="Sí",1,IF(AK11="Parcial",0.5,0))</f>
        <v>0</v>
      </c>
      <c r="AU11" s="90">
        <f>SUM(AL11,AM11,AN11,AO11,AP11,AQ11,AR11,AS11,AT11)</f>
        <v>4</v>
      </c>
      <c r="AV11" s="225">
        <f>IFERROR(IF(OR(A11="",AU11=0),"",AU11/(IF(AL11&gt;0,1,0)+IF(AM11&gt;0,1,0)+IF(AN11&gt;0,1,0)+IF(AO11&gt;0,1,0)+IF(AP11&gt;0,1,0)+IF(AQ11&gt;0,1,0)+IF(AR11&gt;0,1,0)+IF(AS11&gt;0,1,0)+IF(AT11&gt;0,1,0))),"")</f>
        <v>4</v>
      </c>
      <c r="AW11" s="225">
        <f>IFERROR(IF(OR(A11="",AU11=""),"",IF(AND(MAX($AU$8:$AU$156)=0,MAX($AV$8:$AV$156)=0),"",0.5*(AU11/MAX($AU$8:$AU$156))+0.5*(AV11/MAX($AV$8:$AV$156)))),"")</f>
        <v>0.72222222222222221</v>
      </c>
      <c r="AX11" s="79" t="str">
        <f>IF(A11="","",IF((IF(AL11&gt;=1,1,0)+IF(AM11&gt;=1,1,0)+IF(AN11&gt;=1,1,0)+IF(AO11&gt;=1,1,0)+IF(AP11&gt;=1,1,0)+IF(AQ11&gt;=1,1,0)+IF(AR11&gt;=1,1,0)+IF(AS11&gt;=1,1,0)+IF(AT11&gt;=1,1,0))&gt;=5,"Diversificado (5+ verticales)",IF((IF(AL11&gt;=1,1,0)+IF(AM11&gt;=1,1,0)+IF(AN11&gt;=1,1,0)+IF(AO11&gt;=1,1,0)+IF(AP11&gt;=1,1,0)+IF(AQ11&gt;=1,1,0)+IF(AR11&gt;=1,1,0)+IF(AS11&gt;=1,1,0)+IF(AT11&gt;=1,1,0))&gt;=3,"Multi-capacidad (3-4 verticales)",IF((IF(AL11&gt;=1,1,0)+IF(AM11&gt;=1,1,0)+IF(AN11&gt;=1,1,0)+IF(AO11&gt;=1,1,0)+IF(AP11&gt;=1,1,0)+IF(AQ11&gt;=1,1,0)+IF(AR11&gt;=1,1,0)+IF(AS11&gt;=1,1,0)+IF(AT11&gt;=1,1,0))&gt;=1,"Especialista (1-2 verticales)","Sin función mapeada"))))</f>
        <v>Especialista (1-2 verticales)</v>
      </c>
    </row>
    <row r="12" spans="1:50" ht="24" customHeight="1" x14ac:dyDescent="0.2">
      <c r="A12" s="48" t="s">
        <v>969</v>
      </c>
      <c r="B12" s="48" t="s">
        <v>970</v>
      </c>
      <c r="C12" s="78" t="str">
        <f>IF(A12="","",IFERROR(INDEX('UNIVERSO MAESTRO'!$C$6:$C$497,MATCH(A12,'UNIVERSO MAESTRO'!$A$6:$A$497,0)),"⚠ ID no encontrado"))</f>
        <v>Liga MX</v>
      </c>
      <c r="D12" s="79" t="str">
        <f>IF(A12="","",IFERROR(INDEX('UNIVERSO MAESTRO'!$D$6:$D$497,MATCH(A12,'UNIVERSO MAESTRO'!$A$6:$A$497,0)),""))</f>
        <v>V1</v>
      </c>
      <c r="E12" s="80" t="s">
        <v>1530</v>
      </c>
      <c r="F12" s="80" t="s">
        <v>1530</v>
      </c>
      <c r="G12" s="80" t="s">
        <v>1530</v>
      </c>
      <c r="H12" s="80" t="s">
        <v>1530</v>
      </c>
      <c r="I12" s="80" t="s">
        <v>353</v>
      </c>
      <c r="J12" s="80" t="s">
        <v>353</v>
      </c>
      <c r="K12" s="80" t="s">
        <v>353</v>
      </c>
      <c r="L12" s="80" t="s">
        <v>353</v>
      </c>
      <c r="M12" s="80" t="s">
        <v>353</v>
      </c>
      <c r="N12" s="80" t="s">
        <v>353</v>
      </c>
      <c r="O12" s="80" t="s">
        <v>353</v>
      </c>
      <c r="P12" s="80" t="s">
        <v>353</v>
      </c>
      <c r="Q12" s="80" t="s">
        <v>353</v>
      </c>
      <c r="R12" s="80" t="s">
        <v>353</v>
      </c>
      <c r="S12" s="80" t="s">
        <v>353</v>
      </c>
      <c r="T12" s="80" t="s">
        <v>353</v>
      </c>
      <c r="U12" s="80" t="s">
        <v>353</v>
      </c>
      <c r="V12" s="80" t="s">
        <v>353</v>
      </c>
      <c r="W12" s="80" t="s">
        <v>353</v>
      </c>
      <c r="X12" s="80" t="s">
        <v>353</v>
      </c>
      <c r="Y12" s="80" t="s">
        <v>353</v>
      </c>
      <c r="Z12" s="80" t="s">
        <v>353</v>
      </c>
      <c r="AA12" s="80" t="s">
        <v>353</v>
      </c>
      <c r="AB12" s="80" t="s">
        <v>353</v>
      </c>
      <c r="AC12" s="80" t="s">
        <v>353</v>
      </c>
      <c r="AD12" s="80" t="s">
        <v>353</v>
      </c>
      <c r="AE12" s="80" t="s">
        <v>353</v>
      </c>
      <c r="AF12" s="80" t="s">
        <v>353</v>
      </c>
      <c r="AG12" s="80" t="s">
        <v>353</v>
      </c>
      <c r="AH12" s="80" t="s">
        <v>353</v>
      </c>
      <c r="AI12" s="80" t="s">
        <v>353</v>
      </c>
      <c r="AJ12" s="80" t="s">
        <v>353</v>
      </c>
      <c r="AK12" s="80" t="s">
        <v>353</v>
      </c>
      <c r="AL12" s="81">
        <f>IF(E12="Sí",1,IF(E12="Parcial",0.5,0))+IF(F12="Sí",1,IF(F12="Parcial",0.5,0))+IF(G12="Sí",1,IF(G12="Parcial",0.5,0))+IF(H12="Sí",1,IF(H12="Parcial",0.5,0))</f>
        <v>4</v>
      </c>
      <c r="AM12" s="82">
        <f>IF(I12="Sí",1,IF(I12="Parcial",0.5,0))+IF(J12="Sí",1,IF(J12="Parcial",0.5,0))+IF(K12="Sí",1,IF(K12="Parcial",0.5,0))</f>
        <v>0</v>
      </c>
      <c r="AN12" s="83">
        <f>IF(L12="Sí",1,IF(L12="Parcial",0.5,0))+IF(M12="Sí",1,IF(M12="Parcial",0.5,0))+IF(N12="Sí",1,IF(N12="Parcial",0.5,0))+IF(O12="Sí",1,IF(O12="Parcial",0.5,0))</f>
        <v>0</v>
      </c>
      <c r="AO12" s="84">
        <f>IF(P12="Sí",1,IF(P12="Parcial",0.5,0))+IF(Q12="Sí",1,IF(Q12="Parcial",0.5,0))+IF(R12="Sí",1,IF(R12="Parcial",0.5,0))+IF(S12="Sí",1,IF(S12="Parcial",0.5,0))+IF(T12="Sí",1,IF(T12="Parcial",0.5,0))+IF(U12="Sí",1,IF(U12="Parcial",0.5,0))</f>
        <v>0</v>
      </c>
      <c r="AP12" s="85">
        <f>IF(V12="Sí",1,IF(V12="Parcial",0.5,0))+IF(W12="Sí",1,IF(W12="Parcial",0.5,0))+IF(X12="Sí",1,IF(X12="Parcial",0.5,0))+IF(Y12="Sí",1,IF(Y12="Parcial",0.5,0))</f>
        <v>0</v>
      </c>
      <c r="AQ12" s="86">
        <f>IF(Z12="Sí",1,IF(Z12="Parcial",0.5,0))+IF(AA12="Sí",1,IF(AA12="Parcial",0.5,0))+IF(AB12="Sí",1,IF(AB12="Parcial",0.5,0))</f>
        <v>0</v>
      </c>
      <c r="AR12" s="87">
        <f>IF(AC12="Sí",1,IF(AC12="Parcial",0.5,0))+IF(AD12="Sí",1,IF(AD12="Parcial",0.5,0))+IF(AE12="Sí",1,IF(AE12="Parcial",0.5,0))</f>
        <v>0</v>
      </c>
      <c r="AS12" s="88">
        <f>IF(AF12="Sí",1,IF(AF12="Parcial",0.5,0))+IF(AG12="Sí",1,IF(AG12="Parcial",0.5,0))+IF(AH12="Sí",1,IF(AH12="Parcial",0.5,0))</f>
        <v>0</v>
      </c>
      <c r="AT12" s="89">
        <f>IF(AI12="Sí",1,IF(AI12="Parcial",0.5,0))+IF(AJ12="Sí",1,IF(AJ12="Parcial",0.5,0))+IF(AK12="Sí",1,IF(AK12="Parcial",0.5,0))</f>
        <v>0</v>
      </c>
      <c r="AU12" s="90">
        <f>SUM(AL12,AM12,AN12,AO12,AP12,AQ12,AR12,AS12,AT12)</f>
        <v>4</v>
      </c>
      <c r="AV12" s="225">
        <f>IFERROR(IF(OR(A12="",AU12=0),"",AU12/(IF(AL12&gt;0,1,0)+IF(AM12&gt;0,1,0)+IF(AN12&gt;0,1,0)+IF(AO12&gt;0,1,0)+IF(AP12&gt;0,1,0)+IF(AQ12&gt;0,1,0)+IF(AR12&gt;0,1,0)+IF(AS12&gt;0,1,0)+IF(AT12&gt;0,1,0))),"")</f>
        <v>4</v>
      </c>
      <c r="AW12" s="225">
        <f>IFERROR(IF(OR(A12="",AU12=""),"",IF(AND(MAX($AU$8:$AU$156)=0,MAX($AV$8:$AV$156)=0),"",0.5*(AU12/MAX($AU$8:$AU$156))+0.5*(AV12/MAX($AV$8:$AV$156)))),"")</f>
        <v>0.72222222222222221</v>
      </c>
      <c r="AX12" s="79" t="str">
        <f>IF(A12="","",IF((IF(AL12&gt;=1,1,0)+IF(AM12&gt;=1,1,0)+IF(AN12&gt;=1,1,0)+IF(AO12&gt;=1,1,0)+IF(AP12&gt;=1,1,0)+IF(AQ12&gt;=1,1,0)+IF(AR12&gt;=1,1,0)+IF(AS12&gt;=1,1,0)+IF(AT12&gt;=1,1,0))&gt;=5,"Diversificado (5+ verticales)",IF((IF(AL12&gt;=1,1,0)+IF(AM12&gt;=1,1,0)+IF(AN12&gt;=1,1,0)+IF(AO12&gt;=1,1,0)+IF(AP12&gt;=1,1,0)+IF(AQ12&gt;=1,1,0)+IF(AR12&gt;=1,1,0)+IF(AS12&gt;=1,1,0)+IF(AT12&gt;=1,1,0))&gt;=3,"Multi-capacidad (3-4 verticales)",IF((IF(AL12&gt;=1,1,0)+IF(AM12&gt;=1,1,0)+IF(AN12&gt;=1,1,0)+IF(AO12&gt;=1,1,0)+IF(AP12&gt;=1,1,0)+IF(AQ12&gt;=1,1,0)+IF(AR12&gt;=1,1,0)+IF(AS12&gt;=1,1,0)+IF(AT12&gt;=1,1,0))&gt;=1,"Especialista (1-2 verticales)","Sin función mapeada"))))</f>
        <v>Especialista (1-2 verticales)</v>
      </c>
    </row>
    <row r="13" spans="1:50" ht="24" customHeight="1" x14ac:dyDescent="0.2">
      <c r="A13" s="48" t="s">
        <v>1139</v>
      </c>
      <c r="B13" s="48" t="s">
        <v>1140</v>
      </c>
      <c r="C13" s="78" t="str">
        <f>IF(A13="","",IFERROR(INDEX('UNIVERSO MAESTRO'!$C$6:$C$497,MATCH(A13,'UNIVERSO MAESTRO'!$A$6:$A$497,0)),"⚠ ID no encontrado"))</f>
        <v>Octagon</v>
      </c>
      <c r="D13" s="79" t="str">
        <f>IF(A13="","",IFERROR(INDEX('UNIVERSO MAESTRO'!$D$6:$D$497,MATCH(A13,'UNIVERSO MAESTRO'!$A$6:$A$497,0)),""))</f>
        <v>V4</v>
      </c>
      <c r="E13" s="80" t="s">
        <v>353</v>
      </c>
      <c r="F13" s="80" t="s">
        <v>353</v>
      </c>
      <c r="G13" s="80" t="s">
        <v>353</v>
      </c>
      <c r="H13" s="80" t="s">
        <v>353</v>
      </c>
      <c r="I13" s="80" t="s">
        <v>353</v>
      </c>
      <c r="J13" s="80" t="s">
        <v>353</v>
      </c>
      <c r="K13" s="80" t="s">
        <v>353</v>
      </c>
      <c r="L13" s="80" t="s">
        <v>353</v>
      </c>
      <c r="M13" s="80" t="s">
        <v>353</v>
      </c>
      <c r="N13" s="80" t="s">
        <v>353</v>
      </c>
      <c r="O13" s="80" t="s">
        <v>353</v>
      </c>
      <c r="P13" s="80" t="s">
        <v>1530</v>
      </c>
      <c r="Q13" s="80" t="s">
        <v>1530</v>
      </c>
      <c r="R13" s="80" t="s">
        <v>1530</v>
      </c>
      <c r="S13" s="80" t="s">
        <v>353</v>
      </c>
      <c r="T13" s="80" t="s">
        <v>1530</v>
      </c>
      <c r="U13" s="80" t="s">
        <v>353</v>
      </c>
      <c r="V13" s="80" t="s">
        <v>353</v>
      </c>
      <c r="W13" s="80" t="s">
        <v>353</v>
      </c>
      <c r="X13" s="80" t="s">
        <v>353</v>
      </c>
      <c r="Y13" s="80" t="s">
        <v>353</v>
      </c>
      <c r="Z13" s="80" t="s">
        <v>353</v>
      </c>
      <c r="AA13" s="80" t="s">
        <v>353</v>
      </c>
      <c r="AB13" s="80" t="s">
        <v>353</v>
      </c>
      <c r="AC13" s="80" t="s">
        <v>353</v>
      </c>
      <c r="AD13" s="80" t="s">
        <v>353</v>
      </c>
      <c r="AE13" s="80" t="s">
        <v>353</v>
      </c>
      <c r="AF13" s="80" t="s">
        <v>353</v>
      </c>
      <c r="AG13" s="80" t="s">
        <v>353</v>
      </c>
      <c r="AH13" s="80" t="s">
        <v>353</v>
      </c>
      <c r="AI13" s="80" t="s">
        <v>353</v>
      </c>
      <c r="AJ13" s="80" t="s">
        <v>353</v>
      </c>
      <c r="AK13" s="80" t="s">
        <v>353</v>
      </c>
      <c r="AL13" s="81">
        <f>IF(E13="Sí",1,IF(E13="Parcial",0.5,0))+IF(F13="Sí",1,IF(F13="Parcial",0.5,0))+IF(G13="Sí",1,IF(G13="Parcial",0.5,0))+IF(H13="Sí",1,IF(H13="Parcial",0.5,0))</f>
        <v>0</v>
      </c>
      <c r="AM13" s="82">
        <f>IF(I13="Sí",1,IF(I13="Parcial",0.5,0))+IF(J13="Sí",1,IF(J13="Parcial",0.5,0))+IF(K13="Sí",1,IF(K13="Parcial",0.5,0))</f>
        <v>0</v>
      </c>
      <c r="AN13" s="83">
        <f>IF(L13="Sí",1,IF(L13="Parcial",0.5,0))+IF(M13="Sí",1,IF(M13="Parcial",0.5,0))+IF(N13="Sí",1,IF(N13="Parcial",0.5,0))+IF(O13="Sí",1,IF(O13="Parcial",0.5,0))</f>
        <v>0</v>
      </c>
      <c r="AO13" s="84">
        <f>IF(P13="Sí",1,IF(P13="Parcial",0.5,0))+IF(Q13="Sí",1,IF(Q13="Parcial",0.5,0))+IF(R13="Sí",1,IF(R13="Parcial",0.5,0))+IF(S13="Sí",1,IF(S13="Parcial",0.5,0))+IF(T13="Sí",1,IF(T13="Parcial",0.5,0))+IF(U13="Sí",1,IF(U13="Parcial",0.5,0))</f>
        <v>4</v>
      </c>
      <c r="AP13" s="85">
        <f>IF(V13="Sí",1,IF(V13="Parcial",0.5,0))+IF(W13="Sí",1,IF(W13="Parcial",0.5,0))+IF(X13="Sí",1,IF(X13="Parcial",0.5,0))+IF(Y13="Sí",1,IF(Y13="Parcial",0.5,0))</f>
        <v>0</v>
      </c>
      <c r="AQ13" s="86">
        <f>IF(Z13="Sí",1,IF(Z13="Parcial",0.5,0))+IF(AA13="Sí",1,IF(AA13="Parcial",0.5,0))+IF(AB13="Sí",1,IF(AB13="Parcial",0.5,0))</f>
        <v>0</v>
      </c>
      <c r="AR13" s="87">
        <f>IF(AC13="Sí",1,IF(AC13="Parcial",0.5,0))+IF(AD13="Sí",1,IF(AD13="Parcial",0.5,0))+IF(AE13="Sí",1,IF(AE13="Parcial",0.5,0))</f>
        <v>0</v>
      </c>
      <c r="AS13" s="88">
        <f>IF(AF13="Sí",1,IF(AF13="Parcial",0.5,0))+IF(AG13="Sí",1,IF(AG13="Parcial",0.5,0))+IF(AH13="Sí",1,IF(AH13="Parcial",0.5,0))</f>
        <v>0</v>
      </c>
      <c r="AT13" s="89">
        <f>IF(AI13="Sí",1,IF(AI13="Parcial",0.5,0))+IF(AJ13="Sí",1,IF(AJ13="Parcial",0.5,0))+IF(AK13="Sí",1,IF(AK13="Parcial",0.5,0))</f>
        <v>0</v>
      </c>
      <c r="AU13" s="90">
        <f>SUM(AL13,AM13,AN13,AO13,AP13,AQ13,AR13,AS13,AT13)</f>
        <v>4</v>
      </c>
      <c r="AV13" s="225">
        <f>IFERROR(IF(OR(A13="",AU13=0),"",AU13/(IF(AL13&gt;0,1,0)+IF(AM13&gt;0,1,0)+IF(AN13&gt;0,1,0)+IF(AO13&gt;0,1,0)+IF(AP13&gt;0,1,0)+IF(AQ13&gt;0,1,0)+IF(AR13&gt;0,1,0)+IF(AS13&gt;0,1,0)+IF(AT13&gt;0,1,0))),"")</f>
        <v>4</v>
      </c>
      <c r="AW13" s="225">
        <f>IFERROR(IF(OR(A13="",AU13=""),"",IF(AND(MAX($AU$8:$AU$156)=0,MAX($AV$8:$AV$156)=0),"",0.5*(AU13/MAX($AU$8:$AU$156))+0.5*(AV13/MAX($AV$8:$AV$156)))),"")</f>
        <v>0.72222222222222221</v>
      </c>
      <c r="AX13" s="79" t="str">
        <f>IF(A13="","",IF((IF(AL13&gt;=1,1,0)+IF(AM13&gt;=1,1,0)+IF(AN13&gt;=1,1,0)+IF(AO13&gt;=1,1,0)+IF(AP13&gt;=1,1,0)+IF(AQ13&gt;=1,1,0)+IF(AR13&gt;=1,1,0)+IF(AS13&gt;=1,1,0)+IF(AT13&gt;=1,1,0))&gt;=5,"Diversificado (5+ verticales)",IF((IF(AL13&gt;=1,1,0)+IF(AM13&gt;=1,1,0)+IF(AN13&gt;=1,1,0)+IF(AO13&gt;=1,1,0)+IF(AP13&gt;=1,1,0)+IF(AQ13&gt;=1,1,0)+IF(AR13&gt;=1,1,0)+IF(AS13&gt;=1,1,0)+IF(AT13&gt;=1,1,0))&gt;=3,"Multi-capacidad (3-4 verticales)",IF((IF(AL13&gt;=1,1,0)+IF(AM13&gt;=1,1,0)+IF(AN13&gt;=1,1,0)+IF(AO13&gt;=1,1,0)+IF(AP13&gt;=1,1,0)+IF(AQ13&gt;=1,1,0)+IF(AR13&gt;=1,1,0)+IF(AS13&gt;=1,1,0)+IF(AT13&gt;=1,1,0))&gt;=1,"Especialista (1-2 verticales)","Sin función mapeada"))))</f>
        <v>Especialista (1-2 verticales)</v>
      </c>
    </row>
    <row r="14" spans="1:50" ht="24" customHeight="1" x14ac:dyDescent="0.2">
      <c r="A14" s="48" t="s">
        <v>751</v>
      </c>
      <c r="B14" s="48" t="s">
        <v>752</v>
      </c>
      <c r="C14" s="78" t="str">
        <f>IF(A14="","",IFERROR(INDEX('UNIVERSO MAESTRO'!$C$6:$C$497,MATCH(A14,'UNIVERSO MAESTRO'!$A$6:$A$497,0)),"⚠ ID no encontrado"))</f>
        <v>Grupo Martí / Familia Harp Helú</v>
      </c>
      <c r="D14" s="79" t="str">
        <f>IF(A14="","",IFERROR(INDEX('UNIVERSO MAESTRO'!$D$6:$D$497,MATCH(A14,'UNIVERSO MAESTRO'!$A$6:$A$497,0)),""))</f>
        <v>V9</v>
      </c>
      <c r="E14" s="80" t="s">
        <v>1530</v>
      </c>
      <c r="F14" s="80" t="s">
        <v>353</v>
      </c>
      <c r="G14" s="80" t="s">
        <v>353</v>
      </c>
      <c r="H14" s="80" t="s">
        <v>353</v>
      </c>
      <c r="I14" s="80" t="s">
        <v>353</v>
      </c>
      <c r="J14" s="80" t="s">
        <v>353</v>
      </c>
      <c r="K14" s="80" t="s">
        <v>353</v>
      </c>
      <c r="L14" s="80" t="s">
        <v>353</v>
      </c>
      <c r="M14" s="80" t="s">
        <v>353</v>
      </c>
      <c r="N14" s="80" t="s">
        <v>353</v>
      </c>
      <c r="O14" s="80" t="s">
        <v>353</v>
      </c>
      <c r="P14" s="80" t="s">
        <v>353</v>
      </c>
      <c r="Q14" s="80" t="s">
        <v>353</v>
      </c>
      <c r="R14" s="80" t="s">
        <v>353</v>
      </c>
      <c r="S14" s="80" t="s">
        <v>353</v>
      </c>
      <c r="T14" s="80" t="s">
        <v>353</v>
      </c>
      <c r="U14" s="80" t="s">
        <v>353</v>
      </c>
      <c r="V14" s="80" t="s">
        <v>1530</v>
      </c>
      <c r="W14" s="80" t="s">
        <v>353</v>
      </c>
      <c r="X14" s="80" t="s">
        <v>1530</v>
      </c>
      <c r="Y14" s="80" t="s">
        <v>1530</v>
      </c>
      <c r="Z14" s="80" t="s">
        <v>353</v>
      </c>
      <c r="AA14" s="80" t="s">
        <v>353</v>
      </c>
      <c r="AB14" s="80" t="s">
        <v>353</v>
      </c>
      <c r="AC14" s="80" t="s">
        <v>1530</v>
      </c>
      <c r="AD14" s="80" t="s">
        <v>1530</v>
      </c>
      <c r="AE14" s="80" t="s">
        <v>3340</v>
      </c>
      <c r="AF14" s="80" t="s">
        <v>353</v>
      </c>
      <c r="AG14" s="80" t="s">
        <v>353</v>
      </c>
      <c r="AH14" s="80" t="s">
        <v>353</v>
      </c>
      <c r="AI14" s="80" t="s">
        <v>1530</v>
      </c>
      <c r="AJ14" s="80" t="s">
        <v>353</v>
      </c>
      <c r="AK14" s="80" t="s">
        <v>353</v>
      </c>
      <c r="AL14" s="81">
        <f>IF(E14="Sí",1,IF(E14="Parcial",0.5,0))+IF(F14="Sí",1,IF(F14="Parcial",0.5,0))+IF(G14="Sí",1,IF(G14="Parcial",0.5,0))+IF(H14="Sí",1,IF(H14="Parcial",0.5,0))</f>
        <v>1</v>
      </c>
      <c r="AM14" s="82">
        <f>IF(I14="Sí",1,IF(I14="Parcial",0.5,0))+IF(J14="Sí",1,IF(J14="Parcial",0.5,0))+IF(K14="Sí",1,IF(K14="Parcial",0.5,0))</f>
        <v>0</v>
      </c>
      <c r="AN14" s="83">
        <f>IF(L14="Sí",1,IF(L14="Parcial",0.5,0))+IF(M14="Sí",1,IF(M14="Parcial",0.5,0))+IF(N14="Sí",1,IF(N14="Parcial",0.5,0))+IF(O14="Sí",1,IF(O14="Parcial",0.5,0))</f>
        <v>0</v>
      </c>
      <c r="AO14" s="84">
        <f>IF(P14="Sí",1,IF(P14="Parcial",0.5,0))+IF(Q14="Sí",1,IF(Q14="Parcial",0.5,0))+IF(R14="Sí",1,IF(R14="Parcial",0.5,0))+IF(S14="Sí",1,IF(S14="Parcial",0.5,0))+IF(T14="Sí",1,IF(T14="Parcial",0.5,0))+IF(U14="Sí",1,IF(U14="Parcial",0.5,0))</f>
        <v>0</v>
      </c>
      <c r="AP14" s="85">
        <f>IF(V14="Sí",1,IF(V14="Parcial",0.5,0))+IF(W14="Sí",1,IF(W14="Parcial",0.5,0))+IF(X14="Sí",1,IF(X14="Parcial",0.5,0))+IF(Y14="Sí",1,IF(Y14="Parcial",0.5,0))</f>
        <v>3</v>
      </c>
      <c r="AQ14" s="86">
        <f>IF(Z14="Sí",1,IF(Z14="Parcial",0.5,0))+IF(AA14="Sí",1,IF(AA14="Parcial",0.5,0))+IF(AB14="Sí",1,IF(AB14="Parcial",0.5,0))</f>
        <v>0</v>
      </c>
      <c r="AR14" s="87">
        <f>IF(AC14="Sí",1,IF(AC14="Parcial",0.5,0))+IF(AD14="Sí",1,IF(AD14="Parcial",0.5,0))+IF(AE14="Sí",1,IF(AE14="Parcial",0.5,0))</f>
        <v>2.5</v>
      </c>
      <c r="AS14" s="88">
        <f>IF(AF14="Sí",1,IF(AF14="Parcial",0.5,0))+IF(AG14="Sí",1,IF(AG14="Parcial",0.5,0))+IF(AH14="Sí",1,IF(AH14="Parcial",0.5,0))</f>
        <v>0</v>
      </c>
      <c r="AT14" s="89">
        <f>IF(AI14="Sí",1,IF(AI14="Parcial",0.5,0))+IF(AJ14="Sí",1,IF(AJ14="Parcial",0.5,0))+IF(AK14="Sí",1,IF(AK14="Parcial",0.5,0))</f>
        <v>1</v>
      </c>
      <c r="AU14" s="90">
        <f>SUM(AL14,AM14,AN14,AO14,AP14,AQ14,AR14,AS14,AT14)</f>
        <v>7.5</v>
      </c>
      <c r="AV14" s="225">
        <f>IFERROR(IF(OR(A14="",AU14=0),"",AU14/(IF(AL14&gt;0,1,0)+IF(AM14&gt;0,1,0)+IF(AN14&gt;0,1,0)+IF(AO14&gt;0,1,0)+IF(AP14&gt;0,1,0)+IF(AQ14&gt;0,1,0)+IF(AR14&gt;0,1,0)+IF(AS14&gt;0,1,0)+IF(AT14&gt;0,1,0))),"")</f>
        <v>1.875</v>
      </c>
      <c r="AW14" s="225">
        <f>IFERROR(IF(OR(A14="",AU14=""),"",IF(AND(MAX($AU$8:$AU$156)=0,MAX($AV$8:$AV$156)=0),"",0.5*(AU14/MAX($AU$8:$AU$156))+0.5*(AV14/MAX($AV$8:$AV$156)))),"")</f>
        <v>0.65104166666666674</v>
      </c>
      <c r="AX14" s="79" t="str">
        <f>IF(A14="","",IF((IF(AL14&gt;=1,1,0)+IF(AM14&gt;=1,1,0)+IF(AN14&gt;=1,1,0)+IF(AO14&gt;=1,1,0)+IF(AP14&gt;=1,1,0)+IF(AQ14&gt;=1,1,0)+IF(AR14&gt;=1,1,0)+IF(AS14&gt;=1,1,0)+IF(AT14&gt;=1,1,0))&gt;=5,"Diversificado (5+ verticales)",IF((IF(AL14&gt;=1,1,0)+IF(AM14&gt;=1,1,0)+IF(AN14&gt;=1,1,0)+IF(AO14&gt;=1,1,0)+IF(AP14&gt;=1,1,0)+IF(AQ14&gt;=1,1,0)+IF(AR14&gt;=1,1,0)+IF(AS14&gt;=1,1,0)+IF(AT14&gt;=1,1,0))&gt;=3,"Multi-capacidad (3-4 verticales)",IF((IF(AL14&gt;=1,1,0)+IF(AM14&gt;=1,1,0)+IF(AN14&gt;=1,1,0)+IF(AO14&gt;=1,1,0)+IF(AP14&gt;=1,1,0)+IF(AQ14&gt;=1,1,0)+IF(AR14&gt;=1,1,0)+IF(AS14&gt;=1,1,0)+IF(AT14&gt;=1,1,0))&gt;=1,"Especialista (1-2 verticales)","Sin función mapeada"))))</f>
        <v>Multi-capacidad (3-4 verticales)</v>
      </c>
    </row>
    <row r="15" spans="1:50" ht="24" customHeight="1" x14ac:dyDescent="0.2">
      <c r="A15" s="48" t="s">
        <v>451</v>
      </c>
      <c r="B15" s="48" t="s">
        <v>452</v>
      </c>
      <c r="C15" s="78" t="str">
        <f>IF(A15="","",IFERROR(INDEX('UNIVERSO MAESTRO'!$C$6:$C$497,MATCH(A15,'UNIVERSO MAESTRO'!$A$6:$A$497,0)),"⚠ ID no encontrado"))</f>
        <v>Consejo Mundial de Lucha Libre (CMLL)</v>
      </c>
      <c r="D15" s="79" t="str">
        <f>IF(A15="","",IFERROR(INDEX('UNIVERSO MAESTRO'!$D$6:$D$497,MATCH(A15,'UNIVERSO MAESTRO'!$A$6:$A$497,0)),""))</f>
        <v>V1</v>
      </c>
      <c r="E15" s="80" t="s">
        <v>1530</v>
      </c>
      <c r="F15" s="80" t="s">
        <v>1530</v>
      </c>
      <c r="G15" s="80" t="s">
        <v>1530</v>
      </c>
      <c r="H15" s="80" t="s">
        <v>353</v>
      </c>
      <c r="I15" s="80" t="s">
        <v>353</v>
      </c>
      <c r="J15" s="80" t="s">
        <v>353</v>
      </c>
      <c r="K15" s="80" t="s">
        <v>353</v>
      </c>
      <c r="L15" s="80" t="s">
        <v>353</v>
      </c>
      <c r="M15" s="80" t="s">
        <v>353</v>
      </c>
      <c r="N15" s="80" t="s">
        <v>353</v>
      </c>
      <c r="O15" s="80" t="s">
        <v>353</v>
      </c>
      <c r="P15" s="80" t="s">
        <v>353</v>
      </c>
      <c r="Q15" s="80" t="s">
        <v>353</v>
      </c>
      <c r="R15" s="80" t="s">
        <v>353</v>
      </c>
      <c r="S15" s="80" t="s">
        <v>353</v>
      </c>
      <c r="T15" s="80" t="s">
        <v>353</v>
      </c>
      <c r="U15" s="80" t="s">
        <v>353</v>
      </c>
      <c r="V15" s="80" t="s">
        <v>353</v>
      </c>
      <c r="W15" s="80" t="s">
        <v>353</v>
      </c>
      <c r="X15" s="80" t="s">
        <v>353</v>
      </c>
      <c r="Y15" s="80" t="s">
        <v>353</v>
      </c>
      <c r="Z15" s="80" t="s">
        <v>353</v>
      </c>
      <c r="AA15" s="80" t="s">
        <v>353</v>
      </c>
      <c r="AB15" s="80" t="s">
        <v>353</v>
      </c>
      <c r="AC15" s="80" t="s">
        <v>1530</v>
      </c>
      <c r="AD15" s="80" t="s">
        <v>1530</v>
      </c>
      <c r="AE15" s="80" t="s">
        <v>3340</v>
      </c>
      <c r="AF15" s="80" t="s">
        <v>353</v>
      </c>
      <c r="AG15" s="80" t="s">
        <v>353</v>
      </c>
      <c r="AH15" s="80" t="s">
        <v>353</v>
      </c>
      <c r="AI15" s="80" t="s">
        <v>353</v>
      </c>
      <c r="AJ15" s="80" t="s">
        <v>353</v>
      </c>
      <c r="AK15" s="80" t="s">
        <v>353</v>
      </c>
      <c r="AL15" s="81">
        <f>IF(E15="Sí",1,IF(E15="Parcial",0.5,0))+IF(F15="Sí",1,IF(F15="Parcial",0.5,0))+IF(G15="Sí",1,IF(G15="Parcial",0.5,0))+IF(H15="Sí",1,IF(H15="Parcial",0.5,0))</f>
        <v>3</v>
      </c>
      <c r="AM15" s="82">
        <f>IF(I15="Sí",1,IF(I15="Parcial",0.5,0))+IF(J15="Sí",1,IF(J15="Parcial",0.5,0))+IF(K15="Sí",1,IF(K15="Parcial",0.5,0))</f>
        <v>0</v>
      </c>
      <c r="AN15" s="83">
        <f>IF(L15="Sí",1,IF(L15="Parcial",0.5,0))+IF(M15="Sí",1,IF(M15="Parcial",0.5,0))+IF(N15="Sí",1,IF(N15="Parcial",0.5,0))+IF(O15="Sí",1,IF(O15="Parcial",0.5,0))</f>
        <v>0</v>
      </c>
      <c r="AO15" s="84">
        <f>IF(P15="Sí",1,IF(P15="Parcial",0.5,0))+IF(Q15="Sí",1,IF(Q15="Parcial",0.5,0))+IF(R15="Sí",1,IF(R15="Parcial",0.5,0))+IF(S15="Sí",1,IF(S15="Parcial",0.5,0))+IF(T15="Sí",1,IF(T15="Parcial",0.5,0))+IF(U15="Sí",1,IF(U15="Parcial",0.5,0))</f>
        <v>0</v>
      </c>
      <c r="AP15" s="85">
        <f>IF(V15="Sí",1,IF(V15="Parcial",0.5,0))+IF(W15="Sí",1,IF(W15="Parcial",0.5,0))+IF(X15="Sí",1,IF(X15="Parcial",0.5,0))+IF(Y15="Sí",1,IF(Y15="Parcial",0.5,0))</f>
        <v>0</v>
      </c>
      <c r="AQ15" s="86">
        <f>IF(Z15="Sí",1,IF(Z15="Parcial",0.5,0))+IF(AA15="Sí",1,IF(AA15="Parcial",0.5,0))+IF(AB15="Sí",1,IF(AB15="Parcial",0.5,0))</f>
        <v>0</v>
      </c>
      <c r="AR15" s="87">
        <f>IF(AC15="Sí",1,IF(AC15="Parcial",0.5,0))+IF(AD15="Sí",1,IF(AD15="Parcial",0.5,0))+IF(AE15="Sí",1,IF(AE15="Parcial",0.5,0))</f>
        <v>2.5</v>
      </c>
      <c r="AS15" s="88">
        <f>IF(AF15="Sí",1,IF(AF15="Parcial",0.5,0))+IF(AG15="Sí",1,IF(AG15="Parcial",0.5,0))+IF(AH15="Sí",1,IF(AH15="Parcial",0.5,0))</f>
        <v>0</v>
      </c>
      <c r="AT15" s="89">
        <f>IF(AI15="Sí",1,IF(AI15="Parcial",0.5,0))+IF(AJ15="Sí",1,IF(AJ15="Parcial",0.5,0))+IF(AK15="Sí",1,IF(AK15="Parcial",0.5,0))</f>
        <v>0</v>
      </c>
      <c r="AU15" s="90">
        <f>SUM(AL15,AM15,AN15,AO15,AP15,AQ15,AR15,AS15,AT15)</f>
        <v>5.5</v>
      </c>
      <c r="AV15" s="225">
        <f>IFERROR(IF(OR(A15="",AU15=0),"",AU15/(IF(AL15&gt;0,1,0)+IF(AM15&gt;0,1,0)+IF(AN15&gt;0,1,0)+IF(AO15&gt;0,1,0)+IF(AP15&gt;0,1,0)+IF(AQ15&gt;0,1,0)+IF(AR15&gt;0,1,0)+IF(AS15&gt;0,1,0)+IF(AT15&gt;0,1,0))),"")</f>
        <v>2.75</v>
      </c>
      <c r="AW15" s="225">
        <f>IFERROR(IF(OR(A15="",AU15=""),"",IF(AND(MAX($AU$8:$AU$156)=0,MAX($AV$8:$AV$156)=0),"",0.5*(AU15/MAX($AU$8:$AU$156))+0.5*(AV15/MAX($AV$8:$AV$156)))),"")</f>
        <v>0.64930555555555558</v>
      </c>
      <c r="AX15" s="79" t="str">
        <f>IF(A15="","",IF((IF(AL15&gt;=1,1,0)+IF(AM15&gt;=1,1,0)+IF(AN15&gt;=1,1,0)+IF(AO15&gt;=1,1,0)+IF(AP15&gt;=1,1,0)+IF(AQ15&gt;=1,1,0)+IF(AR15&gt;=1,1,0)+IF(AS15&gt;=1,1,0)+IF(AT15&gt;=1,1,0))&gt;=5,"Diversificado (5+ verticales)",IF((IF(AL15&gt;=1,1,0)+IF(AM15&gt;=1,1,0)+IF(AN15&gt;=1,1,0)+IF(AO15&gt;=1,1,0)+IF(AP15&gt;=1,1,0)+IF(AQ15&gt;=1,1,0)+IF(AR15&gt;=1,1,0)+IF(AS15&gt;=1,1,0)+IF(AT15&gt;=1,1,0))&gt;=3,"Multi-capacidad (3-4 verticales)",IF((IF(AL15&gt;=1,1,0)+IF(AM15&gt;=1,1,0)+IF(AN15&gt;=1,1,0)+IF(AO15&gt;=1,1,0)+IF(AP15&gt;=1,1,0)+IF(AQ15&gt;=1,1,0)+IF(AR15&gt;=1,1,0)+IF(AS15&gt;=1,1,0)+IF(AT15&gt;=1,1,0))&gt;=1,"Especialista (1-2 verticales)","Sin función mapeada"))))</f>
        <v>Especialista (1-2 verticales)</v>
      </c>
    </row>
    <row r="16" spans="1:50" ht="24" customHeight="1" x14ac:dyDescent="0.2">
      <c r="A16" s="48" t="s">
        <v>960</v>
      </c>
      <c r="B16" s="48" t="s">
        <v>961</v>
      </c>
      <c r="C16" s="78" t="str">
        <f>IF(A16="","",IFERROR(INDEX('UNIVERSO MAESTRO'!$C$6:$C$497,MATCH(A16,'UNIVERSO MAESTRO'!$A$6:$A$497,0)),"⚠ ID no encontrado"))</f>
        <v>Liga Mexicana del Pacífico (LMP)</v>
      </c>
      <c r="D16" s="79" t="str">
        <f>IF(A16="","",IFERROR(INDEX('UNIVERSO MAESTRO'!$D$6:$D$497,MATCH(A16,'UNIVERSO MAESTRO'!$A$6:$A$497,0)),""))</f>
        <v>V1</v>
      </c>
      <c r="E16" s="80" t="s">
        <v>1530</v>
      </c>
      <c r="F16" s="80" t="s">
        <v>1530</v>
      </c>
      <c r="G16" s="80" t="s">
        <v>1530</v>
      </c>
      <c r="H16" s="80" t="s">
        <v>1530</v>
      </c>
      <c r="I16" s="80" t="s">
        <v>1530</v>
      </c>
      <c r="J16" s="80" t="s">
        <v>353</v>
      </c>
      <c r="K16" s="80" t="s">
        <v>3340</v>
      </c>
      <c r="L16" s="80" t="s">
        <v>353</v>
      </c>
      <c r="M16" s="80" t="s">
        <v>353</v>
      </c>
      <c r="N16" s="80" t="s">
        <v>353</v>
      </c>
      <c r="O16" s="80" t="s">
        <v>353</v>
      </c>
      <c r="P16" s="80" t="s">
        <v>353</v>
      </c>
      <c r="Q16" s="80" t="s">
        <v>353</v>
      </c>
      <c r="R16" s="80" t="s">
        <v>353</v>
      </c>
      <c r="S16" s="80" t="s">
        <v>353</v>
      </c>
      <c r="T16" s="80" t="s">
        <v>353</v>
      </c>
      <c r="U16" s="80" t="s">
        <v>353</v>
      </c>
      <c r="V16" s="80" t="s">
        <v>353</v>
      </c>
      <c r="W16" s="80" t="s">
        <v>353</v>
      </c>
      <c r="X16" s="80" t="s">
        <v>353</v>
      </c>
      <c r="Y16" s="80" t="s">
        <v>353</v>
      </c>
      <c r="Z16" s="80" t="s">
        <v>353</v>
      </c>
      <c r="AA16" s="80" t="s">
        <v>353</v>
      </c>
      <c r="AB16" s="80" t="s">
        <v>353</v>
      </c>
      <c r="AC16" s="80" t="s">
        <v>353</v>
      </c>
      <c r="AD16" s="80" t="s">
        <v>353</v>
      </c>
      <c r="AE16" s="80" t="s">
        <v>353</v>
      </c>
      <c r="AF16" s="80" t="s">
        <v>353</v>
      </c>
      <c r="AG16" s="80" t="s">
        <v>353</v>
      </c>
      <c r="AH16" s="80" t="s">
        <v>353</v>
      </c>
      <c r="AI16" s="80" t="s">
        <v>353</v>
      </c>
      <c r="AJ16" s="80" t="s">
        <v>353</v>
      </c>
      <c r="AK16" s="80" t="s">
        <v>353</v>
      </c>
      <c r="AL16" s="81">
        <f>IF(E16="Sí",1,IF(E16="Parcial",0.5,0))+IF(F16="Sí",1,IF(F16="Parcial",0.5,0))+IF(G16="Sí",1,IF(G16="Parcial",0.5,0))+IF(H16="Sí",1,IF(H16="Parcial",0.5,0))</f>
        <v>4</v>
      </c>
      <c r="AM16" s="82">
        <f>IF(I16="Sí",1,IF(I16="Parcial",0.5,0))+IF(J16="Sí",1,IF(J16="Parcial",0.5,0))+IF(K16="Sí",1,IF(K16="Parcial",0.5,0))</f>
        <v>1.5</v>
      </c>
      <c r="AN16" s="83">
        <f>IF(L16="Sí",1,IF(L16="Parcial",0.5,0))+IF(M16="Sí",1,IF(M16="Parcial",0.5,0))+IF(N16="Sí",1,IF(N16="Parcial",0.5,0))+IF(O16="Sí",1,IF(O16="Parcial",0.5,0))</f>
        <v>0</v>
      </c>
      <c r="AO16" s="84">
        <f>IF(P16="Sí",1,IF(P16="Parcial",0.5,0))+IF(Q16="Sí",1,IF(Q16="Parcial",0.5,0))+IF(R16="Sí",1,IF(R16="Parcial",0.5,0))+IF(S16="Sí",1,IF(S16="Parcial",0.5,0))+IF(T16="Sí",1,IF(T16="Parcial",0.5,0))+IF(U16="Sí",1,IF(U16="Parcial",0.5,0))</f>
        <v>0</v>
      </c>
      <c r="AP16" s="85">
        <f>IF(V16="Sí",1,IF(V16="Parcial",0.5,0))+IF(W16="Sí",1,IF(W16="Parcial",0.5,0))+IF(X16="Sí",1,IF(X16="Parcial",0.5,0))+IF(Y16="Sí",1,IF(Y16="Parcial",0.5,0))</f>
        <v>0</v>
      </c>
      <c r="AQ16" s="86">
        <f>IF(Z16="Sí",1,IF(Z16="Parcial",0.5,0))+IF(AA16="Sí",1,IF(AA16="Parcial",0.5,0))+IF(AB16="Sí",1,IF(AB16="Parcial",0.5,0))</f>
        <v>0</v>
      </c>
      <c r="AR16" s="87">
        <f>IF(AC16="Sí",1,IF(AC16="Parcial",0.5,0))+IF(AD16="Sí",1,IF(AD16="Parcial",0.5,0))+IF(AE16="Sí",1,IF(AE16="Parcial",0.5,0))</f>
        <v>0</v>
      </c>
      <c r="AS16" s="88">
        <f>IF(AF16="Sí",1,IF(AF16="Parcial",0.5,0))+IF(AG16="Sí",1,IF(AG16="Parcial",0.5,0))+IF(AH16="Sí",1,IF(AH16="Parcial",0.5,0))</f>
        <v>0</v>
      </c>
      <c r="AT16" s="89">
        <f>IF(AI16="Sí",1,IF(AI16="Parcial",0.5,0))+IF(AJ16="Sí",1,IF(AJ16="Parcial",0.5,0))+IF(AK16="Sí",1,IF(AK16="Parcial",0.5,0))</f>
        <v>0</v>
      </c>
      <c r="AU16" s="90">
        <f>SUM(AL16,AM16,AN16,AO16,AP16,AQ16,AR16,AS16,AT16)</f>
        <v>5.5</v>
      </c>
      <c r="AV16" s="225">
        <f>IFERROR(IF(OR(A16="",AU16=0),"",AU16/(IF(AL16&gt;0,1,0)+IF(AM16&gt;0,1,0)+IF(AN16&gt;0,1,0)+IF(AO16&gt;0,1,0)+IF(AP16&gt;0,1,0)+IF(AQ16&gt;0,1,0)+IF(AR16&gt;0,1,0)+IF(AS16&gt;0,1,0)+IF(AT16&gt;0,1,0))),"")</f>
        <v>2.75</v>
      </c>
      <c r="AW16" s="225">
        <f>IFERROR(IF(OR(A16="",AU16=""),"",IF(AND(MAX($AU$8:$AU$156)=0,MAX($AV$8:$AV$156)=0),"",0.5*(AU16/MAX($AU$8:$AU$156))+0.5*(AV16/MAX($AV$8:$AV$156)))),"")</f>
        <v>0.64930555555555558</v>
      </c>
      <c r="AX16" s="79" t="str">
        <f>IF(A16="","",IF((IF(AL16&gt;=1,1,0)+IF(AM16&gt;=1,1,0)+IF(AN16&gt;=1,1,0)+IF(AO16&gt;=1,1,0)+IF(AP16&gt;=1,1,0)+IF(AQ16&gt;=1,1,0)+IF(AR16&gt;=1,1,0)+IF(AS16&gt;=1,1,0)+IF(AT16&gt;=1,1,0))&gt;=5,"Diversificado (5+ verticales)",IF((IF(AL16&gt;=1,1,0)+IF(AM16&gt;=1,1,0)+IF(AN16&gt;=1,1,0)+IF(AO16&gt;=1,1,0)+IF(AP16&gt;=1,1,0)+IF(AQ16&gt;=1,1,0)+IF(AR16&gt;=1,1,0)+IF(AS16&gt;=1,1,0)+IF(AT16&gt;=1,1,0))&gt;=3,"Multi-capacidad (3-4 verticales)",IF((IF(AL16&gt;=1,1,0)+IF(AM16&gt;=1,1,0)+IF(AN16&gt;=1,1,0)+IF(AO16&gt;=1,1,0)+IF(AP16&gt;=1,1,0)+IF(AQ16&gt;=1,1,0)+IF(AR16&gt;=1,1,0)+IF(AS16&gt;=1,1,0)+IF(AT16&gt;=1,1,0))&gt;=1,"Especialista (1-2 verticales)","Sin función mapeada"))))</f>
        <v>Especialista (1-2 verticales)</v>
      </c>
    </row>
    <row r="17" spans="1:50" ht="24" customHeight="1" x14ac:dyDescent="0.2">
      <c r="A17" s="48" t="s">
        <v>1545</v>
      </c>
      <c r="B17" s="48" t="s">
        <v>1546</v>
      </c>
      <c r="C17" s="78" t="s">
        <v>1547</v>
      </c>
      <c r="D17" s="79" t="s">
        <v>24</v>
      </c>
      <c r="E17" s="80" t="s">
        <v>1530</v>
      </c>
      <c r="F17" s="80" t="s">
        <v>1530</v>
      </c>
      <c r="G17" s="80" t="s">
        <v>3340</v>
      </c>
      <c r="H17" s="80" t="s">
        <v>1530</v>
      </c>
      <c r="I17" s="80" t="s">
        <v>353</v>
      </c>
      <c r="J17" s="80" t="s">
        <v>353</v>
      </c>
      <c r="K17" s="80" t="s">
        <v>353</v>
      </c>
      <c r="L17" s="80" t="s">
        <v>353</v>
      </c>
      <c r="M17" s="80" t="s">
        <v>353</v>
      </c>
      <c r="N17" s="80" t="s">
        <v>353</v>
      </c>
      <c r="O17" s="80" t="s">
        <v>353</v>
      </c>
      <c r="P17" s="80" t="s">
        <v>353</v>
      </c>
      <c r="Q17" s="80" t="s">
        <v>353</v>
      </c>
      <c r="R17" s="80" t="s">
        <v>353</v>
      </c>
      <c r="S17" s="80" t="s">
        <v>353</v>
      </c>
      <c r="T17" s="80" t="s">
        <v>353</v>
      </c>
      <c r="U17" s="80" t="s">
        <v>353</v>
      </c>
      <c r="V17" s="80" t="s">
        <v>353</v>
      </c>
      <c r="W17" s="80" t="s">
        <v>353</v>
      </c>
      <c r="X17" s="80" t="s">
        <v>353</v>
      </c>
      <c r="Y17" s="80" t="s">
        <v>353</v>
      </c>
      <c r="Z17" s="80" t="s">
        <v>353</v>
      </c>
      <c r="AA17" s="80" t="s">
        <v>353</v>
      </c>
      <c r="AB17" s="80" t="s">
        <v>353</v>
      </c>
      <c r="AC17" s="80" t="s">
        <v>353</v>
      </c>
      <c r="AD17" s="80" t="s">
        <v>353</v>
      </c>
      <c r="AE17" s="80" t="s">
        <v>353</v>
      </c>
      <c r="AF17" s="80" t="s">
        <v>353</v>
      </c>
      <c r="AG17" s="80" t="s">
        <v>353</v>
      </c>
      <c r="AH17" s="80" t="s">
        <v>353</v>
      </c>
      <c r="AI17" s="80" t="s">
        <v>353</v>
      </c>
      <c r="AJ17" s="80" t="s">
        <v>353</v>
      </c>
      <c r="AK17" s="80" t="s">
        <v>353</v>
      </c>
      <c r="AL17" s="81">
        <f>IF(E17="Sí",1,IF(E17="Parcial",0.5,0))+IF(F17="Sí",1,IF(F17="Parcial",0.5,0))+IF(G17="Sí",1,IF(G17="Parcial",0.5,0))+IF(H17="Sí",1,IF(H17="Parcial",0.5,0))</f>
        <v>3.5</v>
      </c>
      <c r="AM17" s="82">
        <f>IF(I17="Sí",1,IF(I17="Parcial",0.5,0))+IF(J17="Sí",1,IF(J17="Parcial",0.5,0))+IF(K17="Sí",1,IF(K17="Parcial",0.5,0))</f>
        <v>0</v>
      </c>
      <c r="AN17" s="83">
        <f>IF(L17="Sí",1,IF(L17="Parcial",0.5,0))+IF(M17="Sí",1,IF(M17="Parcial",0.5,0))+IF(N17="Sí",1,IF(N17="Parcial",0.5,0))+IF(O17="Sí",1,IF(O17="Parcial",0.5,0))</f>
        <v>0</v>
      </c>
      <c r="AO17" s="84">
        <f>IF(P17="Sí",1,IF(P17="Parcial",0.5,0))+IF(Q17="Sí",1,IF(Q17="Parcial",0.5,0))+IF(R17="Sí",1,IF(R17="Parcial",0.5,0))+IF(S17="Sí",1,IF(S17="Parcial",0.5,0))+IF(T17="Sí",1,IF(T17="Parcial",0.5,0))+IF(U17="Sí",1,IF(U17="Parcial",0.5,0))</f>
        <v>0</v>
      </c>
      <c r="AP17" s="85">
        <f>IF(V17="Sí",1,IF(V17="Parcial",0.5,0))+IF(W17="Sí",1,IF(W17="Parcial",0.5,0))+IF(X17="Sí",1,IF(X17="Parcial",0.5,0))+IF(Y17="Sí",1,IF(Y17="Parcial",0.5,0))</f>
        <v>0</v>
      </c>
      <c r="AQ17" s="86">
        <f>IF(Z17="Sí",1,IF(Z17="Parcial",0.5,0))+IF(AA17="Sí",1,IF(AA17="Parcial",0.5,0))+IF(AB17="Sí",1,IF(AB17="Parcial",0.5,0))</f>
        <v>0</v>
      </c>
      <c r="AR17" s="87">
        <f>IF(AC17="Sí",1,IF(AC17="Parcial",0.5,0))+IF(AD17="Sí",1,IF(AD17="Parcial",0.5,0))+IF(AE17="Sí",1,IF(AE17="Parcial",0.5,0))</f>
        <v>0</v>
      </c>
      <c r="AS17" s="88">
        <f>IF(AF17="Sí",1,IF(AF17="Parcial",0.5,0))+IF(AG17="Sí",1,IF(AG17="Parcial",0.5,0))+IF(AH17="Sí",1,IF(AH17="Parcial",0.5,0))</f>
        <v>0</v>
      </c>
      <c r="AT17" s="89">
        <f>IF(AI17="Sí",1,IF(AI17="Parcial",0.5,0))+IF(AJ17="Sí",1,IF(AJ17="Parcial",0.5,0))+IF(AK17="Sí",1,IF(AK17="Parcial",0.5,0))</f>
        <v>0</v>
      </c>
      <c r="AU17" s="90">
        <f>SUM(AL17,AM17,AN17,AO17,AP17,AQ17,AR17,AS17,AT17)</f>
        <v>3.5</v>
      </c>
      <c r="AV17" s="226">
        <f>IFERROR(IF(OR(A17="",AU17=0),"",AU17/(IF(AL17&gt;0,1,0)+IF(AM17&gt;0,1,0)+IF(AN17&gt;0,1,0)+IF(AO17&gt;0,1,0)+IF(AP17&gt;0,1,0)+IF(AQ17&gt;0,1,0)+IF(AR17&gt;0,1,0)+IF(AS17&gt;0,1,0)+IF(AT17&gt;0,1,0))),"")</f>
        <v>3.5</v>
      </c>
      <c r="AW17" s="226">
        <f>IFERROR(IF(OR(A17="",AU17=""),"",IF(AND(MAX($AU$8:$AU$156)=0,MAX($AV$8:$AV$156)=0),"",0.5*(AU17/MAX($AU$8:$AU$156))+0.5*(AV17/MAX($AV$8:$AV$156)))),"")</f>
        <v>0.63194444444444442</v>
      </c>
      <c r="AX17" s="79" t="str">
        <f>IF(A17="","",IF((IF(AL17&gt;=1,1,0)+IF(AM17&gt;=1,1,0)+IF(AN17&gt;=1,1,0)+IF(AO17&gt;=1,1,0)+IF(AP17&gt;=1,1,0)+IF(AQ17&gt;=1,1,0)+IF(AR17&gt;=1,1,0)+IF(AS17&gt;=1,1,0)+IF(AT17&gt;=1,1,0))&gt;=5,"Diversificado (5+ verticales)",IF((IF(AL17&gt;=1,1,0)+IF(AM17&gt;=1,1,0)+IF(AN17&gt;=1,1,0)+IF(AO17&gt;=1,1,0)+IF(AP17&gt;=1,1,0)+IF(AQ17&gt;=1,1,0)+IF(AR17&gt;=1,1,0)+IF(AS17&gt;=1,1,0)+IF(AT17&gt;=1,1,0))&gt;=3,"Multi-capacidad (3-4 verticales)",IF((IF(AL17&gt;=1,1,0)+IF(AM17&gt;=1,1,0)+IF(AN17&gt;=1,1,0)+IF(AO17&gt;=1,1,0)+IF(AP17&gt;=1,1,0)+IF(AQ17&gt;=1,1,0)+IF(AR17&gt;=1,1,0)+IF(AS17&gt;=1,1,0)+IF(AT17&gt;=1,1,0))&gt;=1,"Especialista (1-2 verticales)","Sin función mapeada"))))</f>
        <v>Especialista (1-2 verticales)</v>
      </c>
    </row>
    <row r="18" spans="1:50" ht="24" customHeight="1" x14ac:dyDescent="0.2">
      <c r="A18" s="48" t="s">
        <v>862</v>
      </c>
      <c r="B18" s="48" t="s">
        <v>863</v>
      </c>
      <c r="C18" s="78" t="str">
        <f>IF(A18="","",IFERROR(INDEX('UNIVERSO MAESTRO'!$C$6:$C$497,MATCH(A18,'UNIVERSO MAESTRO'!$A$6:$A$497,0)),"⚠ ID no encontrado"))</f>
        <v>HG Promotores en Deporte y Entretenimiento</v>
      </c>
      <c r="D18" s="79" t="str">
        <f>IF(A18="","",IFERROR(INDEX('UNIVERSO MAESTRO'!$D$6:$D$497,MATCH(A18,'UNIVERSO MAESTRO'!$A$6:$A$497,0)),""))</f>
        <v>V5</v>
      </c>
      <c r="E18" s="80" t="s">
        <v>1530</v>
      </c>
      <c r="F18" s="80" t="s">
        <v>1530</v>
      </c>
      <c r="G18" s="80" t="s">
        <v>1530</v>
      </c>
      <c r="H18" s="80" t="s">
        <v>353</v>
      </c>
      <c r="I18" s="80" t="s">
        <v>353</v>
      </c>
      <c r="J18" s="80" t="s">
        <v>353</v>
      </c>
      <c r="K18" s="80" t="s">
        <v>353</v>
      </c>
      <c r="L18" s="80" t="s">
        <v>353</v>
      </c>
      <c r="M18" s="80" t="s">
        <v>353</v>
      </c>
      <c r="N18" s="80" t="s">
        <v>353</v>
      </c>
      <c r="O18" s="80" t="s">
        <v>353</v>
      </c>
      <c r="P18" s="80" t="s">
        <v>353</v>
      </c>
      <c r="Q18" s="80" t="s">
        <v>353</v>
      </c>
      <c r="R18" s="80" t="s">
        <v>353</v>
      </c>
      <c r="S18" s="80" t="s">
        <v>353</v>
      </c>
      <c r="T18" s="80" t="s">
        <v>353</v>
      </c>
      <c r="U18" s="80" t="s">
        <v>353</v>
      </c>
      <c r="V18" s="80" t="s">
        <v>1530</v>
      </c>
      <c r="W18" s="80" t="s">
        <v>1530</v>
      </c>
      <c r="X18" s="80" t="s">
        <v>353</v>
      </c>
      <c r="Y18" s="80" t="s">
        <v>353</v>
      </c>
      <c r="Z18" s="80" t="s">
        <v>353</v>
      </c>
      <c r="AA18" s="80" t="s">
        <v>353</v>
      </c>
      <c r="AB18" s="80" t="s">
        <v>353</v>
      </c>
      <c r="AC18" s="80" t="s">
        <v>353</v>
      </c>
      <c r="AD18" s="80" t="s">
        <v>353</v>
      </c>
      <c r="AE18" s="80" t="s">
        <v>353</v>
      </c>
      <c r="AF18" s="80" t="s">
        <v>353</v>
      </c>
      <c r="AG18" s="80" t="s">
        <v>353</v>
      </c>
      <c r="AH18" s="80" t="s">
        <v>353</v>
      </c>
      <c r="AI18" s="80" t="s">
        <v>353</v>
      </c>
      <c r="AJ18" s="80" t="s">
        <v>353</v>
      </c>
      <c r="AK18" s="80" t="s">
        <v>353</v>
      </c>
      <c r="AL18" s="81">
        <f>IF(E18="Sí",1,IF(E18="Parcial",0.5,0))+IF(F18="Sí",1,IF(F18="Parcial",0.5,0))+IF(G18="Sí",1,IF(G18="Parcial",0.5,0))+IF(H18="Sí",1,IF(H18="Parcial",0.5,0))</f>
        <v>3</v>
      </c>
      <c r="AM18" s="82">
        <f>IF(I18="Sí",1,IF(I18="Parcial",0.5,0))+IF(J18="Sí",1,IF(J18="Parcial",0.5,0))+IF(K18="Sí",1,IF(K18="Parcial",0.5,0))</f>
        <v>0</v>
      </c>
      <c r="AN18" s="83">
        <f>IF(L18="Sí",1,IF(L18="Parcial",0.5,0))+IF(M18="Sí",1,IF(M18="Parcial",0.5,0))+IF(N18="Sí",1,IF(N18="Parcial",0.5,0))+IF(O18="Sí",1,IF(O18="Parcial",0.5,0))</f>
        <v>0</v>
      </c>
      <c r="AO18" s="84">
        <f>IF(P18="Sí",1,IF(P18="Parcial",0.5,0))+IF(Q18="Sí",1,IF(Q18="Parcial",0.5,0))+IF(R18="Sí",1,IF(R18="Parcial",0.5,0))+IF(S18="Sí",1,IF(S18="Parcial",0.5,0))+IF(T18="Sí",1,IF(T18="Parcial",0.5,0))+IF(U18="Sí",1,IF(U18="Parcial",0.5,0))</f>
        <v>0</v>
      </c>
      <c r="AP18" s="85">
        <f>IF(V18="Sí",1,IF(V18="Parcial",0.5,0))+IF(W18="Sí",1,IF(W18="Parcial",0.5,0))+IF(X18="Sí",1,IF(X18="Parcial",0.5,0))+IF(Y18="Sí",1,IF(Y18="Parcial",0.5,0))</f>
        <v>2</v>
      </c>
      <c r="AQ18" s="86">
        <f>IF(Z18="Sí",1,IF(Z18="Parcial",0.5,0))+IF(AA18="Sí",1,IF(AA18="Parcial",0.5,0))+IF(AB18="Sí",1,IF(AB18="Parcial",0.5,0))</f>
        <v>0</v>
      </c>
      <c r="AR18" s="87">
        <f>IF(AC18="Sí",1,IF(AC18="Parcial",0.5,0))+IF(AD18="Sí",1,IF(AD18="Parcial",0.5,0))+IF(AE18="Sí",1,IF(AE18="Parcial",0.5,0))</f>
        <v>0</v>
      </c>
      <c r="AS18" s="88">
        <f>IF(AF18="Sí",1,IF(AF18="Parcial",0.5,0))+IF(AG18="Sí",1,IF(AG18="Parcial",0.5,0))+IF(AH18="Sí",1,IF(AH18="Parcial",0.5,0))</f>
        <v>0</v>
      </c>
      <c r="AT18" s="89">
        <f>IF(AI18="Sí",1,IF(AI18="Parcial",0.5,0))+IF(AJ18="Sí",1,IF(AJ18="Parcial",0.5,0))+IF(AK18="Sí",1,IF(AK18="Parcial",0.5,0))</f>
        <v>0</v>
      </c>
      <c r="AU18" s="90">
        <f>SUM(AL18,AM18,AN18,AO18,AP18,AQ18,AR18,AS18,AT18)</f>
        <v>5</v>
      </c>
      <c r="AV18" s="225">
        <f>IFERROR(IF(OR(A18="",AU18=0),"",AU18/(IF(AL18&gt;0,1,0)+IF(AM18&gt;0,1,0)+IF(AN18&gt;0,1,0)+IF(AO18&gt;0,1,0)+IF(AP18&gt;0,1,0)+IF(AQ18&gt;0,1,0)+IF(AR18&gt;0,1,0)+IF(AS18&gt;0,1,0)+IF(AT18&gt;0,1,0))),"")</f>
        <v>2.5</v>
      </c>
      <c r="AW18" s="225">
        <f>IFERROR(IF(OR(A18="",AU18=""),"",IF(AND(MAX($AU$8:$AU$156)=0,MAX($AV$8:$AV$156)=0),"",0.5*(AU18/MAX($AU$8:$AU$156))+0.5*(AV18/MAX($AV$8:$AV$156)))),"")</f>
        <v>0.59027777777777779</v>
      </c>
      <c r="AX18" s="79" t="str">
        <f>IF(A18="","",IF((IF(AL18&gt;=1,1,0)+IF(AM18&gt;=1,1,0)+IF(AN18&gt;=1,1,0)+IF(AO18&gt;=1,1,0)+IF(AP18&gt;=1,1,0)+IF(AQ18&gt;=1,1,0)+IF(AR18&gt;=1,1,0)+IF(AS18&gt;=1,1,0)+IF(AT18&gt;=1,1,0))&gt;=5,"Diversificado (5+ verticales)",IF((IF(AL18&gt;=1,1,0)+IF(AM18&gt;=1,1,0)+IF(AN18&gt;=1,1,0)+IF(AO18&gt;=1,1,0)+IF(AP18&gt;=1,1,0)+IF(AQ18&gt;=1,1,0)+IF(AR18&gt;=1,1,0)+IF(AS18&gt;=1,1,0)+IF(AT18&gt;=1,1,0))&gt;=3,"Multi-capacidad (3-4 verticales)",IF((IF(AL18&gt;=1,1,0)+IF(AM18&gt;=1,1,0)+IF(AN18&gt;=1,1,0)+IF(AO18&gt;=1,1,0)+IF(AP18&gt;=1,1,0)+IF(AQ18&gt;=1,1,0)+IF(AR18&gt;=1,1,0)+IF(AS18&gt;=1,1,0)+IF(AT18&gt;=1,1,0))&gt;=1,"Especialista (1-2 verticales)","Sin función mapeada"))))</f>
        <v>Especialista (1-2 verticales)</v>
      </c>
    </row>
    <row r="19" spans="1:50" ht="24" customHeight="1" x14ac:dyDescent="0.2">
      <c r="A19" s="48" t="s">
        <v>979</v>
      </c>
      <c r="B19" s="48" t="s">
        <v>980</v>
      </c>
      <c r="C19" s="78" t="str">
        <f>IF(A19="","",IFERROR(INDEX('UNIVERSO MAESTRO'!$C$6:$C$497,MATCH(A19,'UNIVERSO MAESTRO'!$A$6:$A$497,0)),"⚠ ID no encontrado"))</f>
        <v>LIV Golf League (Mexico City)</v>
      </c>
      <c r="D19" s="79" t="str">
        <f>IF(A19="","",IFERROR(INDEX('UNIVERSO MAESTRO'!$D$6:$D$497,MATCH(A19,'UNIVERSO MAESTRO'!$A$6:$A$497,0)),""))</f>
        <v>V1</v>
      </c>
      <c r="E19" s="80" t="s">
        <v>1530</v>
      </c>
      <c r="F19" s="80" t="s">
        <v>1530</v>
      </c>
      <c r="G19" s="80" t="s">
        <v>1530</v>
      </c>
      <c r="H19" s="80" t="s">
        <v>353</v>
      </c>
      <c r="I19" s="80" t="s">
        <v>353</v>
      </c>
      <c r="J19" s="80" t="s">
        <v>353</v>
      </c>
      <c r="K19" s="80" t="s">
        <v>353</v>
      </c>
      <c r="L19" s="80" t="s">
        <v>353</v>
      </c>
      <c r="M19" s="80" t="s">
        <v>353</v>
      </c>
      <c r="N19" s="80" t="s">
        <v>353</v>
      </c>
      <c r="O19" s="80" t="s">
        <v>353</v>
      </c>
      <c r="P19" s="80" t="s">
        <v>353</v>
      </c>
      <c r="Q19" s="80" t="s">
        <v>353</v>
      </c>
      <c r="R19" s="80" t="s">
        <v>353</v>
      </c>
      <c r="S19" s="80" t="s">
        <v>353</v>
      </c>
      <c r="T19" s="80" t="s">
        <v>353</v>
      </c>
      <c r="U19" s="80" t="s">
        <v>353</v>
      </c>
      <c r="V19" s="80" t="s">
        <v>1530</v>
      </c>
      <c r="W19" s="80" t="s">
        <v>1530</v>
      </c>
      <c r="X19" s="80" t="s">
        <v>353</v>
      </c>
      <c r="Y19" s="80" t="s">
        <v>353</v>
      </c>
      <c r="Z19" s="80" t="s">
        <v>353</v>
      </c>
      <c r="AA19" s="80" t="s">
        <v>353</v>
      </c>
      <c r="AB19" s="80" t="s">
        <v>353</v>
      </c>
      <c r="AC19" s="80" t="s">
        <v>353</v>
      </c>
      <c r="AD19" s="80" t="s">
        <v>353</v>
      </c>
      <c r="AE19" s="80" t="s">
        <v>353</v>
      </c>
      <c r="AF19" s="80" t="s">
        <v>353</v>
      </c>
      <c r="AG19" s="80" t="s">
        <v>353</v>
      </c>
      <c r="AH19" s="80" t="s">
        <v>353</v>
      </c>
      <c r="AI19" s="80" t="s">
        <v>353</v>
      </c>
      <c r="AJ19" s="80" t="s">
        <v>353</v>
      </c>
      <c r="AK19" s="80" t="s">
        <v>353</v>
      </c>
      <c r="AL19" s="81">
        <f>IF(E19="Sí",1,IF(E19="Parcial",0.5,0))+IF(F19="Sí",1,IF(F19="Parcial",0.5,0))+IF(G19="Sí",1,IF(G19="Parcial",0.5,0))+IF(H19="Sí",1,IF(H19="Parcial",0.5,0))</f>
        <v>3</v>
      </c>
      <c r="AM19" s="82">
        <f>IF(I19="Sí",1,IF(I19="Parcial",0.5,0))+IF(J19="Sí",1,IF(J19="Parcial",0.5,0))+IF(K19="Sí",1,IF(K19="Parcial",0.5,0))</f>
        <v>0</v>
      </c>
      <c r="AN19" s="83">
        <f>IF(L19="Sí",1,IF(L19="Parcial",0.5,0))+IF(M19="Sí",1,IF(M19="Parcial",0.5,0))+IF(N19="Sí",1,IF(N19="Parcial",0.5,0))+IF(O19="Sí",1,IF(O19="Parcial",0.5,0))</f>
        <v>0</v>
      </c>
      <c r="AO19" s="84">
        <f>IF(P19="Sí",1,IF(P19="Parcial",0.5,0))+IF(Q19="Sí",1,IF(Q19="Parcial",0.5,0))+IF(R19="Sí",1,IF(R19="Parcial",0.5,0))+IF(S19="Sí",1,IF(S19="Parcial",0.5,0))+IF(T19="Sí",1,IF(T19="Parcial",0.5,0))+IF(U19="Sí",1,IF(U19="Parcial",0.5,0))</f>
        <v>0</v>
      </c>
      <c r="AP19" s="85">
        <f>IF(V19="Sí",1,IF(V19="Parcial",0.5,0))+IF(W19="Sí",1,IF(W19="Parcial",0.5,0))+IF(X19="Sí",1,IF(X19="Parcial",0.5,0))+IF(Y19="Sí",1,IF(Y19="Parcial",0.5,0))</f>
        <v>2</v>
      </c>
      <c r="AQ19" s="86">
        <f>IF(Z19="Sí",1,IF(Z19="Parcial",0.5,0))+IF(AA19="Sí",1,IF(AA19="Parcial",0.5,0))+IF(AB19="Sí",1,IF(AB19="Parcial",0.5,0))</f>
        <v>0</v>
      </c>
      <c r="AR19" s="87">
        <f>IF(AC19="Sí",1,IF(AC19="Parcial",0.5,0))+IF(AD19="Sí",1,IF(AD19="Parcial",0.5,0))+IF(AE19="Sí",1,IF(AE19="Parcial",0.5,0))</f>
        <v>0</v>
      </c>
      <c r="AS19" s="88">
        <f>IF(AF19="Sí",1,IF(AF19="Parcial",0.5,0))+IF(AG19="Sí",1,IF(AG19="Parcial",0.5,0))+IF(AH19="Sí",1,IF(AH19="Parcial",0.5,0))</f>
        <v>0</v>
      </c>
      <c r="AT19" s="89">
        <f>IF(AI19="Sí",1,IF(AI19="Parcial",0.5,0))+IF(AJ19="Sí",1,IF(AJ19="Parcial",0.5,0))+IF(AK19="Sí",1,IF(AK19="Parcial",0.5,0))</f>
        <v>0</v>
      </c>
      <c r="AU19" s="90">
        <f>SUM(AL19,AM19,AN19,AO19,AP19,AQ19,AR19,AS19,AT19)</f>
        <v>5</v>
      </c>
      <c r="AV19" s="225">
        <f>IFERROR(IF(OR(A19="",AU19=0),"",AU19/(IF(AL19&gt;0,1,0)+IF(AM19&gt;0,1,0)+IF(AN19&gt;0,1,0)+IF(AO19&gt;0,1,0)+IF(AP19&gt;0,1,0)+IF(AQ19&gt;0,1,0)+IF(AR19&gt;0,1,0)+IF(AS19&gt;0,1,0)+IF(AT19&gt;0,1,0))),"")</f>
        <v>2.5</v>
      </c>
      <c r="AW19" s="225">
        <f>IFERROR(IF(OR(A19="",AU19=""),"",IF(AND(MAX($AU$8:$AU$156)=0,MAX($AV$8:$AV$156)=0),"",0.5*(AU19/MAX($AU$8:$AU$156))+0.5*(AV19/MAX($AV$8:$AV$156)))),"")</f>
        <v>0.59027777777777779</v>
      </c>
      <c r="AX19" s="79" t="str">
        <f>IF(A19="","",IF((IF(AL19&gt;=1,1,0)+IF(AM19&gt;=1,1,0)+IF(AN19&gt;=1,1,0)+IF(AO19&gt;=1,1,0)+IF(AP19&gt;=1,1,0)+IF(AQ19&gt;=1,1,0)+IF(AR19&gt;=1,1,0)+IF(AS19&gt;=1,1,0)+IF(AT19&gt;=1,1,0))&gt;=5,"Diversificado (5+ verticales)",IF((IF(AL19&gt;=1,1,0)+IF(AM19&gt;=1,1,0)+IF(AN19&gt;=1,1,0)+IF(AO19&gt;=1,1,0)+IF(AP19&gt;=1,1,0)+IF(AQ19&gt;=1,1,0)+IF(AR19&gt;=1,1,0)+IF(AS19&gt;=1,1,0)+IF(AT19&gt;=1,1,0))&gt;=3,"Multi-capacidad (3-4 verticales)",IF((IF(AL19&gt;=1,1,0)+IF(AM19&gt;=1,1,0)+IF(AN19&gt;=1,1,0)+IF(AO19&gt;=1,1,0)+IF(AP19&gt;=1,1,0)+IF(AQ19&gt;=1,1,0)+IF(AR19&gt;=1,1,0)+IF(AS19&gt;=1,1,0)+IF(AT19&gt;=1,1,0))&gt;=1,"Especialista (1-2 verticales)","Sin función mapeada"))))</f>
        <v>Especialista (1-2 verticales)</v>
      </c>
    </row>
    <row r="20" spans="1:50" ht="24" customHeight="1" x14ac:dyDescent="0.2">
      <c r="A20" s="48" t="s">
        <v>1491</v>
      </c>
      <c r="B20" s="48" t="s">
        <v>1492</v>
      </c>
      <c r="C20" s="78" t="str">
        <f>IF(A20="","",IFERROR(INDEX('UNIVERSO MAESTRO'!$C$6:$C$497,MATCH(A20,'UNIVERSO MAESTRO'!$A$6:$A$497,0)),"⚠ ID no encontrado"))</f>
        <v>Wasserman / THE·TEAM México</v>
      </c>
      <c r="D20" s="79" t="str">
        <f>IF(A20="","",IFERROR(INDEX('UNIVERSO MAESTRO'!$D$6:$D$497,MATCH(A20,'UNIVERSO MAESTRO'!$A$6:$A$497,0)),""))</f>
        <v>V4</v>
      </c>
      <c r="E20" s="80" t="s">
        <v>353</v>
      </c>
      <c r="F20" s="80" t="s">
        <v>353</v>
      </c>
      <c r="G20" s="80" t="s">
        <v>353</v>
      </c>
      <c r="H20" s="80" t="s">
        <v>353</v>
      </c>
      <c r="I20" s="80" t="s">
        <v>353</v>
      </c>
      <c r="J20" s="80" t="s">
        <v>353</v>
      </c>
      <c r="K20" s="80" t="s">
        <v>353</v>
      </c>
      <c r="L20" s="80" t="s">
        <v>353</v>
      </c>
      <c r="M20" s="80" t="s">
        <v>353</v>
      </c>
      <c r="N20" s="80" t="s">
        <v>353</v>
      </c>
      <c r="O20" s="80" t="s">
        <v>353</v>
      </c>
      <c r="P20" s="80" t="s">
        <v>1530</v>
      </c>
      <c r="Q20" s="80" t="s">
        <v>353</v>
      </c>
      <c r="R20" s="80" t="s">
        <v>1530</v>
      </c>
      <c r="S20" s="80" t="s">
        <v>1530</v>
      </c>
      <c r="T20" s="80" t="s">
        <v>1530</v>
      </c>
      <c r="U20" s="80" t="s">
        <v>353</v>
      </c>
      <c r="V20" s="80" t="s">
        <v>3340</v>
      </c>
      <c r="W20" s="80" t="s">
        <v>3340</v>
      </c>
      <c r="X20" s="80" t="s">
        <v>353</v>
      </c>
      <c r="Y20" s="80" t="s">
        <v>353</v>
      </c>
      <c r="Z20" s="80" t="s">
        <v>353</v>
      </c>
      <c r="AA20" s="80" t="s">
        <v>353</v>
      </c>
      <c r="AB20" s="80" t="s">
        <v>353</v>
      </c>
      <c r="AC20" s="80" t="s">
        <v>353</v>
      </c>
      <c r="AD20" s="80" t="s">
        <v>353</v>
      </c>
      <c r="AE20" s="80" t="s">
        <v>353</v>
      </c>
      <c r="AF20" s="80" t="s">
        <v>353</v>
      </c>
      <c r="AG20" s="80" t="s">
        <v>353</v>
      </c>
      <c r="AH20" s="80" t="s">
        <v>353</v>
      </c>
      <c r="AI20" s="80" t="s">
        <v>353</v>
      </c>
      <c r="AJ20" s="80" t="s">
        <v>353</v>
      </c>
      <c r="AK20" s="80" t="s">
        <v>353</v>
      </c>
      <c r="AL20" s="81">
        <f>IF(E20="Sí",1,IF(E20="Parcial",0.5,0))+IF(F20="Sí",1,IF(F20="Parcial",0.5,0))+IF(G20="Sí",1,IF(G20="Parcial",0.5,0))+IF(H20="Sí",1,IF(H20="Parcial",0.5,0))</f>
        <v>0</v>
      </c>
      <c r="AM20" s="82">
        <f>IF(I20="Sí",1,IF(I20="Parcial",0.5,0))+IF(J20="Sí",1,IF(J20="Parcial",0.5,0))+IF(K20="Sí",1,IF(K20="Parcial",0.5,0))</f>
        <v>0</v>
      </c>
      <c r="AN20" s="83">
        <f>IF(L20="Sí",1,IF(L20="Parcial",0.5,0))+IF(M20="Sí",1,IF(M20="Parcial",0.5,0))+IF(N20="Sí",1,IF(N20="Parcial",0.5,0))+IF(O20="Sí",1,IF(O20="Parcial",0.5,0))</f>
        <v>0</v>
      </c>
      <c r="AO20" s="84">
        <f>IF(P20="Sí",1,IF(P20="Parcial",0.5,0))+IF(Q20="Sí",1,IF(Q20="Parcial",0.5,0))+IF(R20="Sí",1,IF(R20="Parcial",0.5,0))+IF(S20="Sí",1,IF(S20="Parcial",0.5,0))+IF(T20="Sí",1,IF(T20="Parcial",0.5,0))+IF(U20="Sí",1,IF(U20="Parcial",0.5,0))</f>
        <v>4</v>
      </c>
      <c r="AP20" s="85">
        <f>IF(V20="Sí",1,IF(V20="Parcial",0.5,0))+IF(W20="Sí",1,IF(W20="Parcial",0.5,0))+IF(X20="Sí",1,IF(X20="Parcial",0.5,0))+IF(Y20="Sí",1,IF(Y20="Parcial",0.5,0))</f>
        <v>1</v>
      </c>
      <c r="AQ20" s="86">
        <f>IF(Z20="Sí",1,IF(Z20="Parcial",0.5,0))+IF(AA20="Sí",1,IF(AA20="Parcial",0.5,0))+IF(AB20="Sí",1,IF(AB20="Parcial",0.5,0))</f>
        <v>0</v>
      </c>
      <c r="AR20" s="87">
        <f>IF(AC20="Sí",1,IF(AC20="Parcial",0.5,0))+IF(AD20="Sí",1,IF(AD20="Parcial",0.5,0))+IF(AE20="Sí",1,IF(AE20="Parcial",0.5,0))</f>
        <v>0</v>
      </c>
      <c r="AS20" s="88">
        <f>IF(AF20="Sí",1,IF(AF20="Parcial",0.5,0))+IF(AG20="Sí",1,IF(AG20="Parcial",0.5,0))+IF(AH20="Sí",1,IF(AH20="Parcial",0.5,0))</f>
        <v>0</v>
      </c>
      <c r="AT20" s="89">
        <f>IF(AI20="Sí",1,IF(AI20="Parcial",0.5,0))+IF(AJ20="Sí",1,IF(AJ20="Parcial",0.5,0))+IF(AK20="Sí",1,IF(AK20="Parcial",0.5,0))</f>
        <v>0</v>
      </c>
      <c r="AU20" s="90">
        <f>SUM(AL20,AM20,AN20,AO20,AP20,AQ20,AR20,AS20,AT20)</f>
        <v>5</v>
      </c>
      <c r="AV20" s="225">
        <f>IFERROR(IF(OR(A20="",AU20=0),"",AU20/(IF(AL20&gt;0,1,0)+IF(AM20&gt;0,1,0)+IF(AN20&gt;0,1,0)+IF(AO20&gt;0,1,0)+IF(AP20&gt;0,1,0)+IF(AQ20&gt;0,1,0)+IF(AR20&gt;0,1,0)+IF(AS20&gt;0,1,0)+IF(AT20&gt;0,1,0))),"")</f>
        <v>2.5</v>
      </c>
      <c r="AW20" s="225">
        <f>IFERROR(IF(OR(A20="",AU20=""),"",IF(AND(MAX($AU$8:$AU$156)=0,MAX($AV$8:$AV$156)=0),"",0.5*(AU20/MAX($AU$8:$AU$156))+0.5*(AV20/MAX($AV$8:$AV$156)))),"")</f>
        <v>0.59027777777777779</v>
      </c>
      <c r="AX20" s="79" t="str">
        <f>IF(A20="","",IF((IF(AL20&gt;=1,1,0)+IF(AM20&gt;=1,1,0)+IF(AN20&gt;=1,1,0)+IF(AO20&gt;=1,1,0)+IF(AP20&gt;=1,1,0)+IF(AQ20&gt;=1,1,0)+IF(AR20&gt;=1,1,0)+IF(AS20&gt;=1,1,0)+IF(AT20&gt;=1,1,0))&gt;=5,"Diversificado (5+ verticales)",IF((IF(AL20&gt;=1,1,0)+IF(AM20&gt;=1,1,0)+IF(AN20&gt;=1,1,0)+IF(AO20&gt;=1,1,0)+IF(AP20&gt;=1,1,0)+IF(AQ20&gt;=1,1,0)+IF(AR20&gt;=1,1,0)+IF(AS20&gt;=1,1,0)+IF(AT20&gt;=1,1,0))&gt;=3,"Multi-capacidad (3-4 verticales)",IF((IF(AL20&gt;=1,1,0)+IF(AM20&gt;=1,1,0)+IF(AN20&gt;=1,1,0)+IF(AO20&gt;=1,1,0)+IF(AP20&gt;=1,1,0)+IF(AQ20&gt;=1,1,0)+IF(AR20&gt;=1,1,0)+IF(AS20&gt;=1,1,0)+IF(AT20&gt;=1,1,0))&gt;=1,"Especialista (1-2 verticales)","Sin función mapeada"))))</f>
        <v>Especialista (1-2 verticales)</v>
      </c>
    </row>
    <row r="21" spans="1:50" ht="24" customHeight="1" x14ac:dyDescent="0.2">
      <c r="A21" s="48" t="s">
        <v>771</v>
      </c>
      <c r="B21" s="48" t="s">
        <v>772</v>
      </c>
      <c r="C21" s="78" t="str">
        <f>IF(A21="","",IFERROR(INDEX('UNIVERSO MAESTRO'!$C$6:$C$497,MATCH(A21,'UNIVERSO MAESTRO'!$A$6:$A$497,0)),"⚠ ID no encontrado"))</f>
        <v>Grupo Omnilife / Amaury Vergara / Chivas</v>
      </c>
      <c r="D21" s="79" t="str">
        <f>IF(A21="","",IFERROR(INDEX('UNIVERSO MAESTRO'!$D$6:$D$497,MATCH(A21,'UNIVERSO MAESTRO'!$A$6:$A$497,0)),""))</f>
        <v>V9</v>
      </c>
      <c r="E21" s="80" t="s">
        <v>1530</v>
      </c>
      <c r="F21" s="80" t="s">
        <v>353</v>
      </c>
      <c r="G21" s="80" t="s">
        <v>1530</v>
      </c>
      <c r="H21" s="80" t="s">
        <v>353</v>
      </c>
      <c r="I21" s="80" t="s">
        <v>353</v>
      </c>
      <c r="J21" s="80" t="s">
        <v>353</v>
      </c>
      <c r="K21" s="80" t="s">
        <v>353</v>
      </c>
      <c r="L21" s="80" t="s">
        <v>353</v>
      </c>
      <c r="M21" s="80" t="s">
        <v>353</v>
      </c>
      <c r="N21" s="80" t="s">
        <v>353</v>
      </c>
      <c r="O21" s="80" t="s">
        <v>353</v>
      </c>
      <c r="P21" s="80" t="s">
        <v>353</v>
      </c>
      <c r="Q21" s="80" t="s">
        <v>353</v>
      </c>
      <c r="R21" s="80" t="s">
        <v>353</v>
      </c>
      <c r="S21" s="80" t="s">
        <v>353</v>
      </c>
      <c r="T21" s="80" t="s">
        <v>353</v>
      </c>
      <c r="U21" s="80" t="s">
        <v>353</v>
      </c>
      <c r="V21" s="80" t="s">
        <v>353</v>
      </c>
      <c r="W21" s="80" t="s">
        <v>353</v>
      </c>
      <c r="X21" s="80" t="s">
        <v>353</v>
      </c>
      <c r="Y21" s="80" t="s">
        <v>353</v>
      </c>
      <c r="Z21" s="80" t="s">
        <v>353</v>
      </c>
      <c r="AA21" s="80" t="s">
        <v>353</v>
      </c>
      <c r="AB21" s="80" t="s">
        <v>353</v>
      </c>
      <c r="AC21" s="80" t="s">
        <v>1530</v>
      </c>
      <c r="AD21" s="80" t="s">
        <v>1530</v>
      </c>
      <c r="AE21" s="80" t="s">
        <v>1530</v>
      </c>
      <c r="AF21" s="80" t="s">
        <v>353</v>
      </c>
      <c r="AG21" s="80" t="s">
        <v>353</v>
      </c>
      <c r="AH21" s="80" t="s">
        <v>353</v>
      </c>
      <c r="AI21" s="80" t="s">
        <v>1530</v>
      </c>
      <c r="AJ21" s="80" t="s">
        <v>353</v>
      </c>
      <c r="AK21" s="80" t="s">
        <v>353</v>
      </c>
      <c r="AL21" s="81">
        <f>IF(E21="Sí",1,IF(E21="Parcial",0.5,0))+IF(F21="Sí",1,IF(F21="Parcial",0.5,0))+IF(G21="Sí",1,IF(G21="Parcial",0.5,0))+IF(H21="Sí",1,IF(H21="Parcial",0.5,0))</f>
        <v>2</v>
      </c>
      <c r="AM21" s="82">
        <f>IF(I21="Sí",1,IF(I21="Parcial",0.5,0))+IF(J21="Sí",1,IF(J21="Parcial",0.5,0))+IF(K21="Sí",1,IF(K21="Parcial",0.5,0))</f>
        <v>0</v>
      </c>
      <c r="AN21" s="83">
        <f>IF(L21="Sí",1,IF(L21="Parcial",0.5,0))+IF(M21="Sí",1,IF(M21="Parcial",0.5,0))+IF(N21="Sí",1,IF(N21="Parcial",0.5,0))+IF(O21="Sí",1,IF(O21="Parcial",0.5,0))</f>
        <v>0</v>
      </c>
      <c r="AO21" s="84">
        <f>IF(P21="Sí",1,IF(P21="Parcial",0.5,0))+IF(Q21="Sí",1,IF(Q21="Parcial",0.5,0))+IF(R21="Sí",1,IF(R21="Parcial",0.5,0))+IF(S21="Sí",1,IF(S21="Parcial",0.5,0))+IF(T21="Sí",1,IF(T21="Parcial",0.5,0))+IF(U21="Sí",1,IF(U21="Parcial",0.5,0))</f>
        <v>0</v>
      </c>
      <c r="AP21" s="85">
        <f>IF(V21="Sí",1,IF(V21="Parcial",0.5,0))+IF(W21="Sí",1,IF(W21="Parcial",0.5,0))+IF(X21="Sí",1,IF(X21="Parcial",0.5,0))+IF(Y21="Sí",1,IF(Y21="Parcial",0.5,0))</f>
        <v>0</v>
      </c>
      <c r="AQ21" s="86">
        <f>IF(Z21="Sí",1,IF(Z21="Parcial",0.5,0))+IF(AA21="Sí",1,IF(AA21="Parcial",0.5,0))+IF(AB21="Sí",1,IF(AB21="Parcial",0.5,0))</f>
        <v>0</v>
      </c>
      <c r="AR21" s="87">
        <f>IF(AC21="Sí",1,IF(AC21="Parcial",0.5,0))+IF(AD21="Sí",1,IF(AD21="Parcial",0.5,0))+IF(AE21="Sí",1,IF(AE21="Parcial",0.5,0))</f>
        <v>3</v>
      </c>
      <c r="AS21" s="88">
        <f>IF(AF21="Sí",1,IF(AF21="Parcial",0.5,0))+IF(AG21="Sí",1,IF(AG21="Parcial",0.5,0))+IF(AH21="Sí",1,IF(AH21="Parcial",0.5,0))</f>
        <v>0</v>
      </c>
      <c r="AT21" s="89">
        <f>IF(AI21="Sí",1,IF(AI21="Parcial",0.5,0))+IF(AJ21="Sí",1,IF(AJ21="Parcial",0.5,0))+IF(AK21="Sí",1,IF(AK21="Parcial",0.5,0))</f>
        <v>1</v>
      </c>
      <c r="AU21" s="90">
        <f>SUM(AL21,AM21,AN21,AO21,AP21,AQ21,AR21,AS21,AT21)</f>
        <v>6</v>
      </c>
      <c r="AV21" s="225">
        <f>IFERROR(IF(OR(A21="",AU21=0),"",AU21/(IF(AL21&gt;0,1,0)+IF(AM21&gt;0,1,0)+IF(AN21&gt;0,1,0)+IF(AO21&gt;0,1,0)+IF(AP21&gt;0,1,0)+IF(AQ21&gt;0,1,0)+IF(AR21&gt;0,1,0)+IF(AS21&gt;0,1,0)+IF(AT21&gt;0,1,0))),"")</f>
        <v>2</v>
      </c>
      <c r="AW21" s="225">
        <f>IFERROR(IF(OR(A21="",AU21=""),"",IF(AND(MAX($AU$8:$AU$156)=0,MAX($AV$8:$AV$156)=0),"",0.5*(AU21/MAX($AU$8:$AU$156))+0.5*(AV21/MAX($AV$8:$AV$156)))),"")</f>
        <v>0.58333333333333326</v>
      </c>
      <c r="AX21" s="79" t="str">
        <f>IF(A21="","",IF((IF(AL21&gt;=1,1,0)+IF(AM21&gt;=1,1,0)+IF(AN21&gt;=1,1,0)+IF(AO21&gt;=1,1,0)+IF(AP21&gt;=1,1,0)+IF(AQ21&gt;=1,1,0)+IF(AR21&gt;=1,1,0)+IF(AS21&gt;=1,1,0)+IF(AT21&gt;=1,1,0))&gt;=5,"Diversificado (5+ verticales)",IF((IF(AL21&gt;=1,1,0)+IF(AM21&gt;=1,1,0)+IF(AN21&gt;=1,1,0)+IF(AO21&gt;=1,1,0)+IF(AP21&gt;=1,1,0)+IF(AQ21&gt;=1,1,0)+IF(AR21&gt;=1,1,0)+IF(AS21&gt;=1,1,0)+IF(AT21&gt;=1,1,0))&gt;=3,"Multi-capacidad (3-4 verticales)",IF((IF(AL21&gt;=1,1,0)+IF(AM21&gt;=1,1,0)+IF(AN21&gt;=1,1,0)+IF(AO21&gt;=1,1,0)+IF(AP21&gt;=1,1,0)+IF(AQ21&gt;=1,1,0)+IF(AR21&gt;=1,1,0)+IF(AS21&gt;=1,1,0)+IF(AT21&gt;=1,1,0))&gt;=1,"Especialista (1-2 verticales)","Sin función mapeada"))))</f>
        <v>Multi-capacidad (3-4 verticales)</v>
      </c>
    </row>
    <row r="22" spans="1:50" ht="24" customHeight="1" x14ac:dyDescent="0.2">
      <c r="A22" s="48" t="s">
        <v>1149</v>
      </c>
      <c r="B22" s="48" t="s">
        <v>1150</v>
      </c>
      <c r="C22" s="78" t="str">
        <f>IF(A22="","",IFERROR(INDEX('UNIVERSO MAESTRO'!$C$6:$C$497,MATCH(A22,'UNIVERSO MAESTRO'!$A$6:$A$497,0)),"⚠ ID no encontrado"))</f>
        <v>Ollamani, S.A.B. / Grupo Águilas (Club América + Estadio Banorte)</v>
      </c>
      <c r="D22" s="79" t="str">
        <f>IF(A22="","",IFERROR(INDEX('UNIVERSO MAESTRO'!$D$6:$D$497,MATCH(A22,'UNIVERSO MAESTRO'!$A$6:$A$497,0)),""))</f>
        <v>V9</v>
      </c>
      <c r="E22" s="80" t="s">
        <v>1530</v>
      </c>
      <c r="F22" s="80" t="s">
        <v>353</v>
      </c>
      <c r="G22" s="80" t="s">
        <v>1530</v>
      </c>
      <c r="H22" s="80" t="s">
        <v>353</v>
      </c>
      <c r="I22" s="80" t="s">
        <v>353</v>
      </c>
      <c r="J22" s="80" t="s">
        <v>353</v>
      </c>
      <c r="K22" s="80" t="s">
        <v>353</v>
      </c>
      <c r="L22" s="80" t="s">
        <v>353</v>
      </c>
      <c r="M22" s="80" t="s">
        <v>353</v>
      </c>
      <c r="N22" s="80" t="s">
        <v>353</v>
      </c>
      <c r="O22" s="80" t="s">
        <v>353</v>
      </c>
      <c r="P22" s="80" t="s">
        <v>353</v>
      </c>
      <c r="Q22" s="80" t="s">
        <v>353</v>
      </c>
      <c r="R22" s="80" t="s">
        <v>353</v>
      </c>
      <c r="S22" s="80" t="s">
        <v>353</v>
      </c>
      <c r="T22" s="80" t="s">
        <v>353</v>
      </c>
      <c r="U22" s="80" t="s">
        <v>353</v>
      </c>
      <c r="V22" s="80" t="s">
        <v>353</v>
      </c>
      <c r="W22" s="80" t="s">
        <v>353</v>
      </c>
      <c r="X22" s="80" t="s">
        <v>353</v>
      </c>
      <c r="Y22" s="80" t="s">
        <v>353</v>
      </c>
      <c r="Z22" s="80" t="s">
        <v>353</v>
      </c>
      <c r="AA22" s="80" t="s">
        <v>353</v>
      </c>
      <c r="AB22" s="80" t="s">
        <v>353</v>
      </c>
      <c r="AC22" s="80" t="s">
        <v>1530</v>
      </c>
      <c r="AD22" s="80" t="s">
        <v>1530</v>
      </c>
      <c r="AE22" s="80" t="s">
        <v>1530</v>
      </c>
      <c r="AF22" s="80" t="s">
        <v>353</v>
      </c>
      <c r="AG22" s="80" t="s">
        <v>353</v>
      </c>
      <c r="AH22" s="80" t="s">
        <v>353</v>
      </c>
      <c r="AI22" s="80" t="s">
        <v>1530</v>
      </c>
      <c r="AJ22" s="80" t="s">
        <v>353</v>
      </c>
      <c r="AK22" s="80" t="s">
        <v>353</v>
      </c>
      <c r="AL22" s="81">
        <f>IF(E22="Sí",1,IF(E22="Parcial",0.5,0))+IF(F22="Sí",1,IF(F22="Parcial",0.5,0))+IF(G22="Sí",1,IF(G22="Parcial",0.5,0))+IF(H22="Sí",1,IF(H22="Parcial",0.5,0))</f>
        <v>2</v>
      </c>
      <c r="AM22" s="82">
        <f>IF(I22="Sí",1,IF(I22="Parcial",0.5,0))+IF(J22="Sí",1,IF(J22="Parcial",0.5,0))+IF(K22="Sí",1,IF(K22="Parcial",0.5,0))</f>
        <v>0</v>
      </c>
      <c r="AN22" s="83">
        <f>IF(L22="Sí",1,IF(L22="Parcial",0.5,0))+IF(M22="Sí",1,IF(M22="Parcial",0.5,0))+IF(N22="Sí",1,IF(N22="Parcial",0.5,0))+IF(O22="Sí",1,IF(O22="Parcial",0.5,0))</f>
        <v>0</v>
      </c>
      <c r="AO22" s="84">
        <f>IF(P22="Sí",1,IF(P22="Parcial",0.5,0))+IF(Q22="Sí",1,IF(Q22="Parcial",0.5,0))+IF(R22="Sí",1,IF(R22="Parcial",0.5,0))+IF(S22="Sí",1,IF(S22="Parcial",0.5,0))+IF(T22="Sí",1,IF(T22="Parcial",0.5,0))+IF(U22="Sí",1,IF(U22="Parcial",0.5,0))</f>
        <v>0</v>
      </c>
      <c r="AP22" s="85">
        <f>IF(V22="Sí",1,IF(V22="Parcial",0.5,0))+IF(W22="Sí",1,IF(W22="Parcial",0.5,0))+IF(X22="Sí",1,IF(X22="Parcial",0.5,0))+IF(Y22="Sí",1,IF(Y22="Parcial",0.5,0))</f>
        <v>0</v>
      </c>
      <c r="AQ22" s="86">
        <f>IF(Z22="Sí",1,IF(Z22="Parcial",0.5,0))+IF(AA22="Sí",1,IF(AA22="Parcial",0.5,0))+IF(AB22="Sí",1,IF(AB22="Parcial",0.5,0))</f>
        <v>0</v>
      </c>
      <c r="AR22" s="87">
        <f>IF(AC22="Sí",1,IF(AC22="Parcial",0.5,0))+IF(AD22="Sí",1,IF(AD22="Parcial",0.5,0))+IF(AE22="Sí",1,IF(AE22="Parcial",0.5,0))</f>
        <v>3</v>
      </c>
      <c r="AS22" s="88">
        <f>IF(AF22="Sí",1,IF(AF22="Parcial",0.5,0))+IF(AG22="Sí",1,IF(AG22="Parcial",0.5,0))+IF(AH22="Sí",1,IF(AH22="Parcial",0.5,0))</f>
        <v>0</v>
      </c>
      <c r="AT22" s="89">
        <f>IF(AI22="Sí",1,IF(AI22="Parcial",0.5,0))+IF(AJ22="Sí",1,IF(AJ22="Parcial",0.5,0))+IF(AK22="Sí",1,IF(AK22="Parcial",0.5,0))</f>
        <v>1</v>
      </c>
      <c r="AU22" s="90">
        <f>SUM(AL22,AM22,AN22,AO22,AP22,AQ22,AR22,AS22,AT22)</f>
        <v>6</v>
      </c>
      <c r="AV22" s="225">
        <f>IFERROR(IF(OR(A22="",AU22=0),"",AU22/(IF(AL22&gt;0,1,0)+IF(AM22&gt;0,1,0)+IF(AN22&gt;0,1,0)+IF(AO22&gt;0,1,0)+IF(AP22&gt;0,1,0)+IF(AQ22&gt;0,1,0)+IF(AR22&gt;0,1,0)+IF(AS22&gt;0,1,0)+IF(AT22&gt;0,1,0))),"")</f>
        <v>2</v>
      </c>
      <c r="AW22" s="225">
        <f>IFERROR(IF(OR(A22="",AU22=""),"",IF(AND(MAX($AU$8:$AU$156)=0,MAX($AV$8:$AV$156)=0),"",0.5*(AU22/MAX($AU$8:$AU$156))+0.5*(AV22/MAX($AV$8:$AV$156)))),"")</f>
        <v>0.58333333333333326</v>
      </c>
      <c r="AX22" s="79" t="str">
        <f>IF(A22="","",IF((IF(AL22&gt;=1,1,0)+IF(AM22&gt;=1,1,0)+IF(AN22&gt;=1,1,0)+IF(AO22&gt;=1,1,0)+IF(AP22&gt;=1,1,0)+IF(AQ22&gt;=1,1,0)+IF(AR22&gt;=1,1,0)+IF(AS22&gt;=1,1,0)+IF(AT22&gt;=1,1,0))&gt;=5,"Diversificado (5+ verticales)",IF((IF(AL22&gt;=1,1,0)+IF(AM22&gt;=1,1,0)+IF(AN22&gt;=1,1,0)+IF(AO22&gt;=1,1,0)+IF(AP22&gt;=1,1,0)+IF(AQ22&gt;=1,1,0)+IF(AR22&gt;=1,1,0)+IF(AS22&gt;=1,1,0)+IF(AT22&gt;=1,1,0))&gt;=3,"Multi-capacidad (3-4 verticales)",IF((IF(AL22&gt;=1,1,0)+IF(AM22&gt;=1,1,0)+IF(AN22&gt;=1,1,0)+IF(AO22&gt;=1,1,0)+IF(AP22&gt;=1,1,0)+IF(AQ22&gt;=1,1,0)+IF(AR22&gt;=1,1,0)+IF(AS22&gt;=1,1,0)+IF(AT22&gt;=1,1,0))&gt;=1,"Especialista (1-2 verticales)","Sin función mapeada"))))</f>
        <v>Multi-capacidad (3-4 verticales)</v>
      </c>
    </row>
    <row r="23" spans="1:50" ht="24" customHeight="1" x14ac:dyDescent="0.2">
      <c r="A23" s="48" t="s">
        <v>811</v>
      </c>
      <c r="B23" s="48" t="s">
        <v>812</v>
      </c>
      <c r="C23" s="78" t="str">
        <f>IF(A23="","",IFERROR(INDEX('UNIVERSO MAESTRO'!$C$6:$C$497,MATCH(A23,'UNIVERSO MAESTRO'!$A$6:$A$497,0)),"⚠ ID no encontrado"))</f>
        <v>Grupo Salinas / TV Azteca</v>
      </c>
      <c r="D23" s="79" t="str">
        <f>IF(A23="","",IFERROR(INDEX('UNIVERSO MAESTRO'!$D$6:$D$497,MATCH(A23,'UNIVERSO MAESTRO'!$A$6:$A$497,0)),""))</f>
        <v>V9</v>
      </c>
      <c r="E23" s="80" t="s">
        <v>1530</v>
      </c>
      <c r="F23" s="80" t="s">
        <v>353</v>
      </c>
      <c r="G23" s="80" t="s">
        <v>1530</v>
      </c>
      <c r="H23" s="80" t="s">
        <v>353</v>
      </c>
      <c r="I23" s="80" t="s">
        <v>1530</v>
      </c>
      <c r="J23" s="80" t="s">
        <v>1530</v>
      </c>
      <c r="K23" s="80" t="s">
        <v>1530</v>
      </c>
      <c r="L23" s="80" t="s">
        <v>353</v>
      </c>
      <c r="M23" s="80" t="s">
        <v>353</v>
      </c>
      <c r="N23" s="80" t="s">
        <v>353</v>
      </c>
      <c r="O23" s="80" t="s">
        <v>353</v>
      </c>
      <c r="P23" s="80" t="s">
        <v>353</v>
      </c>
      <c r="Q23" s="80" t="s">
        <v>353</v>
      </c>
      <c r="R23" s="80" t="s">
        <v>353</v>
      </c>
      <c r="S23" s="80" t="s">
        <v>353</v>
      </c>
      <c r="T23" s="80" t="s">
        <v>353</v>
      </c>
      <c r="U23" s="80" t="s">
        <v>353</v>
      </c>
      <c r="V23" s="80" t="s">
        <v>3340</v>
      </c>
      <c r="W23" s="80" t="s">
        <v>353</v>
      </c>
      <c r="X23" s="80" t="s">
        <v>353</v>
      </c>
      <c r="Y23" s="80" t="s">
        <v>353</v>
      </c>
      <c r="Z23" s="80" t="s">
        <v>353</v>
      </c>
      <c r="AA23" s="80" t="s">
        <v>353</v>
      </c>
      <c r="AB23" s="80" t="s">
        <v>353</v>
      </c>
      <c r="AC23" s="80" t="s">
        <v>353</v>
      </c>
      <c r="AD23" s="80" t="s">
        <v>353</v>
      </c>
      <c r="AE23" s="80" t="s">
        <v>353</v>
      </c>
      <c r="AF23" s="80" t="s">
        <v>353</v>
      </c>
      <c r="AG23" s="80" t="s">
        <v>353</v>
      </c>
      <c r="AH23" s="80" t="s">
        <v>353</v>
      </c>
      <c r="AI23" s="80" t="s">
        <v>1530</v>
      </c>
      <c r="AJ23" s="80" t="s">
        <v>353</v>
      </c>
      <c r="AK23" s="80" t="s">
        <v>353</v>
      </c>
      <c r="AL23" s="81">
        <f>IF(E23="Sí",1,IF(E23="Parcial",0.5,0))+IF(F23="Sí",1,IF(F23="Parcial",0.5,0))+IF(G23="Sí",1,IF(G23="Parcial",0.5,0))+IF(H23="Sí",1,IF(H23="Parcial",0.5,0))</f>
        <v>2</v>
      </c>
      <c r="AM23" s="82">
        <f>IF(I23="Sí",1,IF(I23="Parcial",0.5,0))+IF(J23="Sí",1,IF(J23="Parcial",0.5,0))+IF(K23="Sí",1,IF(K23="Parcial",0.5,0))</f>
        <v>3</v>
      </c>
      <c r="AN23" s="83">
        <f>IF(L23="Sí",1,IF(L23="Parcial",0.5,0))+IF(M23="Sí",1,IF(M23="Parcial",0.5,0))+IF(N23="Sí",1,IF(N23="Parcial",0.5,0))+IF(O23="Sí",1,IF(O23="Parcial",0.5,0))</f>
        <v>0</v>
      </c>
      <c r="AO23" s="84">
        <f>IF(P23="Sí",1,IF(P23="Parcial",0.5,0))+IF(Q23="Sí",1,IF(Q23="Parcial",0.5,0))+IF(R23="Sí",1,IF(R23="Parcial",0.5,0))+IF(S23="Sí",1,IF(S23="Parcial",0.5,0))+IF(T23="Sí",1,IF(T23="Parcial",0.5,0))+IF(U23="Sí",1,IF(U23="Parcial",0.5,0))</f>
        <v>0</v>
      </c>
      <c r="AP23" s="85">
        <f>IF(V23="Sí",1,IF(V23="Parcial",0.5,0))+IF(W23="Sí",1,IF(W23="Parcial",0.5,0))+IF(X23="Sí",1,IF(X23="Parcial",0.5,0))+IF(Y23="Sí",1,IF(Y23="Parcial",0.5,0))</f>
        <v>0.5</v>
      </c>
      <c r="AQ23" s="86">
        <f>IF(Z23="Sí",1,IF(Z23="Parcial",0.5,0))+IF(AA23="Sí",1,IF(AA23="Parcial",0.5,0))+IF(AB23="Sí",1,IF(AB23="Parcial",0.5,0))</f>
        <v>0</v>
      </c>
      <c r="AR23" s="87">
        <f>IF(AC23="Sí",1,IF(AC23="Parcial",0.5,0))+IF(AD23="Sí",1,IF(AD23="Parcial",0.5,0))+IF(AE23="Sí",1,IF(AE23="Parcial",0.5,0))</f>
        <v>0</v>
      </c>
      <c r="AS23" s="88">
        <f>IF(AF23="Sí",1,IF(AF23="Parcial",0.5,0))+IF(AG23="Sí",1,IF(AG23="Parcial",0.5,0))+IF(AH23="Sí",1,IF(AH23="Parcial",0.5,0))</f>
        <v>0</v>
      </c>
      <c r="AT23" s="89">
        <f>IF(AI23="Sí",1,IF(AI23="Parcial",0.5,0))+IF(AJ23="Sí",1,IF(AJ23="Parcial",0.5,0))+IF(AK23="Sí",1,IF(AK23="Parcial",0.5,0))</f>
        <v>1</v>
      </c>
      <c r="AU23" s="90">
        <f>SUM(AL23,AM23,AN23,AO23,AP23,AQ23,AR23,AS23,AT23)</f>
        <v>6.5</v>
      </c>
      <c r="AV23" s="225">
        <f>IFERROR(IF(OR(A23="",AU23=0),"",AU23/(IF(AL23&gt;0,1,0)+IF(AM23&gt;0,1,0)+IF(AN23&gt;0,1,0)+IF(AO23&gt;0,1,0)+IF(AP23&gt;0,1,0)+IF(AQ23&gt;0,1,0)+IF(AR23&gt;0,1,0)+IF(AS23&gt;0,1,0)+IF(AT23&gt;0,1,0))),"")</f>
        <v>1.625</v>
      </c>
      <c r="AW23" s="225">
        <f>IFERROR(IF(OR(A23="",AU23=""),"",IF(AND(MAX($AU$8:$AU$156)=0,MAX($AV$8:$AV$156)=0),"",0.5*(AU23/MAX($AU$8:$AU$156))+0.5*(AV23/MAX($AV$8:$AV$156)))),"")</f>
        <v>0.56423611111111116</v>
      </c>
      <c r="AX23" s="79" t="str">
        <f>IF(A23="","",IF((IF(AL23&gt;=1,1,0)+IF(AM23&gt;=1,1,0)+IF(AN23&gt;=1,1,0)+IF(AO23&gt;=1,1,0)+IF(AP23&gt;=1,1,0)+IF(AQ23&gt;=1,1,0)+IF(AR23&gt;=1,1,0)+IF(AS23&gt;=1,1,0)+IF(AT23&gt;=1,1,0))&gt;=5,"Diversificado (5+ verticales)",IF((IF(AL23&gt;=1,1,0)+IF(AM23&gt;=1,1,0)+IF(AN23&gt;=1,1,0)+IF(AO23&gt;=1,1,0)+IF(AP23&gt;=1,1,0)+IF(AQ23&gt;=1,1,0)+IF(AR23&gt;=1,1,0)+IF(AS23&gt;=1,1,0)+IF(AT23&gt;=1,1,0))&gt;=3,"Multi-capacidad (3-4 verticales)",IF((IF(AL23&gt;=1,1,0)+IF(AM23&gt;=1,1,0)+IF(AN23&gt;=1,1,0)+IF(AO23&gt;=1,1,0)+IF(AP23&gt;=1,1,0)+IF(AQ23&gt;=1,1,0)+IF(AR23&gt;=1,1,0)+IF(AS23&gt;=1,1,0)+IF(AT23&gt;=1,1,0))&gt;=1,"Especialista (1-2 verticales)","Sin función mapeada"))))</f>
        <v>Multi-capacidad (3-4 verticales)</v>
      </c>
    </row>
    <row r="24" spans="1:50" ht="24" customHeight="1" x14ac:dyDescent="0.2">
      <c r="A24" s="48" t="s">
        <v>1531</v>
      </c>
      <c r="B24" s="48" t="s">
        <v>1532</v>
      </c>
      <c r="C24" s="78" t="s">
        <v>1533</v>
      </c>
      <c r="D24" s="79" t="s">
        <v>24</v>
      </c>
      <c r="E24" s="80" t="s">
        <v>1530</v>
      </c>
      <c r="F24" s="80" t="s">
        <v>1530</v>
      </c>
      <c r="G24" s="80" t="s">
        <v>1530</v>
      </c>
      <c r="H24" s="80" t="s">
        <v>353</v>
      </c>
      <c r="I24" s="80" t="s">
        <v>353</v>
      </c>
      <c r="J24" s="80" t="s">
        <v>1530</v>
      </c>
      <c r="K24" s="80" t="s">
        <v>1530</v>
      </c>
      <c r="L24" s="80" t="s">
        <v>353</v>
      </c>
      <c r="M24" s="80" t="s">
        <v>353</v>
      </c>
      <c r="N24" s="80" t="s">
        <v>353</v>
      </c>
      <c r="O24" s="80" t="s">
        <v>353</v>
      </c>
      <c r="P24" s="80" t="s">
        <v>353</v>
      </c>
      <c r="Q24" s="80" t="s">
        <v>353</v>
      </c>
      <c r="R24" s="80" t="s">
        <v>353</v>
      </c>
      <c r="S24" s="80" t="s">
        <v>353</v>
      </c>
      <c r="T24" s="80" t="s">
        <v>353</v>
      </c>
      <c r="U24" s="80" t="s">
        <v>353</v>
      </c>
      <c r="V24" s="80" t="s">
        <v>3340</v>
      </c>
      <c r="W24" s="80" t="s">
        <v>353</v>
      </c>
      <c r="X24" s="80" t="s">
        <v>353</v>
      </c>
      <c r="Y24" s="80" t="s">
        <v>353</v>
      </c>
      <c r="Z24" s="80" t="s">
        <v>1530</v>
      </c>
      <c r="AA24" s="80" t="s">
        <v>353</v>
      </c>
      <c r="AB24" s="80" t="s">
        <v>353</v>
      </c>
      <c r="AC24" s="80" t="s">
        <v>353</v>
      </c>
      <c r="AD24" s="80" t="s">
        <v>353</v>
      </c>
      <c r="AE24" s="80" t="s">
        <v>353</v>
      </c>
      <c r="AF24" s="80" t="s">
        <v>353</v>
      </c>
      <c r="AG24" s="80" t="s">
        <v>353</v>
      </c>
      <c r="AH24" s="80" t="s">
        <v>353</v>
      </c>
      <c r="AI24" s="80" t="s">
        <v>353</v>
      </c>
      <c r="AJ24" s="80" t="s">
        <v>353</v>
      </c>
      <c r="AK24" s="80" t="s">
        <v>353</v>
      </c>
      <c r="AL24" s="81">
        <f>IF(E24="Sí",1,IF(E24="Parcial",0.5,0))+IF(F24="Sí",1,IF(F24="Parcial",0.5,0))+IF(G24="Sí",1,IF(G24="Parcial",0.5,0))+IF(H24="Sí",1,IF(H24="Parcial",0.5,0))</f>
        <v>3</v>
      </c>
      <c r="AM24" s="82">
        <f>IF(I24="Sí",1,IF(I24="Parcial",0.5,0))+IF(J24="Sí",1,IF(J24="Parcial",0.5,0))+IF(K24="Sí",1,IF(K24="Parcial",0.5,0))</f>
        <v>2</v>
      </c>
      <c r="AN24" s="83">
        <f>IF(L24="Sí",1,IF(L24="Parcial",0.5,0))+IF(M24="Sí",1,IF(M24="Parcial",0.5,0))+IF(N24="Sí",1,IF(N24="Parcial",0.5,0))+IF(O24="Sí",1,IF(O24="Parcial",0.5,0))</f>
        <v>0</v>
      </c>
      <c r="AO24" s="84">
        <f>IF(P24="Sí",1,IF(P24="Parcial",0.5,0))+IF(Q24="Sí",1,IF(Q24="Parcial",0.5,0))+IF(R24="Sí",1,IF(R24="Parcial",0.5,0))+IF(S24="Sí",1,IF(S24="Parcial",0.5,0))+IF(T24="Sí",1,IF(T24="Parcial",0.5,0))+IF(U24="Sí",1,IF(U24="Parcial",0.5,0))</f>
        <v>0</v>
      </c>
      <c r="AP24" s="85">
        <f>IF(V24="Sí",1,IF(V24="Parcial",0.5,0))+IF(W24="Sí",1,IF(W24="Parcial",0.5,0))+IF(X24="Sí",1,IF(X24="Parcial",0.5,0))+IF(Y24="Sí",1,IF(Y24="Parcial",0.5,0))</f>
        <v>0.5</v>
      </c>
      <c r="AQ24" s="86">
        <f>IF(Z24="Sí",1,IF(Z24="Parcial",0.5,0))+IF(AA24="Sí",1,IF(AA24="Parcial",0.5,0))+IF(AB24="Sí",1,IF(AB24="Parcial",0.5,0))</f>
        <v>1</v>
      </c>
      <c r="AR24" s="87">
        <f>IF(AC24="Sí",1,IF(AC24="Parcial",0.5,0))+IF(AD24="Sí",1,IF(AD24="Parcial",0.5,0))+IF(AE24="Sí",1,IF(AE24="Parcial",0.5,0))</f>
        <v>0</v>
      </c>
      <c r="AS24" s="88">
        <f>IF(AF24="Sí",1,IF(AF24="Parcial",0.5,0))+IF(AG24="Sí",1,IF(AG24="Parcial",0.5,0))+IF(AH24="Sí",1,IF(AH24="Parcial",0.5,0))</f>
        <v>0</v>
      </c>
      <c r="AT24" s="89">
        <f>IF(AI24="Sí",1,IF(AI24="Parcial",0.5,0))+IF(AJ24="Sí",1,IF(AJ24="Parcial",0.5,0))+IF(AK24="Sí",1,IF(AK24="Parcial",0.5,0))</f>
        <v>0</v>
      </c>
      <c r="AU24" s="90">
        <f>SUM(AL24,AM24,AN24,AO24,AP24,AQ24,AR24,AS24,AT24)</f>
        <v>6.5</v>
      </c>
      <c r="AV24" s="226">
        <f>IFERROR(IF(OR(A24="",AU24=0),"",AU24/(IF(AL24&gt;0,1,0)+IF(AM24&gt;0,1,0)+IF(AN24&gt;0,1,0)+IF(AO24&gt;0,1,0)+IF(AP24&gt;0,1,0)+IF(AQ24&gt;0,1,0)+IF(AR24&gt;0,1,0)+IF(AS24&gt;0,1,0)+IF(AT24&gt;0,1,0))),"")</f>
        <v>1.625</v>
      </c>
      <c r="AW24" s="226">
        <f>IFERROR(IF(OR(A24="",AU24=""),"",IF(AND(MAX($AU$8:$AU$156)=0,MAX($AV$8:$AV$156)=0),"",0.5*(AU24/MAX($AU$8:$AU$156))+0.5*(AV24/MAX($AV$8:$AV$156)))),"")</f>
        <v>0.56423611111111116</v>
      </c>
      <c r="AX24" s="79" t="str">
        <f>IF(A24="","",IF((IF(AL24&gt;=1,1,0)+IF(AM24&gt;=1,1,0)+IF(AN24&gt;=1,1,0)+IF(AO24&gt;=1,1,0)+IF(AP24&gt;=1,1,0)+IF(AQ24&gt;=1,1,0)+IF(AR24&gt;=1,1,0)+IF(AS24&gt;=1,1,0)+IF(AT24&gt;=1,1,0))&gt;=5,"Diversificado (5+ verticales)",IF((IF(AL24&gt;=1,1,0)+IF(AM24&gt;=1,1,0)+IF(AN24&gt;=1,1,0)+IF(AO24&gt;=1,1,0)+IF(AP24&gt;=1,1,0)+IF(AQ24&gt;=1,1,0)+IF(AR24&gt;=1,1,0)+IF(AS24&gt;=1,1,0)+IF(AT24&gt;=1,1,0))&gt;=3,"Multi-capacidad (3-4 verticales)",IF((IF(AL24&gt;=1,1,0)+IF(AM24&gt;=1,1,0)+IF(AN24&gt;=1,1,0)+IF(AO24&gt;=1,1,0)+IF(AP24&gt;=1,1,0)+IF(AQ24&gt;=1,1,0)+IF(AR24&gt;=1,1,0)+IF(AS24&gt;=1,1,0)+IF(AT24&gt;=1,1,0))&gt;=1,"Especialista (1-2 verticales)","Sin función mapeada"))))</f>
        <v>Multi-capacidad (3-4 verticales)</v>
      </c>
    </row>
    <row r="25" spans="1:50" ht="24" customHeight="1" x14ac:dyDescent="0.2">
      <c r="A25" s="48" t="s">
        <v>236</v>
      </c>
      <c r="B25" s="48" t="s">
        <v>237</v>
      </c>
      <c r="C25" s="78" t="str">
        <f>IF(A25="","",IFERROR(INDEX('UNIVERSO MAESTRO'!$C$6:$C$497,MATCH(A25,'UNIVERSO MAESTRO'!$A$6:$A$497,0)),"⚠ ID no encontrado"))</f>
        <v>Amazon Prime Video</v>
      </c>
      <c r="D25" s="79" t="str">
        <f>IF(A25="","",IFERROR(INDEX('UNIVERSO MAESTRO'!$D$6:$D$497,MATCH(A25,'UNIVERSO MAESTRO'!$A$6:$A$497,0)),""))</f>
        <v>V2</v>
      </c>
      <c r="E25" s="80" t="s">
        <v>353</v>
      </c>
      <c r="F25" s="80" t="s">
        <v>353</v>
      </c>
      <c r="G25" s="80" t="s">
        <v>353</v>
      </c>
      <c r="H25" s="80" t="s">
        <v>353</v>
      </c>
      <c r="I25" s="80" t="s">
        <v>1530</v>
      </c>
      <c r="J25" s="80" t="s">
        <v>1530</v>
      </c>
      <c r="K25" s="80" t="s">
        <v>1530</v>
      </c>
      <c r="L25" s="80" t="s">
        <v>353</v>
      </c>
      <c r="M25" s="80" t="s">
        <v>353</v>
      </c>
      <c r="N25" s="80" t="s">
        <v>353</v>
      </c>
      <c r="O25" s="80" t="s">
        <v>353</v>
      </c>
      <c r="P25" s="80" t="s">
        <v>353</v>
      </c>
      <c r="Q25" s="80" t="s">
        <v>353</v>
      </c>
      <c r="R25" s="80" t="s">
        <v>353</v>
      </c>
      <c r="S25" s="80" t="s">
        <v>353</v>
      </c>
      <c r="T25" s="80" t="s">
        <v>353</v>
      </c>
      <c r="U25" s="80" t="s">
        <v>353</v>
      </c>
      <c r="V25" s="80" t="s">
        <v>353</v>
      </c>
      <c r="W25" s="80" t="s">
        <v>353</v>
      </c>
      <c r="X25" s="80" t="s">
        <v>353</v>
      </c>
      <c r="Y25" s="80" t="s">
        <v>353</v>
      </c>
      <c r="Z25" s="80" t="s">
        <v>353</v>
      </c>
      <c r="AA25" s="80" t="s">
        <v>353</v>
      </c>
      <c r="AB25" s="80" t="s">
        <v>353</v>
      </c>
      <c r="AC25" s="80" t="s">
        <v>353</v>
      </c>
      <c r="AD25" s="80" t="s">
        <v>353</v>
      </c>
      <c r="AE25" s="80" t="s">
        <v>353</v>
      </c>
      <c r="AF25" s="80" t="s">
        <v>353</v>
      </c>
      <c r="AG25" s="80" t="s">
        <v>353</v>
      </c>
      <c r="AH25" s="80" t="s">
        <v>353</v>
      </c>
      <c r="AI25" s="80" t="s">
        <v>353</v>
      </c>
      <c r="AJ25" s="80" t="s">
        <v>353</v>
      </c>
      <c r="AK25" s="80" t="s">
        <v>353</v>
      </c>
      <c r="AL25" s="81">
        <f>IF(E25="Sí",1,IF(E25="Parcial",0.5,0))+IF(F25="Sí",1,IF(F25="Parcial",0.5,0))+IF(G25="Sí",1,IF(G25="Parcial",0.5,0))+IF(H25="Sí",1,IF(H25="Parcial",0.5,0))</f>
        <v>0</v>
      </c>
      <c r="AM25" s="82">
        <f>IF(I25="Sí",1,IF(I25="Parcial",0.5,0))+IF(J25="Sí",1,IF(J25="Parcial",0.5,0))+IF(K25="Sí",1,IF(K25="Parcial",0.5,0))</f>
        <v>3</v>
      </c>
      <c r="AN25" s="83">
        <f>IF(L25="Sí",1,IF(L25="Parcial",0.5,0))+IF(M25="Sí",1,IF(M25="Parcial",0.5,0))+IF(N25="Sí",1,IF(N25="Parcial",0.5,0))+IF(O25="Sí",1,IF(O25="Parcial",0.5,0))</f>
        <v>0</v>
      </c>
      <c r="AO25" s="84">
        <f>IF(P25="Sí",1,IF(P25="Parcial",0.5,0))+IF(Q25="Sí",1,IF(Q25="Parcial",0.5,0))+IF(R25="Sí",1,IF(R25="Parcial",0.5,0))+IF(S25="Sí",1,IF(S25="Parcial",0.5,0))+IF(T25="Sí",1,IF(T25="Parcial",0.5,0))+IF(U25="Sí",1,IF(U25="Parcial",0.5,0))</f>
        <v>0</v>
      </c>
      <c r="AP25" s="85">
        <f>IF(V25="Sí",1,IF(V25="Parcial",0.5,0))+IF(W25="Sí",1,IF(W25="Parcial",0.5,0))+IF(X25="Sí",1,IF(X25="Parcial",0.5,0))+IF(Y25="Sí",1,IF(Y25="Parcial",0.5,0))</f>
        <v>0</v>
      </c>
      <c r="AQ25" s="86">
        <f>IF(Z25="Sí",1,IF(Z25="Parcial",0.5,0))+IF(AA25="Sí",1,IF(AA25="Parcial",0.5,0))+IF(AB25="Sí",1,IF(AB25="Parcial",0.5,0))</f>
        <v>0</v>
      </c>
      <c r="AR25" s="87">
        <f>IF(AC25="Sí",1,IF(AC25="Parcial",0.5,0))+IF(AD25="Sí",1,IF(AD25="Parcial",0.5,0))+IF(AE25="Sí",1,IF(AE25="Parcial",0.5,0))</f>
        <v>0</v>
      </c>
      <c r="AS25" s="88">
        <f>IF(AF25="Sí",1,IF(AF25="Parcial",0.5,0))+IF(AG25="Sí",1,IF(AG25="Parcial",0.5,0))+IF(AH25="Sí",1,IF(AH25="Parcial",0.5,0))</f>
        <v>0</v>
      </c>
      <c r="AT25" s="89">
        <f>IF(AI25="Sí",1,IF(AI25="Parcial",0.5,0))+IF(AJ25="Sí",1,IF(AJ25="Parcial",0.5,0))+IF(AK25="Sí",1,IF(AK25="Parcial",0.5,0))</f>
        <v>0</v>
      </c>
      <c r="AU25" s="90">
        <f>SUM(AL25,AM25,AN25,AO25,AP25,AQ25,AR25,AS25,AT25)</f>
        <v>3</v>
      </c>
      <c r="AV25" s="225">
        <f>IFERROR(IF(OR(A25="",AU25=0),"",AU25/(IF(AL25&gt;0,1,0)+IF(AM25&gt;0,1,0)+IF(AN25&gt;0,1,0)+IF(AO25&gt;0,1,0)+IF(AP25&gt;0,1,0)+IF(AQ25&gt;0,1,0)+IF(AR25&gt;0,1,0)+IF(AS25&gt;0,1,0)+IF(AT25&gt;0,1,0))),"")</f>
        <v>3</v>
      </c>
      <c r="AW25" s="225">
        <f>IFERROR(IF(OR(A25="",AU25=""),"",IF(AND(MAX($AU$8:$AU$156)=0,MAX($AV$8:$AV$156)=0),"",0.5*(AU25/MAX($AU$8:$AU$156))+0.5*(AV25/MAX($AV$8:$AV$156)))),"")</f>
        <v>0.54166666666666663</v>
      </c>
      <c r="AX25" s="79" t="str">
        <f>IF(A25="","",IF((IF(AL25&gt;=1,1,0)+IF(AM25&gt;=1,1,0)+IF(AN25&gt;=1,1,0)+IF(AO25&gt;=1,1,0)+IF(AP25&gt;=1,1,0)+IF(AQ25&gt;=1,1,0)+IF(AR25&gt;=1,1,0)+IF(AS25&gt;=1,1,0)+IF(AT25&gt;=1,1,0))&gt;=5,"Diversificado (5+ verticales)",IF((IF(AL25&gt;=1,1,0)+IF(AM25&gt;=1,1,0)+IF(AN25&gt;=1,1,0)+IF(AO25&gt;=1,1,0)+IF(AP25&gt;=1,1,0)+IF(AQ25&gt;=1,1,0)+IF(AR25&gt;=1,1,0)+IF(AS25&gt;=1,1,0)+IF(AT25&gt;=1,1,0))&gt;=3,"Multi-capacidad (3-4 verticales)",IF((IF(AL25&gt;=1,1,0)+IF(AM25&gt;=1,1,0)+IF(AN25&gt;=1,1,0)+IF(AO25&gt;=1,1,0)+IF(AP25&gt;=1,1,0)+IF(AQ25&gt;=1,1,0)+IF(AR25&gt;=1,1,0)+IF(AS25&gt;=1,1,0)+IF(AT25&gt;=1,1,0))&gt;=1,"Especialista (1-2 verticales)","Sin función mapeada"))))</f>
        <v>Especialista (1-2 verticales)</v>
      </c>
    </row>
    <row r="26" spans="1:50" ht="24" customHeight="1" x14ac:dyDescent="0.2">
      <c r="A26" s="48" t="s">
        <v>299</v>
      </c>
      <c r="B26" s="48" t="s">
        <v>300</v>
      </c>
      <c r="C26" s="78" t="str">
        <f>IF(A26="","",IFERROR(INDEX('UNIVERSO MAESTRO'!$C$6:$C$497,MATCH(A26,'UNIVERSO MAESTRO'!$A$6:$A$497,0)),"⚠ ID no encontrado"))</f>
        <v>BBVA México</v>
      </c>
      <c r="D26" s="79" t="str">
        <f>IF(A26="","",IFERROR(INDEX('UNIVERSO MAESTRO'!$D$6:$D$497,MATCH(A26,'UNIVERSO MAESTRO'!$A$6:$A$497,0)),""))</f>
        <v>V3</v>
      </c>
      <c r="E26" s="80" t="s">
        <v>353</v>
      </c>
      <c r="F26" s="80" t="s">
        <v>353</v>
      </c>
      <c r="G26" s="80" t="s">
        <v>353</v>
      </c>
      <c r="H26" s="80" t="s">
        <v>353</v>
      </c>
      <c r="I26" s="80" t="s">
        <v>353</v>
      </c>
      <c r="J26" s="80" t="s">
        <v>353</v>
      </c>
      <c r="K26" s="80" t="s">
        <v>353</v>
      </c>
      <c r="L26" s="80" t="s">
        <v>1530</v>
      </c>
      <c r="M26" s="80" t="s">
        <v>1530</v>
      </c>
      <c r="N26" s="80" t="s">
        <v>1530</v>
      </c>
      <c r="O26" s="80" t="s">
        <v>353</v>
      </c>
      <c r="P26" s="80" t="s">
        <v>353</v>
      </c>
      <c r="Q26" s="80" t="s">
        <v>353</v>
      </c>
      <c r="R26" s="80" t="s">
        <v>353</v>
      </c>
      <c r="S26" s="80" t="s">
        <v>353</v>
      </c>
      <c r="T26" s="80" t="s">
        <v>353</v>
      </c>
      <c r="U26" s="80" t="s">
        <v>353</v>
      </c>
      <c r="V26" s="80" t="s">
        <v>353</v>
      </c>
      <c r="W26" s="80" t="s">
        <v>353</v>
      </c>
      <c r="X26" s="80" t="s">
        <v>353</v>
      </c>
      <c r="Y26" s="80" t="s">
        <v>353</v>
      </c>
      <c r="Z26" s="80" t="s">
        <v>353</v>
      </c>
      <c r="AA26" s="80" t="s">
        <v>353</v>
      </c>
      <c r="AB26" s="80" t="s">
        <v>353</v>
      </c>
      <c r="AC26" s="80" t="s">
        <v>353</v>
      </c>
      <c r="AD26" s="80" t="s">
        <v>353</v>
      </c>
      <c r="AE26" s="80" t="s">
        <v>353</v>
      </c>
      <c r="AF26" s="80" t="s">
        <v>353</v>
      </c>
      <c r="AG26" s="80" t="s">
        <v>353</v>
      </c>
      <c r="AH26" s="80" t="s">
        <v>353</v>
      </c>
      <c r="AI26" s="80" t="s">
        <v>353</v>
      </c>
      <c r="AJ26" s="80" t="s">
        <v>353</v>
      </c>
      <c r="AK26" s="80" t="s">
        <v>353</v>
      </c>
      <c r="AL26" s="81">
        <f>IF(E26="Sí",1,IF(E26="Parcial",0.5,0))+IF(F26="Sí",1,IF(F26="Parcial",0.5,0))+IF(G26="Sí",1,IF(G26="Parcial",0.5,0))+IF(H26="Sí",1,IF(H26="Parcial",0.5,0))</f>
        <v>0</v>
      </c>
      <c r="AM26" s="82">
        <f>IF(I26="Sí",1,IF(I26="Parcial",0.5,0))+IF(J26="Sí",1,IF(J26="Parcial",0.5,0))+IF(K26="Sí",1,IF(K26="Parcial",0.5,0))</f>
        <v>0</v>
      </c>
      <c r="AN26" s="83">
        <f>IF(L26="Sí",1,IF(L26="Parcial",0.5,0))+IF(M26="Sí",1,IF(M26="Parcial",0.5,0))+IF(N26="Sí",1,IF(N26="Parcial",0.5,0))+IF(O26="Sí",1,IF(O26="Parcial",0.5,0))</f>
        <v>3</v>
      </c>
      <c r="AO26" s="84">
        <f>IF(P26="Sí",1,IF(P26="Parcial",0.5,0))+IF(Q26="Sí",1,IF(Q26="Parcial",0.5,0))+IF(R26="Sí",1,IF(R26="Parcial",0.5,0))+IF(S26="Sí",1,IF(S26="Parcial",0.5,0))+IF(T26="Sí",1,IF(T26="Parcial",0.5,0))+IF(U26="Sí",1,IF(U26="Parcial",0.5,0))</f>
        <v>0</v>
      </c>
      <c r="AP26" s="85">
        <f>IF(V26="Sí",1,IF(V26="Parcial",0.5,0))+IF(W26="Sí",1,IF(W26="Parcial",0.5,0))+IF(X26="Sí",1,IF(X26="Parcial",0.5,0))+IF(Y26="Sí",1,IF(Y26="Parcial",0.5,0))</f>
        <v>0</v>
      </c>
      <c r="AQ26" s="86">
        <f>IF(Z26="Sí",1,IF(Z26="Parcial",0.5,0))+IF(AA26="Sí",1,IF(AA26="Parcial",0.5,0))+IF(AB26="Sí",1,IF(AB26="Parcial",0.5,0))</f>
        <v>0</v>
      </c>
      <c r="AR26" s="87">
        <f>IF(AC26="Sí",1,IF(AC26="Parcial",0.5,0))+IF(AD26="Sí",1,IF(AD26="Parcial",0.5,0))+IF(AE26="Sí",1,IF(AE26="Parcial",0.5,0))</f>
        <v>0</v>
      </c>
      <c r="AS26" s="88">
        <f>IF(AF26="Sí",1,IF(AF26="Parcial",0.5,0))+IF(AG26="Sí",1,IF(AG26="Parcial",0.5,0))+IF(AH26="Sí",1,IF(AH26="Parcial",0.5,0))</f>
        <v>0</v>
      </c>
      <c r="AT26" s="89">
        <f>IF(AI26="Sí",1,IF(AI26="Parcial",0.5,0))+IF(AJ26="Sí",1,IF(AJ26="Parcial",0.5,0))+IF(AK26="Sí",1,IF(AK26="Parcial",0.5,0))</f>
        <v>0</v>
      </c>
      <c r="AU26" s="90">
        <f>SUM(AL26,AM26,AN26,AO26,AP26,AQ26,AR26,AS26,AT26)</f>
        <v>3</v>
      </c>
      <c r="AV26" s="225">
        <f>IFERROR(IF(OR(A26="",AU26=0),"",AU26/(IF(AL26&gt;0,1,0)+IF(AM26&gt;0,1,0)+IF(AN26&gt;0,1,0)+IF(AO26&gt;0,1,0)+IF(AP26&gt;0,1,0)+IF(AQ26&gt;0,1,0)+IF(AR26&gt;0,1,0)+IF(AS26&gt;0,1,0)+IF(AT26&gt;0,1,0))),"")</f>
        <v>3</v>
      </c>
      <c r="AW26" s="225">
        <f>IFERROR(IF(OR(A26="",AU26=""),"",IF(AND(MAX($AU$8:$AU$156)=0,MAX($AV$8:$AV$156)=0),"",0.5*(AU26/MAX($AU$8:$AU$156))+0.5*(AV26/MAX($AV$8:$AV$156)))),"")</f>
        <v>0.54166666666666663</v>
      </c>
      <c r="AX26" s="79" t="str">
        <f>IF(A26="","",IF((IF(AL26&gt;=1,1,0)+IF(AM26&gt;=1,1,0)+IF(AN26&gt;=1,1,0)+IF(AO26&gt;=1,1,0)+IF(AP26&gt;=1,1,0)+IF(AQ26&gt;=1,1,0)+IF(AR26&gt;=1,1,0)+IF(AS26&gt;=1,1,0)+IF(AT26&gt;=1,1,0))&gt;=5,"Diversificado (5+ verticales)",IF((IF(AL26&gt;=1,1,0)+IF(AM26&gt;=1,1,0)+IF(AN26&gt;=1,1,0)+IF(AO26&gt;=1,1,0)+IF(AP26&gt;=1,1,0)+IF(AQ26&gt;=1,1,0)+IF(AR26&gt;=1,1,0)+IF(AS26&gt;=1,1,0)+IF(AT26&gt;=1,1,0))&gt;=3,"Multi-capacidad (3-4 verticales)",IF((IF(AL26&gt;=1,1,0)+IF(AM26&gt;=1,1,0)+IF(AN26&gt;=1,1,0)+IF(AO26&gt;=1,1,0)+IF(AP26&gt;=1,1,0)+IF(AQ26&gt;=1,1,0)+IF(AR26&gt;=1,1,0)+IF(AS26&gt;=1,1,0)+IF(AT26&gt;=1,1,0))&gt;=1,"Especialista (1-2 verticales)","Sin función mapeada"))))</f>
        <v>Especialista (1-2 verticales)</v>
      </c>
    </row>
    <row r="27" spans="1:50" ht="24" customHeight="1" x14ac:dyDescent="0.2">
      <c r="A27" s="48" t="s">
        <v>504</v>
      </c>
      <c r="B27" s="48" t="s">
        <v>505</v>
      </c>
      <c r="C27" s="78" t="str">
        <f>IF(A27="","",IFERROR(INDEX('UNIVERSO MAESTRO'!$C$6:$C$497,MATCH(A27,'UNIVERSO MAESTRO'!$A$6:$A$497,0)),"⚠ ID no encontrado"))</f>
        <v>DAZN México</v>
      </c>
      <c r="D27" s="79" t="str">
        <f>IF(A27="","",IFERROR(INDEX('UNIVERSO MAESTRO'!$D$6:$D$497,MATCH(A27,'UNIVERSO MAESTRO'!$A$6:$A$497,0)),""))</f>
        <v>V2</v>
      </c>
      <c r="E27" s="80" t="s">
        <v>353</v>
      </c>
      <c r="F27" s="80" t="s">
        <v>353</v>
      </c>
      <c r="G27" s="80" t="s">
        <v>353</v>
      </c>
      <c r="H27" s="80" t="s">
        <v>353</v>
      </c>
      <c r="I27" s="80" t="s">
        <v>1530</v>
      </c>
      <c r="J27" s="80" t="s">
        <v>1530</v>
      </c>
      <c r="K27" s="80" t="s">
        <v>1530</v>
      </c>
      <c r="L27" s="80" t="s">
        <v>353</v>
      </c>
      <c r="M27" s="80" t="s">
        <v>353</v>
      </c>
      <c r="N27" s="80" t="s">
        <v>353</v>
      </c>
      <c r="O27" s="80" t="s">
        <v>353</v>
      </c>
      <c r="P27" s="80" t="s">
        <v>353</v>
      </c>
      <c r="Q27" s="80" t="s">
        <v>353</v>
      </c>
      <c r="R27" s="80" t="s">
        <v>353</v>
      </c>
      <c r="S27" s="80" t="s">
        <v>353</v>
      </c>
      <c r="T27" s="80" t="s">
        <v>353</v>
      </c>
      <c r="U27" s="80" t="s">
        <v>353</v>
      </c>
      <c r="V27" s="80" t="s">
        <v>353</v>
      </c>
      <c r="W27" s="80" t="s">
        <v>353</v>
      </c>
      <c r="X27" s="80" t="s">
        <v>353</v>
      </c>
      <c r="Y27" s="80" t="s">
        <v>353</v>
      </c>
      <c r="Z27" s="80" t="s">
        <v>353</v>
      </c>
      <c r="AA27" s="80" t="s">
        <v>353</v>
      </c>
      <c r="AB27" s="80" t="s">
        <v>353</v>
      </c>
      <c r="AC27" s="80" t="s">
        <v>353</v>
      </c>
      <c r="AD27" s="80" t="s">
        <v>353</v>
      </c>
      <c r="AE27" s="80" t="s">
        <v>353</v>
      </c>
      <c r="AF27" s="80" t="s">
        <v>353</v>
      </c>
      <c r="AG27" s="80" t="s">
        <v>353</v>
      </c>
      <c r="AH27" s="80" t="s">
        <v>353</v>
      </c>
      <c r="AI27" s="80" t="s">
        <v>353</v>
      </c>
      <c r="AJ27" s="80" t="s">
        <v>353</v>
      </c>
      <c r="AK27" s="80" t="s">
        <v>353</v>
      </c>
      <c r="AL27" s="81">
        <f>IF(E27="Sí",1,IF(E27="Parcial",0.5,0))+IF(F27="Sí",1,IF(F27="Parcial",0.5,0))+IF(G27="Sí",1,IF(G27="Parcial",0.5,0))+IF(H27="Sí",1,IF(H27="Parcial",0.5,0))</f>
        <v>0</v>
      </c>
      <c r="AM27" s="82">
        <f>IF(I27="Sí",1,IF(I27="Parcial",0.5,0))+IF(J27="Sí",1,IF(J27="Parcial",0.5,0))+IF(K27="Sí",1,IF(K27="Parcial",0.5,0))</f>
        <v>3</v>
      </c>
      <c r="AN27" s="83">
        <f>IF(L27="Sí",1,IF(L27="Parcial",0.5,0))+IF(M27="Sí",1,IF(M27="Parcial",0.5,0))+IF(N27="Sí",1,IF(N27="Parcial",0.5,0))+IF(O27="Sí",1,IF(O27="Parcial",0.5,0))</f>
        <v>0</v>
      </c>
      <c r="AO27" s="84">
        <f>IF(P27="Sí",1,IF(P27="Parcial",0.5,0))+IF(Q27="Sí",1,IF(Q27="Parcial",0.5,0))+IF(R27="Sí",1,IF(R27="Parcial",0.5,0))+IF(S27="Sí",1,IF(S27="Parcial",0.5,0))+IF(T27="Sí",1,IF(T27="Parcial",0.5,0))+IF(U27="Sí",1,IF(U27="Parcial",0.5,0))</f>
        <v>0</v>
      </c>
      <c r="AP27" s="85">
        <f>IF(V27="Sí",1,IF(V27="Parcial",0.5,0))+IF(W27="Sí",1,IF(W27="Parcial",0.5,0))+IF(X27="Sí",1,IF(X27="Parcial",0.5,0))+IF(Y27="Sí",1,IF(Y27="Parcial",0.5,0))</f>
        <v>0</v>
      </c>
      <c r="AQ27" s="86">
        <f>IF(Z27="Sí",1,IF(Z27="Parcial",0.5,0))+IF(AA27="Sí",1,IF(AA27="Parcial",0.5,0))+IF(AB27="Sí",1,IF(AB27="Parcial",0.5,0))</f>
        <v>0</v>
      </c>
      <c r="AR27" s="87">
        <f>IF(AC27="Sí",1,IF(AC27="Parcial",0.5,0))+IF(AD27="Sí",1,IF(AD27="Parcial",0.5,0))+IF(AE27="Sí",1,IF(AE27="Parcial",0.5,0))</f>
        <v>0</v>
      </c>
      <c r="AS27" s="88">
        <f>IF(AF27="Sí",1,IF(AF27="Parcial",0.5,0))+IF(AG27="Sí",1,IF(AG27="Parcial",0.5,0))+IF(AH27="Sí",1,IF(AH27="Parcial",0.5,0))</f>
        <v>0</v>
      </c>
      <c r="AT27" s="89">
        <f>IF(AI27="Sí",1,IF(AI27="Parcial",0.5,0))+IF(AJ27="Sí",1,IF(AJ27="Parcial",0.5,0))+IF(AK27="Sí",1,IF(AK27="Parcial",0.5,0))</f>
        <v>0</v>
      </c>
      <c r="AU27" s="90">
        <f>SUM(AL27,AM27,AN27,AO27,AP27,AQ27,AR27,AS27,AT27)</f>
        <v>3</v>
      </c>
      <c r="AV27" s="225">
        <f>IFERROR(IF(OR(A27="",AU27=0),"",AU27/(IF(AL27&gt;0,1,0)+IF(AM27&gt;0,1,0)+IF(AN27&gt;0,1,0)+IF(AO27&gt;0,1,0)+IF(AP27&gt;0,1,0)+IF(AQ27&gt;0,1,0)+IF(AR27&gt;0,1,0)+IF(AS27&gt;0,1,0)+IF(AT27&gt;0,1,0))),"")</f>
        <v>3</v>
      </c>
      <c r="AW27" s="225">
        <f>IFERROR(IF(OR(A27="",AU27=""),"",IF(AND(MAX($AU$8:$AU$156)=0,MAX($AV$8:$AV$156)=0),"",0.5*(AU27/MAX($AU$8:$AU$156))+0.5*(AV27/MAX($AV$8:$AV$156)))),"")</f>
        <v>0.54166666666666663</v>
      </c>
      <c r="AX27" s="79" t="str">
        <f>IF(A27="","",IF((IF(AL27&gt;=1,1,0)+IF(AM27&gt;=1,1,0)+IF(AN27&gt;=1,1,0)+IF(AO27&gt;=1,1,0)+IF(AP27&gt;=1,1,0)+IF(AQ27&gt;=1,1,0)+IF(AR27&gt;=1,1,0)+IF(AS27&gt;=1,1,0)+IF(AT27&gt;=1,1,0))&gt;=5,"Diversificado (5+ verticales)",IF((IF(AL27&gt;=1,1,0)+IF(AM27&gt;=1,1,0)+IF(AN27&gt;=1,1,0)+IF(AO27&gt;=1,1,0)+IF(AP27&gt;=1,1,0)+IF(AQ27&gt;=1,1,0)+IF(AR27&gt;=1,1,0)+IF(AS27&gt;=1,1,0)+IF(AT27&gt;=1,1,0))&gt;=3,"Multi-capacidad (3-4 verticales)",IF((IF(AL27&gt;=1,1,0)+IF(AM27&gt;=1,1,0)+IF(AN27&gt;=1,1,0)+IF(AO27&gt;=1,1,0)+IF(AP27&gt;=1,1,0)+IF(AQ27&gt;=1,1,0)+IF(AR27&gt;=1,1,0)+IF(AS27&gt;=1,1,0)+IF(AT27&gt;=1,1,0))&gt;=1,"Especialista (1-2 verticales)","Sin función mapeada"))))</f>
        <v>Especialista (1-2 verticales)</v>
      </c>
    </row>
    <row r="28" spans="1:50" ht="24" customHeight="1" x14ac:dyDescent="0.2">
      <c r="A28" s="48" t="s">
        <v>521</v>
      </c>
      <c r="B28" s="48" t="s">
        <v>522</v>
      </c>
      <c r="C28" s="78" t="str">
        <f>IF(A28="","",IFERROR(INDEX('UNIVERSO MAESTRO'!$C$6:$C$497,MATCH(A28,'UNIVERSO MAESTRO'!$A$6:$A$497,0)),"⚠ ID no encontrado"))</f>
        <v>Electrolit / Grupo PiSA</v>
      </c>
      <c r="D28" s="79" t="str">
        <f>IF(A28="","",IFERROR(INDEX('UNIVERSO MAESTRO'!$D$6:$D$497,MATCH(A28,'UNIVERSO MAESTRO'!$A$6:$A$497,0)),""))</f>
        <v>V3</v>
      </c>
      <c r="E28" s="80" t="s">
        <v>353</v>
      </c>
      <c r="F28" s="80" t="s">
        <v>353</v>
      </c>
      <c r="G28" s="80" t="s">
        <v>353</v>
      </c>
      <c r="H28" s="80" t="s">
        <v>353</v>
      </c>
      <c r="I28" s="80" t="s">
        <v>353</v>
      </c>
      <c r="J28" s="80" t="s">
        <v>353</v>
      </c>
      <c r="K28" s="80" t="s">
        <v>353</v>
      </c>
      <c r="L28" s="80" t="s">
        <v>1530</v>
      </c>
      <c r="M28" s="80" t="s">
        <v>1530</v>
      </c>
      <c r="N28" s="80" t="s">
        <v>1530</v>
      </c>
      <c r="O28" s="80" t="s">
        <v>353</v>
      </c>
      <c r="P28" s="80" t="s">
        <v>353</v>
      </c>
      <c r="Q28" s="80" t="s">
        <v>353</v>
      </c>
      <c r="R28" s="80" t="s">
        <v>353</v>
      </c>
      <c r="S28" s="80" t="s">
        <v>353</v>
      </c>
      <c r="T28" s="80" t="s">
        <v>353</v>
      </c>
      <c r="U28" s="80" t="s">
        <v>353</v>
      </c>
      <c r="V28" s="80" t="s">
        <v>353</v>
      </c>
      <c r="W28" s="80" t="s">
        <v>353</v>
      </c>
      <c r="X28" s="80" t="s">
        <v>353</v>
      </c>
      <c r="Y28" s="80" t="s">
        <v>353</v>
      </c>
      <c r="Z28" s="80" t="s">
        <v>353</v>
      </c>
      <c r="AA28" s="80" t="s">
        <v>353</v>
      </c>
      <c r="AB28" s="80" t="s">
        <v>353</v>
      </c>
      <c r="AC28" s="80" t="s">
        <v>353</v>
      </c>
      <c r="AD28" s="80" t="s">
        <v>353</v>
      </c>
      <c r="AE28" s="80" t="s">
        <v>353</v>
      </c>
      <c r="AF28" s="80" t="s">
        <v>353</v>
      </c>
      <c r="AG28" s="80" t="s">
        <v>353</v>
      </c>
      <c r="AH28" s="80" t="s">
        <v>353</v>
      </c>
      <c r="AI28" s="80" t="s">
        <v>353</v>
      </c>
      <c r="AJ28" s="80" t="s">
        <v>353</v>
      </c>
      <c r="AK28" s="80" t="s">
        <v>353</v>
      </c>
      <c r="AL28" s="81">
        <f>IF(E28="Sí",1,IF(E28="Parcial",0.5,0))+IF(F28="Sí",1,IF(F28="Parcial",0.5,0))+IF(G28="Sí",1,IF(G28="Parcial",0.5,0))+IF(H28="Sí",1,IF(H28="Parcial",0.5,0))</f>
        <v>0</v>
      </c>
      <c r="AM28" s="82">
        <f>IF(I28="Sí",1,IF(I28="Parcial",0.5,0))+IF(J28="Sí",1,IF(J28="Parcial",0.5,0))+IF(K28="Sí",1,IF(K28="Parcial",0.5,0))</f>
        <v>0</v>
      </c>
      <c r="AN28" s="83">
        <f>IF(L28="Sí",1,IF(L28="Parcial",0.5,0))+IF(M28="Sí",1,IF(M28="Parcial",0.5,0))+IF(N28="Sí",1,IF(N28="Parcial",0.5,0))+IF(O28="Sí",1,IF(O28="Parcial",0.5,0))</f>
        <v>3</v>
      </c>
      <c r="AO28" s="84">
        <f>IF(P28="Sí",1,IF(P28="Parcial",0.5,0))+IF(Q28="Sí",1,IF(Q28="Parcial",0.5,0))+IF(R28="Sí",1,IF(R28="Parcial",0.5,0))+IF(S28="Sí",1,IF(S28="Parcial",0.5,0))+IF(T28="Sí",1,IF(T28="Parcial",0.5,0))+IF(U28="Sí",1,IF(U28="Parcial",0.5,0))</f>
        <v>0</v>
      </c>
      <c r="AP28" s="85">
        <f>IF(V28="Sí",1,IF(V28="Parcial",0.5,0))+IF(W28="Sí",1,IF(W28="Parcial",0.5,0))+IF(X28="Sí",1,IF(X28="Parcial",0.5,0))+IF(Y28="Sí",1,IF(Y28="Parcial",0.5,0))</f>
        <v>0</v>
      </c>
      <c r="AQ28" s="86">
        <f>IF(Z28="Sí",1,IF(Z28="Parcial",0.5,0))+IF(AA28="Sí",1,IF(AA28="Parcial",0.5,0))+IF(AB28="Sí",1,IF(AB28="Parcial",0.5,0))</f>
        <v>0</v>
      </c>
      <c r="AR28" s="87">
        <f>IF(AC28="Sí",1,IF(AC28="Parcial",0.5,0))+IF(AD28="Sí",1,IF(AD28="Parcial",0.5,0))+IF(AE28="Sí",1,IF(AE28="Parcial",0.5,0))</f>
        <v>0</v>
      </c>
      <c r="AS28" s="88">
        <f>IF(AF28="Sí",1,IF(AF28="Parcial",0.5,0))+IF(AG28="Sí",1,IF(AG28="Parcial",0.5,0))+IF(AH28="Sí",1,IF(AH28="Parcial",0.5,0))</f>
        <v>0</v>
      </c>
      <c r="AT28" s="89">
        <f>IF(AI28="Sí",1,IF(AI28="Parcial",0.5,0))+IF(AJ28="Sí",1,IF(AJ28="Parcial",0.5,0))+IF(AK28="Sí",1,IF(AK28="Parcial",0.5,0))</f>
        <v>0</v>
      </c>
      <c r="AU28" s="90">
        <f>SUM(AL28,AM28,AN28,AO28,AP28,AQ28,AR28,AS28,AT28)</f>
        <v>3</v>
      </c>
      <c r="AV28" s="225">
        <f>IFERROR(IF(OR(A28="",AU28=0),"",AU28/(IF(AL28&gt;0,1,0)+IF(AM28&gt;0,1,0)+IF(AN28&gt;0,1,0)+IF(AO28&gt;0,1,0)+IF(AP28&gt;0,1,0)+IF(AQ28&gt;0,1,0)+IF(AR28&gt;0,1,0)+IF(AS28&gt;0,1,0)+IF(AT28&gt;0,1,0))),"")</f>
        <v>3</v>
      </c>
      <c r="AW28" s="225">
        <f>IFERROR(IF(OR(A28="",AU28=""),"",IF(AND(MAX($AU$8:$AU$156)=0,MAX($AV$8:$AV$156)=0),"",0.5*(AU28/MAX($AU$8:$AU$156))+0.5*(AV28/MAX($AV$8:$AV$156)))),"")</f>
        <v>0.54166666666666663</v>
      </c>
      <c r="AX28" s="79" t="str">
        <f>IF(A28="","",IF((IF(AL28&gt;=1,1,0)+IF(AM28&gt;=1,1,0)+IF(AN28&gt;=1,1,0)+IF(AO28&gt;=1,1,0)+IF(AP28&gt;=1,1,0)+IF(AQ28&gt;=1,1,0)+IF(AR28&gt;=1,1,0)+IF(AS28&gt;=1,1,0)+IF(AT28&gt;=1,1,0))&gt;=5,"Diversificado (5+ verticales)",IF((IF(AL28&gt;=1,1,0)+IF(AM28&gt;=1,1,0)+IF(AN28&gt;=1,1,0)+IF(AO28&gt;=1,1,0)+IF(AP28&gt;=1,1,0)+IF(AQ28&gt;=1,1,0)+IF(AR28&gt;=1,1,0)+IF(AS28&gt;=1,1,0)+IF(AT28&gt;=1,1,0))&gt;=3,"Multi-capacidad (3-4 verticales)",IF((IF(AL28&gt;=1,1,0)+IF(AM28&gt;=1,1,0)+IF(AN28&gt;=1,1,0)+IF(AO28&gt;=1,1,0)+IF(AP28&gt;=1,1,0)+IF(AQ28&gt;=1,1,0)+IF(AR28&gt;=1,1,0)+IF(AS28&gt;=1,1,0)+IF(AT28&gt;=1,1,0))&gt;=1,"Especialista (1-2 verticales)","Sin función mapeada"))))</f>
        <v>Especialista (1-2 verticales)</v>
      </c>
    </row>
    <row r="29" spans="1:50" ht="24" customHeight="1" x14ac:dyDescent="0.2">
      <c r="A29" s="48" t="s">
        <v>549</v>
      </c>
      <c r="B29" s="48" t="s">
        <v>550</v>
      </c>
      <c r="C29" s="78" t="str">
        <f>IF(A29="","",IFERROR(INDEX('UNIVERSO MAESTRO'!$C$6:$C$497,MATCH(A29,'UNIVERSO MAESTRO'!$A$6:$A$497,0)),"⚠ ID no encontrado"))</f>
        <v>ESPN / Disney+ México</v>
      </c>
      <c r="D29" s="79" t="str">
        <f>IF(A29="","",IFERROR(INDEX('UNIVERSO MAESTRO'!$D$6:$D$497,MATCH(A29,'UNIVERSO MAESTRO'!$A$6:$A$497,0)),""))</f>
        <v>V2</v>
      </c>
      <c r="E29" s="80" t="s">
        <v>353</v>
      </c>
      <c r="F29" s="80" t="s">
        <v>353</v>
      </c>
      <c r="G29" s="80" t="s">
        <v>353</v>
      </c>
      <c r="H29" s="80" t="s">
        <v>353</v>
      </c>
      <c r="I29" s="80" t="s">
        <v>1530</v>
      </c>
      <c r="J29" s="80" t="s">
        <v>1530</v>
      </c>
      <c r="K29" s="80" t="s">
        <v>1530</v>
      </c>
      <c r="L29" s="80" t="s">
        <v>353</v>
      </c>
      <c r="M29" s="80" t="s">
        <v>353</v>
      </c>
      <c r="N29" s="80" t="s">
        <v>353</v>
      </c>
      <c r="O29" s="80" t="s">
        <v>353</v>
      </c>
      <c r="P29" s="80" t="s">
        <v>353</v>
      </c>
      <c r="Q29" s="80" t="s">
        <v>353</v>
      </c>
      <c r="R29" s="80" t="s">
        <v>353</v>
      </c>
      <c r="S29" s="80" t="s">
        <v>353</v>
      </c>
      <c r="T29" s="80" t="s">
        <v>353</v>
      </c>
      <c r="U29" s="80" t="s">
        <v>353</v>
      </c>
      <c r="V29" s="80" t="s">
        <v>353</v>
      </c>
      <c r="W29" s="80" t="s">
        <v>353</v>
      </c>
      <c r="X29" s="80" t="s">
        <v>353</v>
      </c>
      <c r="Y29" s="80" t="s">
        <v>353</v>
      </c>
      <c r="Z29" s="80" t="s">
        <v>353</v>
      </c>
      <c r="AA29" s="80" t="s">
        <v>353</v>
      </c>
      <c r="AB29" s="80" t="s">
        <v>353</v>
      </c>
      <c r="AC29" s="80" t="s">
        <v>353</v>
      </c>
      <c r="AD29" s="80" t="s">
        <v>353</v>
      </c>
      <c r="AE29" s="80" t="s">
        <v>353</v>
      </c>
      <c r="AF29" s="80" t="s">
        <v>353</v>
      </c>
      <c r="AG29" s="80" t="s">
        <v>353</v>
      </c>
      <c r="AH29" s="80" t="s">
        <v>353</v>
      </c>
      <c r="AI29" s="80" t="s">
        <v>353</v>
      </c>
      <c r="AJ29" s="80" t="s">
        <v>353</v>
      </c>
      <c r="AK29" s="80" t="s">
        <v>353</v>
      </c>
      <c r="AL29" s="81">
        <f>IF(E29="Sí",1,IF(E29="Parcial",0.5,0))+IF(F29="Sí",1,IF(F29="Parcial",0.5,0))+IF(G29="Sí",1,IF(G29="Parcial",0.5,0))+IF(H29="Sí",1,IF(H29="Parcial",0.5,0))</f>
        <v>0</v>
      </c>
      <c r="AM29" s="82">
        <f>IF(I29="Sí",1,IF(I29="Parcial",0.5,0))+IF(J29="Sí",1,IF(J29="Parcial",0.5,0))+IF(K29="Sí",1,IF(K29="Parcial",0.5,0))</f>
        <v>3</v>
      </c>
      <c r="AN29" s="83">
        <f>IF(L29="Sí",1,IF(L29="Parcial",0.5,0))+IF(M29="Sí",1,IF(M29="Parcial",0.5,0))+IF(N29="Sí",1,IF(N29="Parcial",0.5,0))+IF(O29="Sí",1,IF(O29="Parcial",0.5,0))</f>
        <v>0</v>
      </c>
      <c r="AO29" s="84">
        <f>IF(P29="Sí",1,IF(P29="Parcial",0.5,0))+IF(Q29="Sí",1,IF(Q29="Parcial",0.5,0))+IF(R29="Sí",1,IF(R29="Parcial",0.5,0))+IF(S29="Sí",1,IF(S29="Parcial",0.5,0))+IF(T29="Sí",1,IF(T29="Parcial",0.5,0))+IF(U29="Sí",1,IF(U29="Parcial",0.5,0))</f>
        <v>0</v>
      </c>
      <c r="AP29" s="85">
        <f>IF(V29="Sí",1,IF(V29="Parcial",0.5,0))+IF(W29="Sí",1,IF(W29="Parcial",0.5,0))+IF(X29="Sí",1,IF(X29="Parcial",0.5,0))+IF(Y29="Sí",1,IF(Y29="Parcial",0.5,0))</f>
        <v>0</v>
      </c>
      <c r="AQ29" s="86">
        <f>IF(Z29="Sí",1,IF(Z29="Parcial",0.5,0))+IF(AA29="Sí",1,IF(AA29="Parcial",0.5,0))+IF(AB29="Sí",1,IF(AB29="Parcial",0.5,0))</f>
        <v>0</v>
      </c>
      <c r="AR29" s="87">
        <f>IF(AC29="Sí",1,IF(AC29="Parcial",0.5,0))+IF(AD29="Sí",1,IF(AD29="Parcial",0.5,0))+IF(AE29="Sí",1,IF(AE29="Parcial",0.5,0))</f>
        <v>0</v>
      </c>
      <c r="AS29" s="88">
        <f>IF(AF29="Sí",1,IF(AF29="Parcial",0.5,0))+IF(AG29="Sí",1,IF(AG29="Parcial",0.5,0))+IF(AH29="Sí",1,IF(AH29="Parcial",0.5,0))</f>
        <v>0</v>
      </c>
      <c r="AT29" s="89">
        <f>IF(AI29="Sí",1,IF(AI29="Parcial",0.5,0))+IF(AJ29="Sí",1,IF(AJ29="Parcial",0.5,0))+IF(AK29="Sí",1,IF(AK29="Parcial",0.5,0))</f>
        <v>0</v>
      </c>
      <c r="AU29" s="90">
        <f>SUM(AL29,AM29,AN29,AO29,AP29,AQ29,AR29,AS29,AT29)</f>
        <v>3</v>
      </c>
      <c r="AV29" s="225">
        <f>IFERROR(IF(OR(A29="",AU29=0),"",AU29/(IF(AL29&gt;0,1,0)+IF(AM29&gt;0,1,0)+IF(AN29&gt;0,1,0)+IF(AO29&gt;0,1,0)+IF(AP29&gt;0,1,0)+IF(AQ29&gt;0,1,0)+IF(AR29&gt;0,1,0)+IF(AS29&gt;0,1,0)+IF(AT29&gt;0,1,0))),"")</f>
        <v>3</v>
      </c>
      <c r="AW29" s="225">
        <f>IFERROR(IF(OR(A29="",AU29=""),"",IF(AND(MAX($AU$8:$AU$156)=0,MAX($AV$8:$AV$156)=0),"",0.5*(AU29/MAX($AU$8:$AU$156))+0.5*(AV29/MAX($AV$8:$AV$156)))),"")</f>
        <v>0.54166666666666663</v>
      </c>
      <c r="AX29" s="79" t="str">
        <f>IF(A29="","",IF((IF(AL29&gt;=1,1,0)+IF(AM29&gt;=1,1,0)+IF(AN29&gt;=1,1,0)+IF(AO29&gt;=1,1,0)+IF(AP29&gt;=1,1,0)+IF(AQ29&gt;=1,1,0)+IF(AR29&gt;=1,1,0)+IF(AS29&gt;=1,1,0)+IF(AT29&gt;=1,1,0))&gt;=5,"Diversificado (5+ verticales)",IF((IF(AL29&gt;=1,1,0)+IF(AM29&gt;=1,1,0)+IF(AN29&gt;=1,1,0)+IF(AO29&gt;=1,1,0)+IF(AP29&gt;=1,1,0)+IF(AQ29&gt;=1,1,0)+IF(AR29&gt;=1,1,0)+IF(AS29&gt;=1,1,0)+IF(AT29&gt;=1,1,0))&gt;=3,"Multi-capacidad (3-4 verticales)",IF((IF(AL29&gt;=1,1,0)+IF(AM29&gt;=1,1,0)+IF(AN29&gt;=1,1,0)+IF(AO29&gt;=1,1,0)+IF(AP29&gt;=1,1,0)+IF(AQ29&gt;=1,1,0)+IF(AR29&gt;=1,1,0)+IF(AS29&gt;=1,1,0)+IF(AT29&gt;=1,1,0))&gt;=1,"Especialista (1-2 verticales)","Sin función mapeada"))))</f>
        <v>Especialista (1-2 verticales)</v>
      </c>
    </row>
    <row r="30" spans="1:50" ht="24" customHeight="1" x14ac:dyDescent="0.2">
      <c r="A30" s="48" t="s">
        <v>712</v>
      </c>
      <c r="B30" s="48" t="s">
        <v>713</v>
      </c>
      <c r="C30" s="78" t="str">
        <f>IF(A30="","",IFERROR(INDEX('UNIVERSO MAESTRO'!$C$6:$C$497,MATCH(A30,'UNIVERSO MAESTRO'!$A$6:$A$497,0)),"⚠ ID no encontrado"))</f>
        <v>Gran Premio de México — Fórmula 1</v>
      </c>
      <c r="D30" s="79" t="str">
        <f>IF(A30="","",IFERROR(INDEX('UNIVERSO MAESTRO'!$D$6:$D$497,MATCH(A30,'UNIVERSO MAESTRO'!$A$6:$A$497,0)),""))</f>
        <v>V1</v>
      </c>
      <c r="E30" s="80" t="s">
        <v>1530</v>
      </c>
      <c r="F30" s="80" t="s">
        <v>1530</v>
      </c>
      <c r="G30" s="80" t="s">
        <v>1530</v>
      </c>
      <c r="H30" s="80" t="s">
        <v>353</v>
      </c>
      <c r="I30" s="80" t="s">
        <v>353</v>
      </c>
      <c r="J30" s="80" t="s">
        <v>353</v>
      </c>
      <c r="K30" s="80" t="s">
        <v>353</v>
      </c>
      <c r="L30" s="80" t="s">
        <v>353</v>
      </c>
      <c r="M30" s="80" t="s">
        <v>353</v>
      </c>
      <c r="N30" s="80" t="s">
        <v>353</v>
      </c>
      <c r="O30" s="80" t="s">
        <v>353</v>
      </c>
      <c r="P30" s="80" t="s">
        <v>353</v>
      </c>
      <c r="Q30" s="80" t="s">
        <v>353</v>
      </c>
      <c r="R30" s="80" t="s">
        <v>353</v>
      </c>
      <c r="S30" s="80" t="s">
        <v>353</v>
      </c>
      <c r="T30" s="80" t="s">
        <v>353</v>
      </c>
      <c r="U30" s="80" t="s">
        <v>353</v>
      </c>
      <c r="V30" s="80" t="s">
        <v>353</v>
      </c>
      <c r="W30" s="80" t="s">
        <v>353</v>
      </c>
      <c r="X30" s="80" t="s">
        <v>353</v>
      </c>
      <c r="Y30" s="80" t="s">
        <v>353</v>
      </c>
      <c r="Z30" s="80" t="s">
        <v>353</v>
      </c>
      <c r="AA30" s="80" t="s">
        <v>353</v>
      </c>
      <c r="AB30" s="80" t="s">
        <v>353</v>
      </c>
      <c r="AC30" s="80" t="s">
        <v>353</v>
      </c>
      <c r="AD30" s="80" t="s">
        <v>353</v>
      </c>
      <c r="AE30" s="80" t="s">
        <v>353</v>
      </c>
      <c r="AF30" s="80" t="s">
        <v>353</v>
      </c>
      <c r="AG30" s="80" t="s">
        <v>353</v>
      </c>
      <c r="AH30" s="80" t="s">
        <v>353</v>
      </c>
      <c r="AI30" s="80" t="s">
        <v>353</v>
      </c>
      <c r="AJ30" s="80" t="s">
        <v>353</v>
      </c>
      <c r="AK30" s="80" t="s">
        <v>353</v>
      </c>
      <c r="AL30" s="81">
        <f>IF(E30="Sí",1,IF(E30="Parcial",0.5,0))+IF(F30="Sí",1,IF(F30="Parcial",0.5,0))+IF(G30="Sí",1,IF(G30="Parcial",0.5,0))+IF(H30="Sí",1,IF(H30="Parcial",0.5,0))</f>
        <v>3</v>
      </c>
      <c r="AM30" s="82">
        <f>IF(I30="Sí",1,IF(I30="Parcial",0.5,0))+IF(J30="Sí",1,IF(J30="Parcial",0.5,0))+IF(K30="Sí",1,IF(K30="Parcial",0.5,0))</f>
        <v>0</v>
      </c>
      <c r="AN30" s="83">
        <f>IF(L30="Sí",1,IF(L30="Parcial",0.5,0))+IF(M30="Sí",1,IF(M30="Parcial",0.5,0))+IF(N30="Sí",1,IF(N30="Parcial",0.5,0))+IF(O30="Sí",1,IF(O30="Parcial",0.5,0))</f>
        <v>0</v>
      </c>
      <c r="AO30" s="84">
        <f>IF(P30="Sí",1,IF(P30="Parcial",0.5,0))+IF(Q30="Sí",1,IF(Q30="Parcial",0.5,0))+IF(R30="Sí",1,IF(R30="Parcial",0.5,0))+IF(S30="Sí",1,IF(S30="Parcial",0.5,0))+IF(T30="Sí",1,IF(T30="Parcial",0.5,0))+IF(U30="Sí",1,IF(U30="Parcial",0.5,0))</f>
        <v>0</v>
      </c>
      <c r="AP30" s="85">
        <f>IF(V30="Sí",1,IF(V30="Parcial",0.5,0))+IF(W30="Sí",1,IF(W30="Parcial",0.5,0))+IF(X30="Sí",1,IF(X30="Parcial",0.5,0))+IF(Y30="Sí",1,IF(Y30="Parcial",0.5,0))</f>
        <v>0</v>
      </c>
      <c r="AQ30" s="86">
        <f>IF(Z30="Sí",1,IF(Z30="Parcial",0.5,0))+IF(AA30="Sí",1,IF(AA30="Parcial",0.5,0))+IF(AB30="Sí",1,IF(AB30="Parcial",0.5,0))</f>
        <v>0</v>
      </c>
      <c r="AR30" s="87">
        <f>IF(AC30="Sí",1,IF(AC30="Parcial",0.5,0))+IF(AD30="Sí",1,IF(AD30="Parcial",0.5,0))+IF(AE30="Sí",1,IF(AE30="Parcial",0.5,0))</f>
        <v>0</v>
      </c>
      <c r="AS30" s="88">
        <f>IF(AF30="Sí",1,IF(AF30="Parcial",0.5,0))+IF(AG30="Sí",1,IF(AG30="Parcial",0.5,0))+IF(AH30="Sí",1,IF(AH30="Parcial",0.5,0))</f>
        <v>0</v>
      </c>
      <c r="AT30" s="89">
        <f>IF(AI30="Sí",1,IF(AI30="Parcial",0.5,0))+IF(AJ30="Sí",1,IF(AJ30="Parcial",0.5,0))+IF(AK30="Sí",1,IF(AK30="Parcial",0.5,0))</f>
        <v>0</v>
      </c>
      <c r="AU30" s="90">
        <f>SUM(AL30,AM30,AN30,AO30,AP30,AQ30,AR30,AS30,AT30)</f>
        <v>3</v>
      </c>
      <c r="AV30" s="225">
        <f>IFERROR(IF(OR(A30="",AU30=0),"",AU30/(IF(AL30&gt;0,1,0)+IF(AM30&gt;0,1,0)+IF(AN30&gt;0,1,0)+IF(AO30&gt;0,1,0)+IF(AP30&gt;0,1,0)+IF(AQ30&gt;0,1,0)+IF(AR30&gt;0,1,0)+IF(AS30&gt;0,1,0)+IF(AT30&gt;0,1,0))),"")</f>
        <v>3</v>
      </c>
      <c r="AW30" s="225">
        <f>IFERROR(IF(OR(A30="",AU30=""),"",IF(AND(MAX($AU$8:$AU$156)=0,MAX($AV$8:$AV$156)=0),"",0.5*(AU30/MAX($AU$8:$AU$156))+0.5*(AV30/MAX($AV$8:$AV$156)))),"")</f>
        <v>0.54166666666666663</v>
      </c>
      <c r="AX30" s="79" t="str">
        <f>IF(A30="","",IF((IF(AL30&gt;=1,1,0)+IF(AM30&gt;=1,1,0)+IF(AN30&gt;=1,1,0)+IF(AO30&gt;=1,1,0)+IF(AP30&gt;=1,1,0)+IF(AQ30&gt;=1,1,0)+IF(AR30&gt;=1,1,0)+IF(AS30&gt;=1,1,0)+IF(AT30&gt;=1,1,0))&gt;=5,"Diversificado (5+ verticales)",IF((IF(AL30&gt;=1,1,0)+IF(AM30&gt;=1,1,0)+IF(AN30&gt;=1,1,0)+IF(AO30&gt;=1,1,0)+IF(AP30&gt;=1,1,0)+IF(AQ30&gt;=1,1,0)+IF(AR30&gt;=1,1,0)+IF(AS30&gt;=1,1,0)+IF(AT30&gt;=1,1,0))&gt;=3,"Multi-capacidad (3-4 verticales)",IF((IF(AL30&gt;=1,1,0)+IF(AM30&gt;=1,1,0)+IF(AN30&gt;=1,1,0)+IF(AO30&gt;=1,1,0)+IF(AP30&gt;=1,1,0)+IF(AQ30&gt;=1,1,0)+IF(AR30&gt;=1,1,0)+IF(AS30&gt;=1,1,0)+IF(AT30&gt;=1,1,0))&gt;=1,"Especialista (1-2 verticales)","Sin función mapeada"))))</f>
        <v>Especialista (1-2 verticales)</v>
      </c>
    </row>
    <row r="31" spans="1:50" ht="24" customHeight="1" x14ac:dyDescent="0.2">
      <c r="A31" s="48" t="s">
        <v>842</v>
      </c>
      <c r="B31" s="48" t="s">
        <v>843</v>
      </c>
      <c r="C31" s="78" t="str">
        <f>IF(A31="","",IFERROR(INDEX('UNIVERSO MAESTRO'!$C$6:$C$497,MATCH(A31,'UNIVERSO MAESTRO'!$A$6:$A$497,0)),"⚠ ID no encontrado"))</f>
        <v>⚠ ID no encontrado</v>
      </c>
      <c r="D31" s="79" t="str">
        <f>IF(A31="","",IFERROR(INDEX('UNIVERSO MAESTRO'!$D$6:$D$497,MATCH(A31,'UNIVERSO MAESTRO'!$A$6:$A$497,0)),""))</f>
        <v/>
      </c>
      <c r="E31" s="80" t="s">
        <v>353</v>
      </c>
      <c r="F31" s="80" t="s">
        <v>353</v>
      </c>
      <c r="G31" s="80" t="s">
        <v>353</v>
      </c>
      <c r="H31" s="80" t="s">
        <v>353</v>
      </c>
      <c r="I31" s="80" t="s">
        <v>353</v>
      </c>
      <c r="J31" s="80" t="s">
        <v>353</v>
      </c>
      <c r="K31" s="80" t="s">
        <v>353</v>
      </c>
      <c r="L31" s="80" t="s">
        <v>353</v>
      </c>
      <c r="M31" s="80" t="s">
        <v>353</v>
      </c>
      <c r="N31" s="80" t="s">
        <v>353</v>
      </c>
      <c r="O31" s="80" t="s">
        <v>353</v>
      </c>
      <c r="P31" s="80" t="s">
        <v>353</v>
      </c>
      <c r="Q31" s="80" t="s">
        <v>353</v>
      </c>
      <c r="R31" s="80" t="s">
        <v>353</v>
      </c>
      <c r="S31" s="80" t="s">
        <v>353</v>
      </c>
      <c r="T31" s="80" t="s">
        <v>353</v>
      </c>
      <c r="U31" s="80" t="s">
        <v>353</v>
      </c>
      <c r="V31" s="80" t="s">
        <v>353</v>
      </c>
      <c r="W31" s="80" t="s">
        <v>353</v>
      </c>
      <c r="X31" s="80" t="s">
        <v>353</v>
      </c>
      <c r="Y31" s="80" t="s">
        <v>353</v>
      </c>
      <c r="Z31" s="80" t="s">
        <v>353</v>
      </c>
      <c r="AA31" s="80" t="s">
        <v>353</v>
      </c>
      <c r="AB31" s="80" t="s">
        <v>353</v>
      </c>
      <c r="AC31" s="80" t="s">
        <v>1530</v>
      </c>
      <c r="AD31" s="80" t="s">
        <v>1530</v>
      </c>
      <c r="AE31" s="80" t="s">
        <v>1530</v>
      </c>
      <c r="AF31" s="80" t="s">
        <v>353</v>
      </c>
      <c r="AG31" s="80" t="s">
        <v>353</v>
      </c>
      <c r="AH31" s="80" t="s">
        <v>353</v>
      </c>
      <c r="AI31" s="80" t="s">
        <v>353</v>
      </c>
      <c r="AJ31" s="80" t="s">
        <v>353</v>
      </c>
      <c r="AK31" s="80" t="s">
        <v>353</v>
      </c>
      <c r="AL31" s="81">
        <f>IF(E31="Sí",1,IF(E31="Parcial",0.5,0))+IF(F31="Sí",1,IF(F31="Parcial",0.5,0))+IF(G31="Sí",1,IF(G31="Parcial",0.5,0))+IF(H31="Sí",1,IF(H31="Parcial",0.5,0))</f>
        <v>0</v>
      </c>
      <c r="AM31" s="82">
        <f>IF(I31="Sí",1,IF(I31="Parcial",0.5,0))+IF(J31="Sí",1,IF(J31="Parcial",0.5,0))+IF(K31="Sí",1,IF(K31="Parcial",0.5,0))</f>
        <v>0</v>
      </c>
      <c r="AN31" s="83">
        <f>IF(L31="Sí",1,IF(L31="Parcial",0.5,0))+IF(M31="Sí",1,IF(M31="Parcial",0.5,0))+IF(N31="Sí",1,IF(N31="Parcial",0.5,0))+IF(O31="Sí",1,IF(O31="Parcial",0.5,0))</f>
        <v>0</v>
      </c>
      <c r="AO31" s="84">
        <f>IF(P31="Sí",1,IF(P31="Parcial",0.5,0))+IF(Q31="Sí",1,IF(Q31="Parcial",0.5,0))+IF(R31="Sí",1,IF(R31="Parcial",0.5,0))+IF(S31="Sí",1,IF(S31="Parcial",0.5,0))+IF(T31="Sí",1,IF(T31="Parcial",0.5,0))+IF(U31="Sí",1,IF(U31="Parcial",0.5,0))</f>
        <v>0</v>
      </c>
      <c r="AP31" s="85">
        <f>IF(V31="Sí",1,IF(V31="Parcial",0.5,0))+IF(W31="Sí",1,IF(W31="Parcial",0.5,0))+IF(X31="Sí",1,IF(X31="Parcial",0.5,0))+IF(Y31="Sí",1,IF(Y31="Parcial",0.5,0))</f>
        <v>0</v>
      </c>
      <c r="AQ31" s="86">
        <f>IF(Z31="Sí",1,IF(Z31="Parcial",0.5,0))+IF(AA31="Sí",1,IF(AA31="Parcial",0.5,0))+IF(AB31="Sí",1,IF(AB31="Parcial",0.5,0))</f>
        <v>0</v>
      </c>
      <c r="AR31" s="87">
        <f>IF(AC31="Sí",1,IF(AC31="Parcial",0.5,0))+IF(AD31="Sí",1,IF(AD31="Parcial",0.5,0))+IF(AE31="Sí",1,IF(AE31="Parcial",0.5,0))</f>
        <v>3</v>
      </c>
      <c r="AS31" s="88">
        <f>IF(AF31="Sí",1,IF(AF31="Parcial",0.5,0))+IF(AG31="Sí",1,IF(AG31="Parcial",0.5,0))+IF(AH31="Sí",1,IF(AH31="Parcial",0.5,0))</f>
        <v>0</v>
      </c>
      <c r="AT31" s="89">
        <f>IF(AI31="Sí",1,IF(AI31="Parcial",0.5,0))+IF(AJ31="Sí",1,IF(AJ31="Parcial",0.5,0))+IF(AK31="Sí",1,IF(AK31="Parcial",0.5,0))</f>
        <v>0</v>
      </c>
      <c r="AU31" s="90">
        <f>SUM(AL31,AM31,AN31,AO31,AP31,AQ31,AR31,AS31,AT31)</f>
        <v>3</v>
      </c>
      <c r="AV31" s="225">
        <f>IFERROR(IF(OR(A31="",AU31=0),"",AU31/(IF(AL31&gt;0,1,0)+IF(AM31&gt;0,1,0)+IF(AN31&gt;0,1,0)+IF(AO31&gt;0,1,0)+IF(AP31&gt;0,1,0)+IF(AQ31&gt;0,1,0)+IF(AR31&gt;0,1,0)+IF(AS31&gt;0,1,0)+IF(AT31&gt;0,1,0))),"")</f>
        <v>3</v>
      </c>
      <c r="AW31" s="225">
        <f>IFERROR(IF(OR(A31="",AU31=""),"",IF(AND(MAX($AU$8:$AU$156)=0,MAX($AV$8:$AV$156)=0),"",0.5*(AU31/MAX($AU$8:$AU$156))+0.5*(AV31/MAX($AV$8:$AV$156)))),"")</f>
        <v>0.54166666666666663</v>
      </c>
      <c r="AX31" s="79" t="str">
        <f>IF(A31="","",IF((IF(AL31&gt;=1,1,0)+IF(AM31&gt;=1,1,0)+IF(AN31&gt;=1,1,0)+IF(AO31&gt;=1,1,0)+IF(AP31&gt;=1,1,0)+IF(AQ31&gt;=1,1,0)+IF(AR31&gt;=1,1,0)+IF(AS31&gt;=1,1,0)+IF(AT31&gt;=1,1,0))&gt;=5,"Diversificado (5+ verticales)",IF((IF(AL31&gt;=1,1,0)+IF(AM31&gt;=1,1,0)+IF(AN31&gt;=1,1,0)+IF(AO31&gt;=1,1,0)+IF(AP31&gt;=1,1,0)+IF(AQ31&gt;=1,1,0)+IF(AR31&gt;=1,1,0)+IF(AS31&gt;=1,1,0)+IF(AT31&gt;=1,1,0))&gt;=3,"Multi-capacidad (3-4 verticales)",IF((IF(AL31&gt;=1,1,0)+IF(AM31&gt;=1,1,0)+IF(AN31&gt;=1,1,0)+IF(AO31&gt;=1,1,0)+IF(AP31&gt;=1,1,0)+IF(AQ31&gt;=1,1,0)+IF(AR31&gt;=1,1,0)+IF(AS31&gt;=1,1,0)+IF(AT31&gt;=1,1,0))&gt;=1,"Especialista (1-2 verticales)","Sin función mapeada"))))</f>
        <v>Especialista (1-2 verticales)</v>
      </c>
    </row>
    <row r="32" spans="1:50" ht="24" customHeight="1" x14ac:dyDescent="0.2">
      <c r="A32" s="48" t="s">
        <v>1123</v>
      </c>
      <c r="B32" s="48" t="s">
        <v>1124</v>
      </c>
      <c r="C32" s="78" t="str">
        <f>IF(A32="","",IFERROR(INDEX('UNIVERSO MAESTRO'!$C$6:$C$497,MATCH(A32,'UNIVERSO MAESTRO'!$A$6:$A$497,0)),"⚠ ID no encontrado"))</f>
        <v>NFL México City Games</v>
      </c>
      <c r="D32" s="79" t="str">
        <f>IF(A32="","",IFERROR(INDEX('UNIVERSO MAESTRO'!$D$6:$D$497,MATCH(A32,'UNIVERSO MAESTRO'!$A$6:$A$497,0)),""))</f>
        <v>V1</v>
      </c>
      <c r="E32" s="80" t="s">
        <v>1530</v>
      </c>
      <c r="F32" s="80" t="s">
        <v>1530</v>
      </c>
      <c r="G32" s="80" t="s">
        <v>1530</v>
      </c>
      <c r="H32" s="80" t="s">
        <v>353</v>
      </c>
      <c r="I32" s="80" t="s">
        <v>353</v>
      </c>
      <c r="J32" s="80" t="s">
        <v>353</v>
      </c>
      <c r="K32" s="80" t="s">
        <v>353</v>
      </c>
      <c r="L32" s="80" t="s">
        <v>353</v>
      </c>
      <c r="M32" s="80" t="s">
        <v>353</v>
      </c>
      <c r="N32" s="80" t="s">
        <v>353</v>
      </c>
      <c r="O32" s="80" t="s">
        <v>353</v>
      </c>
      <c r="P32" s="80" t="s">
        <v>353</v>
      </c>
      <c r="Q32" s="80" t="s">
        <v>353</v>
      </c>
      <c r="R32" s="80" t="s">
        <v>353</v>
      </c>
      <c r="S32" s="80" t="s">
        <v>353</v>
      </c>
      <c r="T32" s="80" t="s">
        <v>353</v>
      </c>
      <c r="U32" s="80" t="s">
        <v>353</v>
      </c>
      <c r="V32" s="80" t="s">
        <v>353</v>
      </c>
      <c r="W32" s="80" t="s">
        <v>353</v>
      </c>
      <c r="X32" s="80" t="s">
        <v>353</v>
      </c>
      <c r="Y32" s="80" t="s">
        <v>353</v>
      </c>
      <c r="Z32" s="80" t="s">
        <v>353</v>
      </c>
      <c r="AA32" s="80" t="s">
        <v>353</v>
      </c>
      <c r="AB32" s="80" t="s">
        <v>353</v>
      </c>
      <c r="AC32" s="80" t="s">
        <v>353</v>
      </c>
      <c r="AD32" s="80" t="s">
        <v>353</v>
      </c>
      <c r="AE32" s="80" t="s">
        <v>353</v>
      </c>
      <c r="AF32" s="80" t="s">
        <v>353</v>
      </c>
      <c r="AG32" s="80" t="s">
        <v>353</v>
      </c>
      <c r="AH32" s="80" t="s">
        <v>353</v>
      </c>
      <c r="AI32" s="80" t="s">
        <v>353</v>
      </c>
      <c r="AJ32" s="80" t="s">
        <v>353</v>
      </c>
      <c r="AK32" s="80" t="s">
        <v>353</v>
      </c>
      <c r="AL32" s="81">
        <f>IF(E32="Sí",1,IF(E32="Parcial",0.5,0))+IF(F32="Sí",1,IF(F32="Parcial",0.5,0))+IF(G32="Sí",1,IF(G32="Parcial",0.5,0))+IF(H32="Sí",1,IF(H32="Parcial",0.5,0))</f>
        <v>3</v>
      </c>
      <c r="AM32" s="82">
        <f>IF(I32="Sí",1,IF(I32="Parcial",0.5,0))+IF(J32="Sí",1,IF(J32="Parcial",0.5,0))+IF(K32="Sí",1,IF(K32="Parcial",0.5,0))</f>
        <v>0</v>
      </c>
      <c r="AN32" s="83">
        <f>IF(L32="Sí",1,IF(L32="Parcial",0.5,0))+IF(M32="Sí",1,IF(M32="Parcial",0.5,0))+IF(N32="Sí",1,IF(N32="Parcial",0.5,0))+IF(O32="Sí",1,IF(O32="Parcial",0.5,0))</f>
        <v>0</v>
      </c>
      <c r="AO32" s="84">
        <f>IF(P32="Sí",1,IF(P32="Parcial",0.5,0))+IF(Q32="Sí",1,IF(Q32="Parcial",0.5,0))+IF(R32="Sí",1,IF(R32="Parcial",0.5,0))+IF(S32="Sí",1,IF(S32="Parcial",0.5,0))+IF(T32="Sí",1,IF(T32="Parcial",0.5,0))+IF(U32="Sí",1,IF(U32="Parcial",0.5,0))</f>
        <v>0</v>
      </c>
      <c r="AP32" s="85">
        <f>IF(V32="Sí",1,IF(V32="Parcial",0.5,0))+IF(W32="Sí",1,IF(W32="Parcial",0.5,0))+IF(X32="Sí",1,IF(X32="Parcial",0.5,0))+IF(Y32="Sí",1,IF(Y32="Parcial",0.5,0))</f>
        <v>0</v>
      </c>
      <c r="AQ32" s="86">
        <f>IF(Z32="Sí",1,IF(Z32="Parcial",0.5,0))+IF(AA32="Sí",1,IF(AA32="Parcial",0.5,0))+IF(AB32="Sí",1,IF(AB32="Parcial",0.5,0))</f>
        <v>0</v>
      </c>
      <c r="AR32" s="87">
        <f>IF(AC32="Sí",1,IF(AC32="Parcial",0.5,0))+IF(AD32="Sí",1,IF(AD32="Parcial",0.5,0))+IF(AE32="Sí",1,IF(AE32="Parcial",0.5,0))</f>
        <v>0</v>
      </c>
      <c r="AS32" s="88">
        <f>IF(AF32="Sí",1,IF(AF32="Parcial",0.5,0))+IF(AG32="Sí",1,IF(AG32="Parcial",0.5,0))+IF(AH32="Sí",1,IF(AH32="Parcial",0.5,0))</f>
        <v>0</v>
      </c>
      <c r="AT32" s="89">
        <f>IF(AI32="Sí",1,IF(AI32="Parcial",0.5,0))+IF(AJ32="Sí",1,IF(AJ32="Parcial",0.5,0))+IF(AK32="Sí",1,IF(AK32="Parcial",0.5,0))</f>
        <v>0</v>
      </c>
      <c r="AU32" s="90">
        <f>SUM(AL32,AM32,AN32,AO32,AP32,AQ32,AR32,AS32,AT32)</f>
        <v>3</v>
      </c>
      <c r="AV32" s="225">
        <f>IFERROR(IF(OR(A32="",AU32=0),"",AU32/(IF(AL32&gt;0,1,0)+IF(AM32&gt;0,1,0)+IF(AN32&gt;0,1,0)+IF(AO32&gt;0,1,0)+IF(AP32&gt;0,1,0)+IF(AQ32&gt;0,1,0)+IF(AR32&gt;0,1,0)+IF(AS32&gt;0,1,0)+IF(AT32&gt;0,1,0))),"")</f>
        <v>3</v>
      </c>
      <c r="AW32" s="225">
        <f>IFERROR(IF(OR(A32="",AU32=""),"",IF(AND(MAX($AU$8:$AU$156)=0,MAX($AV$8:$AV$156)=0),"",0.5*(AU32/MAX($AU$8:$AU$156))+0.5*(AV32/MAX($AV$8:$AV$156)))),"")</f>
        <v>0.54166666666666663</v>
      </c>
      <c r="AX32" s="79" t="str">
        <f>IF(A32="","",IF((IF(AL32&gt;=1,1,0)+IF(AM32&gt;=1,1,0)+IF(AN32&gt;=1,1,0)+IF(AO32&gt;=1,1,0)+IF(AP32&gt;=1,1,0)+IF(AQ32&gt;=1,1,0)+IF(AR32&gt;=1,1,0)+IF(AS32&gt;=1,1,0)+IF(AT32&gt;=1,1,0))&gt;=5,"Diversificado (5+ verticales)",IF((IF(AL32&gt;=1,1,0)+IF(AM32&gt;=1,1,0)+IF(AN32&gt;=1,1,0)+IF(AO32&gt;=1,1,0)+IF(AP32&gt;=1,1,0)+IF(AQ32&gt;=1,1,0)+IF(AR32&gt;=1,1,0)+IF(AS32&gt;=1,1,0)+IF(AT32&gt;=1,1,0))&gt;=3,"Multi-capacidad (3-4 verticales)",IF((IF(AL32&gt;=1,1,0)+IF(AM32&gt;=1,1,0)+IF(AN32&gt;=1,1,0)+IF(AO32&gt;=1,1,0)+IF(AP32&gt;=1,1,0)+IF(AQ32&gt;=1,1,0)+IF(AR32&gt;=1,1,0)+IF(AS32&gt;=1,1,0)+IF(AT32&gt;=1,1,0))&gt;=1,"Especialista (1-2 verticales)","Sin función mapeada"))))</f>
        <v>Especialista (1-2 verticales)</v>
      </c>
    </row>
    <row r="33" spans="1:50" ht="24" customHeight="1" x14ac:dyDescent="0.2">
      <c r="A33" s="48" t="s">
        <v>1159</v>
      </c>
      <c r="B33" s="48" t="s">
        <v>1160</v>
      </c>
      <c r="C33" s="78" t="str">
        <f>IF(A33="","",IFERROR(INDEX('UNIVERSO MAESTRO'!$C$6:$C$497,MATCH(A33,'UNIVERSO MAESTRO'!$A$6:$A$497,0)),"⚠ ID no encontrado"))</f>
        <v>OXXO / FEMSA Comercio</v>
      </c>
      <c r="D33" s="79" t="str">
        <f>IF(A33="","",IFERROR(INDEX('UNIVERSO MAESTRO'!$D$6:$D$497,MATCH(A33,'UNIVERSO MAESTRO'!$A$6:$A$497,0)),""))</f>
        <v>V3</v>
      </c>
      <c r="E33" s="80" t="s">
        <v>353</v>
      </c>
      <c r="F33" s="80" t="s">
        <v>353</v>
      </c>
      <c r="G33" s="80" t="s">
        <v>353</v>
      </c>
      <c r="H33" s="80" t="s">
        <v>353</v>
      </c>
      <c r="I33" s="80" t="s">
        <v>353</v>
      </c>
      <c r="J33" s="80" t="s">
        <v>353</v>
      </c>
      <c r="K33" s="80" t="s">
        <v>353</v>
      </c>
      <c r="L33" s="80" t="s">
        <v>1530</v>
      </c>
      <c r="M33" s="80" t="s">
        <v>1530</v>
      </c>
      <c r="N33" s="80" t="s">
        <v>1530</v>
      </c>
      <c r="O33" s="80" t="s">
        <v>353</v>
      </c>
      <c r="P33" s="80" t="s">
        <v>353</v>
      </c>
      <c r="Q33" s="80" t="s">
        <v>353</v>
      </c>
      <c r="R33" s="80" t="s">
        <v>353</v>
      </c>
      <c r="S33" s="80" t="s">
        <v>353</v>
      </c>
      <c r="T33" s="80" t="s">
        <v>353</v>
      </c>
      <c r="U33" s="80" t="s">
        <v>353</v>
      </c>
      <c r="V33" s="80" t="s">
        <v>353</v>
      </c>
      <c r="W33" s="80" t="s">
        <v>353</v>
      </c>
      <c r="X33" s="80" t="s">
        <v>353</v>
      </c>
      <c r="Y33" s="80" t="s">
        <v>353</v>
      </c>
      <c r="Z33" s="80" t="s">
        <v>353</v>
      </c>
      <c r="AA33" s="80" t="s">
        <v>353</v>
      </c>
      <c r="AB33" s="80" t="s">
        <v>353</v>
      </c>
      <c r="AC33" s="80" t="s">
        <v>353</v>
      </c>
      <c r="AD33" s="80" t="s">
        <v>353</v>
      </c>
      <c r="AE33" s="80" t="s">
        <v>353</v>
      </c>
      <c r="AF33" s="80" t="s">
        <v>353</v>
      </c>
      <c r="AG33" s="80" t="s">
        <v>353</v>
      </c>
      <c r="AH33" s="80" t="s">
        <v>353</v>
      </c>
      <c r="AI33" s="80" t="s">
        <v>353</v>
      </c>
      <c r="AJ33" s="80" t="s">
        <v>353</v>
      </c>
      <c r="AK33" s="80" t="s">
        <v>353</v>
      </c>
      <c r="AL33" s="81">
        <f>IF(E33="Sí",1,IF(E33="Parcial",0.5,0))+IF(F33="Sí",1,IF(F33="Parcial",0.5,0))+IF(G33="Sí",1,IF(G33="Parcial",0.5,0))+IF(H33="Sí",1,IF(H33="Parcial",0.5,0))</f>
        <v>0</v>
      </c>
      <c r="AM33" s="82">
        <f>IF(I33="Sí",1,IF(I33="Parcial",0.5,0))+IF(J33="Sí",1,IF(J33="Parcial",0.5,0))+IF(K33="Sí",1,IF(K33="Parcial",0.5,0))</f>
        <v>0</v>
      </c>
      <c r="AN33" s="83">
        <f>IF(L33="Sí",1,IF(L33="Parcial",0.5,0))+IF(M33="Sí",1,IF(M33="Parcial",0.5,0))+IF(N33="Sí",1,IF(N33="Parcial",0.5,0))+IF(O33="Sí",1,IF(O33="Parcial",0.5,0))</f>
        <v>3</v>
      </c>
      <c r="AO33" s="84">
        <f>IF(P33="Sí",1,IF(P33="Parcial",0.5,0))+IF(Q33="Sí",1,IF(Q33="Parcial",0.5,0))+IF(R33="Sí",1,IF(R33="Parcial",0.5,0))+IF(S33="Sí",1,IF(S33="Parcial",0.5,0))+IF(T33="Sí",1,IF(T33="Parcial",0.5,0))+IF(U33="Sí",1,IF(U33="Parcial",0.5,0))</f>
        <v>0</v>
      </c>
      <c r="AP33" s="85">
        <f>IF(V33="Sí",1,IF(V33="Parcial",0.5,0))+IF(W33="Sí",1,IF(W33="Parcial",0.5,0))+IF(X33="Sí",1,IF(X33="Parcial",0.5,0))+IF(Y33="Sí",1,IF(Y33="Parcial",0.5,0))</f>
        <v>0</v>
      </c>
      <c r="AQ33" s="86">
        <f>IF(Z33="Sí",1,IF(Z33="Parcial",0.5,0))+IF(AA33="Sí",1,IF(AA33="Parcial",0.5,0))+IF(AB33="Sí",1,IF(AB33="Parcial",0.5,0))</f>
        <v>0</v>
      </c>
      <c r="AR33" s="87">
        <f>IF(AC33="Sí",1,IF(AC33="Parcial",0.5,0))+IF(AD33="Sí",1,IF(AD33="Parcial",0.5,0))+IF(AE33="Sí",1,IF(AE33="Parcial",0.5,0))</f>
        <v>0</v>
      </c>
      <c r="AS33" s="88">
        <f>IF(AF33="Sí",1,IF(AF33="Parcial",0.5,0))+IF(AG33="Sí",1,IF(AG33="Parcial",0.5,0))+IF(AH33="Sí",1,IF(AH33="Parcial",0.5,0))</f>
        <v>0</v>
      </c>
      <c r="AT33" s="89">
        <f>IF(AI33="Sí",1,IF(AI33="Parcial",0.5,0))+IF(AJ33="Sí",1,IF(AJ33="Parcial",0.5,0))+IF(AK33="Sí",1,IF(AK33="Parcial",0.5,0))</f>
        <v>0</v>
      </c>
      <c r="AU33" s="90">
        <f>SUM(AL33,AM33,AN33,AO33,AP33,AQ33,AR33,AS33,AT33)</f>
        <v>3</v>
      </c>
      <c r="AV33" s="225">
        <f>IFERROR(IF(OR(A33="",AU33=0),"",AU33/(IF(AL33&gt;0,1,0)+IF(AM33&gt;0,1,0)+IF(AN33&gt;0,1,0)+IF(AO33&gt;0,1,0)+IF(AP33&gt;0,1,0)+IF(AQ33&gt;0,1,0)+IF(AR33&gt;0,1,0)+IF(AS33&gt;0,1,0)+IF(AT33&gt;0,1,0))),"")</f>
        <v>3</v>
      </c>
      <c r="AW33" s="225">
        <f>IFERROR(IF(OR(A33="",AU33=""),"",IF(AND(MAX($AU$8:$AU$156)=0,MAX($AV$8:$AV$156)=0),"",0.5*(AU33/MAX($AU$8:$AU$156))+0.5*(AV33/MAX($AV$8:$AV$156)))),"")</f>
        <v>0.54166666666666663</v>
      </c>
      <c r="AX33" s="79" t="str">
        <f>IF(A33="","",IF((IF(AL33&gt;=1,1,0)+IF(AM33&gt;=1,1,0)+IF(AN33&gt;=1,1,0)+IF(AO33&gt;=1,1,0)+IF(AP33&gt;=1,1,0)+IF(AQ33&gt;=1,1,0)+IF(AR33&gt;=1,1,0)+IF(AS33&gt;=1,1,0)+IF(AT33&gt;=1,1,0))&gt;=5,"Diversificado (5+ verticales)",IF((IF(AL33&gt;=1,1,0)+IF(AM33&gt;=1,1,0)+IF(AN33&gt;=1,1,0)+IF(AO33&gt;=1,1,0)+IF(AP33&gt;=1,1,0)+IF(AQ33&gt;=1,1,0)+IF(AR33&gt;=1,1,0)+IF(AS33&gt;=1,1,0)+IF(AT33&gt;=1,1,0))&gt;=3,"Multi-capacidad (3-4 verticales)",IF((IF(AL33&gt;=1,1,0)+IF(AM33&gt;=1,1,0)+IF(AN33&gt;=1,1,0)+IF(AO33&gt;=1,1,0)+IF(AP33&gt;=1,1,0)+IF(AQ33&gt;=1,1,0)+IF(AR33&gt;=1,1,0)+IF(AS33&gt;=1,1,0)+IF(AT33&gt;=1,1,0))&gt;=1,"Especialista (1-2 verticales)","Sin función mapeada"))))</f>
        <v>Especialista (1-2 verticales)</v>
      </c>
    </row>
    <row r="34" spans="1:50" ht="24" customHeight="1" x14ac:dyDescent="0.2">
      <c r="A34" s="48" t="s">
        <v>1249</v>
      </c>
      <c r="B34" s="48" t="s">
        <v>1250</v>
      </c>
      <c r="C34" s="78" t="str">
        <f>IF(A34="","",IFERROR(INDEX('UNIVERSO MAESTRO'!$C$6:$C$497,MATCH(A34,'UNIVERSO MAESTRO'!$A$6:$A$497,0)),"⚠ ID no encontrado"))</f>
        <v>Relevent (Relevent Sports Group)</v>
      </c>
      <c r="D34" s="79" t="str">
        <f>IF(A34="","",IFERROR(INDEX('UNIVERSO MAESTRO'!$D$6:$D$497,MATCH(A34,'UNIVERSO MAESTRO'!$A$6:$A$497,0)),""))</f>
        <v>V4</v>
      </c>
      <c r="E34" s="80" t="s">
        <v>353</v>
      </c>
      <c r="F34" s="80" t="s">
        <v>353</v>
      </c>
      <c r="G34" s="80" t="s">
        <v>353</v>
      </c>
      <c r="H34" s="80" t="s">
        <v>353</v>
      </c>
      <c r="I34" s="80" t="s">
        <v>353</v>
      </c>
      <c r="J34" s="80" t="s">
        <v>353</v>
      </c>
      <c r="K34" s="80" t="s">
        <v>353</v>
      </c>
      <c r="L34" s="80" t="s">
        <v>353</v>
      </c>
      <c r="M34" s="80" t="s">
        <v>353</v>
      </c>
      <c r="N34" s="80" t="s">
        <v>353</v>
      </c>
      <c r="O34" s="80" t="s">
        <v>353</v>
      </c>
      <c r="P34" s="80" t="s">
        <v>3340</v>
      </c>
      <c r="Q34" s="80" t="s">
        <v>1530</v>
      </c>
      <c r="R34" s="80" t="s">
        <v>1530</v>
      </c>
      <c r="S34" s="80" t="s">
        <v>3340</v>
      </c>
      <c r="T34" s="80" t="s">
        <v>353</v>
      </c>
      <c r="U34" s="80" t="s">
        <v>353</v>
      </c>
      <c r="V34" s="80" t="s">
        <v>353</v>
      </c>
      <c r="W34" s="80" t="s">
        <v>353</v>
      </c>
      <c r="X34" s="80" t="s">
        <v>353</v>
      </c>
      <c r="Y34" s="80" t="s">
        <v>353</v>
      </c>
      <c r="Z34" s="80" t="s">
        <v>353</v>
      </c>
      <c r="AA34" s="80" t="s">
        <v>353</v>
      </c>
      <c r="AB34" s="80" t="s">
        <v>353</v>
      </c>
      <c r="AC34" s="80" t="s">
        <v>353</v>
      </c>
      <c r="AD34" s="80" t="s">
        <v>353</v>
      </c>
      <c r="AE34" s="80" t="s">
        <v>353</v>
      </c>
      <c r="AF34" s="80" t="s">
        <v>353</v>
      </c>
      <c r="AG34" s="80" t="s">
        <v>353</v>
      </c>
      <c r="AH34" s="80" t="s">
        <v>353</v>
      </c>
      <c r="AI34" s="80" t="s">
        <v>353</v>
      </c>
      <c r="AJ34" s="80" t="s">
        <v>353</v>
      </c>
      <c r="AK34" s="80" t="s">
        <v>353</v>
      </c>
      <c r="AL34" s="81">
        <f>IF(E34="Sí",1,IF(E34="Parcial",0.5,0))+IF(F34="Sí",1,IF(F34="Parcial",0.5,0))+IF(G34="Sí",1,IF(G34="Parcial",0.5,0))+IF(H34="Sí",1,IF(H34="Parcial",0.5,0))</f>
        <v>0</v>
      </c>
      <c r="AM34" s="82">
        <f>IF(I34="Sí",1,IF(I34="Parcial",0.5,0))+IF(J34="Sí",1,IF(J34="Parcial",0.5,0))+IF(K34="Sí",1,IF(K34="Parcial",0.5,0))</f>
        <v>0</v>
      </c>
      <c r="AN34" s="83">
        <f>IF(L34="Sí",1,IF(L34="Parcial",0.5,0))+IF(M34="Sí",1,IF(M34="Parcial",0.5,0))+IF(N34="Sí",1,IF(N34="Parcial",0.5,0))+IF(O34="Sí",1,IF(O34="Parcial",0.5,0))</f>
        <v>0</v>
      </c>
      <c r="AO34" s="84">
        <f>IF(P34="Sí",1,IF(P34="Parcial",0.5,0))+IF(Q34="Sí",1,IF(Q34="Parcial",0.5,0))+IF(R34="Sí",1,IF(R34="Parcial",0.5,0))+IF(S34="Sí",1,IF(S34="Parcial",0.5,0))+IF(T34="Sí",1,IF(T34="Parcial",0.5,0))+IF(U34="Sí",1,IF(U34="Parcial",0.5,0))</f>
        <v>3</v>
      </c>
      <c r="AP34" s="85">
        <f>IF(V34="Sí",1,IF(V34="Parcial",0.5,0))+IF(W34="Sí",1,IF(W34="Parcial",0.5,0))+IF(X34="Sí",1,IF(X34="Parcial",0.5,0))+IF(Y34="Sí",1,IF(Y34="Parcial",0.5,0))</f>
        <v>0</v>
      </c>
      <c r="AQ34" s="86">
        <f>IF(Z34="Sí",1,IF(Z34="Parcial",0.5,0))+IF(AA34="Sí",1,IF(AA34="Parcial",0.5,0))+IF(AB34="Sí",1,IF(AB34="Parcial",0.5,0))</f>
        <v>0</v>
      </c>
      <c r="AR34" s="87">
        <f>IF(AC34="Sí",1,IF(AC34="Parcial",0.5,0))+IF(AD34="Sí",1,IF(AD34="Parcial",0.5,0))+IF(AE34="Sí",1,IF(AE34="Parcial",0.5,0))</f>
        <v>0</v>
      </c>
      <c r="AS34" s="88">
        <f>IF(AF34="Sí",1,IF(AF34="Parcial",0.5,0))+IF(AG34="Sí",1,IF(AG34="Parcial",0.5,0))+IF(AH34="Sí",1,IF(AH34="Parcial",0.5,0))</f>
        <v>0</v>
      </c>
      <c r="AT34" s="89">
        <f>IF(AI34="Sí",1,IF(AI34="Parcial",0.5,0))+IF(AJ34="Sí",1,IF(AJ34="Parcial",0.5,0))+IF(AK34="Sí",1,IF(AK34="Parcial",0.5,0))</f>
        <v>0</v>
      </c>
      <c r="AU34" s="90">
        <f>SUM(AL34,AM34,AN34,AO34,AP34,AQ34,AR34,AS34,AT34)</f>
        <v>3</v>
      </c>
      <c r="AV34" s="225">
        <f>IFERROR(IF(OR(A34="",AU34=0),"",AU34/(IF(AL34&gt;0,1,0)+IF(AM34&gt;0,1,0)+IF(AN34&gt;0,1,0)+IF(AO34&gt;0,1,0)+IF(AP34&gt;0,1,0)+IF(AQ34&gt;0,1,0)+IF(AR34&gt;0,1,0)+IF(AS34&gt;0,1,0)+IF(AT34&gt;0,1,0))),"")</f>
        <v>3</v>
      </c>
      <c r="AW34" s="225">
        <f>IFERROR(IF(OR(A34="",AU34=""),"",IF(AND(MAX($AU$8:$AU$156)=0,MAX($AV$8:$AV$156)=0),"",0.5*(AU34/MAX($AU$8:$AU$156))+0.5*(AV34/MAX($AV$8:$AV$156)))),"")</f>
        <v>0.54166666666666663</v>
      </c>
      <c r="AX34" s="79" t="str">
        <f>IF(A34="","",IF((IF(AL34&gt;=1,1,0)+IF(AM34&gt;=1,1,0)+IF(AN34&gt;=1,1,0)+IF(AO34&gt;=1,1,0)+IF(AP34&gt;=1,1,0)+IF(AQ34&gt;=1,1,0)+IF(AR34&gt;=1,1,0)+IF(AS34&gt;=1,1,0)+IF(AT34&gt;=1,1,0))&gt;=5,"Diversificado (5+ verticales)",IF((IF(AL34&gt;=1,1,0)+IF(AM34&gt;=1,1,0)+IF(AN34&gt;=1,1,0)+IF(AO34&gt;=1,1,0)+IF(AP34&gt;=1,1,0)+IF(AQ34&gt;=1,1,0)+IF(AR34&gt;=1,1,0)+IF(AS34&gt;=1,1,0)+IF(AT34&gt;=1,1,0))&gt;=3,"Multi-capacidad (3-4 verticales)",IF((IF(AL34&gt;=1,1,0)+IF(AM34&gt;=1,1,0)+IF(AN34&gt;=1,1,0)+IF(AO34&gt;=1,1,0)+IF(AP34&gt;=1,1,0)+IF(AQ34&gt;=1,1,0)+IF(AR34&gt;=1,1,0)+IF(AS34&gt;=1,1,0)+IF(AT34&gt;=1,1,0))&gt;=1,"Especialista (1-2 verticales)","Sin función mapeada"))))</f>
        <v>Especialista (1-2 verticales)</v>
      </c>
    </row>
    <row r="35" spans="1:50" ht="24" customHeight="1" x14ac:dyDescent="0.2">
      <c r="A35" s="48" t="s">
        <v>1357</v>
      </c>
      <c r="B35" s="48" t="s">
        <v>1358</v>
      </c>
      <c r="C35" s="78" t="str">
        <f>IF(A35="","",IFERROR(INDEX('UNIVERSO MAESTRO'!$C$6:$C$497,MATCH(A35,'UNIVERSO MAESTRO'!$A$6:$A$497,0)),"⚠ ID no encontrado"))</f>
        <v>Sportfive</v>
      </c>
      <c r="D35" s="79" t="str">
        <f>IF(A35="","",IFERROR(INDEX('UNIVERSO MAESTRO'!$D$6:$D$497,MATCH(A35,'UNIVERSO MAESTRO'!$A$6:$A$497,0)),""))</f>
        <v>V4</v>
      </c>
      <c r="E35" s="80" t="s">
        <v>353</v>
      </c>
      <c r="F35" s="80" t="s">
        <v>353</v>
      </c>
      <c r="G35" s="80" t="s">
        <v>353</v>
      </c>
      <c r="H35" s="80" t="s">
        <v>353</v>
      </c>
      <c r="I35" s="80" t="s">
        <v>353</v>
      </c>
      <c r="J35" s="80" t="s">
        <v>353</v>
      </c>
      <c r="K35" s="80" t="s">
        <v>353</v>
      </c>
      <c r="L35" s="80" t="s">
        <v>353</v>
      </c>
      <c r="M35" s="80" t="s">
        <v>353</v>
      </c>
      <c r="N35" s="80" t="s">
        <v>353</v>
      </c>
      <c r="O35" s="80" t="s">
        <v>353</v>
      </c>
      <c r="P35" s="80" t="s">
        <v>1530</v>
      </c>
      <c r="Q35" s="80" t="s">
        <v>1530</v>
      </c>
      <c r="R35" s="80" t="s">
        <v>1530</v>
      </c>
      <c r="S35" s="80" t="s">
        <v>353</v>
      </c>
      <c r="T35" s="80" t="s">
        <v>353</v>
      </c>
      <c r="U35" s="80" t="s">
        <v>353</v>
      </c>
      <c r="V35" s="80" t="s">
        <v>353</v>
      </c>
      <c r="W35" s="80" t="s">
        <v>353</v>
      </c>
      <c r="X35" s="80" t="s">
        <v>353</v>
      </c>
      <c r="Y35" s="80" t="s">
        <v>353</v>
      </c>
      <c r="Z35" s="80" t="s">
        <v>353</v>
      </c>
      <c r="AA35" s="80" t="s">
        <v>353</v>
      </c>
      <c r="AB35" s="80" t="s">
        <v>353</v>
      </c>
      <c r="AC35" s="80" t="s">
        <v>353</v>
      </c>
      <c r="AD35" s="80" t="s">
        <v>353</v>
      </c>
      <c r="AE35" s="80" t="s">
        <v>353</v>
      </c>
      <c r="AF35" s="80" t="s">
        <v>353</v>
      </c>
      <c r="AG35" s="80" t="s">
        <v>353</v>
      </c>
      <c r="AH35" s="80" t="s">
        <v>353</v>
      </c>
      <c r="AI35" s="80" t="s">
        <v>353</v>
      </c>
      <c r="AJ35" s="80" t="s">
        <v>353</v>
      </c>
      <c r="AK35" s="80" t="s">
        <v>353</v>
      </c>
      <c r="AL35" s="81">
        <f>IF(E35="Sí",1,IF(E35="Parcial",0.5,0))+IF(F35="Sí",1,IF(F35="Parcial",0.5,0))+IF(G35="Sí",1,IF(G35="Parcial",0.5,0))+IF(H35="Sí",1,IF(H35="Parcial",0.5,0))</f>
        <v>0</v>
      </c>
      <c r="AM35" s="82">
        <f>IF(I35="Sí",1,IF(I35="Parcial",0.5,0))+IF(J35="Sí",1,IF(J35="Parcial",0.5,0))+IF(K35="Sí",1,IF(K35="Parcial",0.5,0))</f>
        <v>0</v>
      </c>
      <c r="AN35" s="83">
        <f>IF(L35="Sí",1,IF(L35="Parcial",0.5,0))+IF(M35="Sí",1,IF(M35="Parcial",0.5,0))+IF(N35="Sí",1,IF(N35="Parcial",0.5,0))+IF(O35="Sí",1,IF(O35="Parcial",0.5,0))</f>
        <v>0</v>
      </c>
      <c r="AO35" s="84">
        <f>IF(P35="Sí",1,IF(P35="Parcial",0.5,0))+IF(Q35="Sí",1,IF(Q35="Parcial",0.5,0))+IF(R35="Sí",1,IF(R35="Parcial",0.5,0))+IF(S35="Sí",1,IF(S35="Parcial",0.5,0))+IF(T35="Sí",1,IF(T35="Parcial",0.5,0))+IF(U35="Sí",1,IF(U35="Parcial",0.5,0))</f>
        <v>3</v>
      </c>
      <c r="AP35" s="85">
        <f>IF(V35="Sí",1,IF(V35="Parcial",0.5,0))+IF(W35="Sí",1,IF(W35="Parcial",0.5,0))+IF(X35="Sí",1,IF(X35="Parcial",0.5,0))+IF(Y35="Sí",1,IF(Y35="Parcial",0.5,0))</f>
        <v>0</v>
      </c>
      <c r="AQ35" s="86">
        <f>IF(Z35="Sí",1,IF(Z35="Parcial",0.5,0))+IF(AA35="Sí",1,IF(AA35="Parcial",0.5,0))+IF(AB35="Sí",1,IF(AB35="Parcial",0.5,0))</f>
        <v>0</v>
      </c>
      <c r="AR35" s="87">
        <f>IF(AC35="Sí",1,IF(AC35="Parcial",0.5,0))+IF(AD35="Sí",1,IF(AD35="Parcial",0.5,0))+IF(AE35="Sí",1,IF(AE35="Parcial",0.5,0))</f>
        <v>0</v>
      </c>
      <c r="AS35" s="88">
        <f>IF(AF35="Sí",1,IF(AF35="Parcial",0.5,0))+IF(AG35="Sí",1,IF(AG35="Parcial",0.5,0))+IF(AH35="Sí",1,IF(AH35="Parcial",0.5,0))</f>
        <v>0</v>
      </c>
      <c r="AT35" s="89">
        <f>IF(AI35="Sí",1,IF(AI35="Parcial",0.5,0))+IF(AJ35="Sí",1,IF(AJ35="Parcial",0.5,0))+IF(AK35="Sí",1,IF(AK35="Parcial",0.5,0))</f>
        <v>0</v>
      </c>
      <c r="AU35" s="90">
        <f>SUM(AL35,AM35,AN35,AO35,AP35,AQ35,AR35,AS35,AT35)</f>
        <v>3</v>
      </c>
      <c r="AV35" s="225">
        <f>IFERROR(IF(OR(A35="",AU35=0),"",AU35/(IF(AL35&gt;0,1,0)+IF(AM35&gt;0,1,0)+IF(AN35&gt;0,1,0)+IF(AO35&gt;0,1,0)+IF(AP35&gt;0,1,0)+IF(AQ35&gt;0,1,0)+IF(AR35&gt;0,1,0)+IF(AS35&gt;0,1,0)+IF(AT35&gt;0,1,0))),"")</f>
        <v>3</v>
      </c>
      <c r="AW35" s="225">
        <f>IFERROR(IF(OR(A35="",AU35=""),"",IF(AND(MAX($AU$8:$AU$156)=0,MAX($AV$8:$AV$156)=0),"",0.5*(AU35/MAX($AU$8:$AU$156))+0.5*(AV35/MAX($AV$8:$AV$156)))),"")</f>
        <v>0.54166666666666663</v>
      </c>
      <c r="AX35" s="79" t="str">
        <f>IF(A35="","",IF((IF(AL35&gt;=1,1,0)+IF(AM35&gt;=1,1,0)+IF(AN35&gt;=1,1,0)+IF(AO35&gt;=1,1,0)+IF(AP35&gt;=1,1,0)+IF(AQ35&gt;=1,1,0)+IF(AR35&gt;=1,1,0)+IF(AS35&gt;=1,1,0)+IF(AT35&gt;=1,1,0))&gt;=5,"Diversificado (5+ verticales)",IF((IF(AL35&gt;=1,1,0)+IF(AM35&gt;=1,1,0)+IF(AN35&gt;=1,1,0)+IF(AO35&gt;=1,1,0)+IF(AP35&gt;=1,1,0)+IF(AQ35&gt;=1,1,0)+IF(AR35&gt;=1,1,0)+IF(AS35&gt;=1,1,0)+IF(AT35&gt;=1,1,0))&gt;=3,"Multi-capacidad (3-4 verticales)",IF((IF(AL35&gt;=1,1,0)+IF(AM35&gt;=1,1,0)+IF(AN35&gt;=1,1,0)+IF(AO35&gt;=1,1,0)+IF(AP35&gt;=1,1,0)+IF(AQ35&gt;=1,1,0)+IF(AR35&gt;=1,1,0)+IF(AS35&gt;=1,1,0)+IF(AT35&gt;=1,1,0))&gt;=1,"Especialista (1-2 verticales)","Sin función mapeada"))))</f>
        <v>Especialista (1-2 verticales)</v>
      </c>
    </row>
    <row r="36" spans="1:50" ht="24" customHeight="1" x14ac:dyDescent="0.2">
      <c r="A36" s="48" t="s">
        <v>1073</v>
      </c>
      <c r="B36" s="48" t="s">
        <v>1074</v>
      </c>
      <c r="C36" s="78" t="str">
        <f>IF(A36="","",IFERROR(INDEX('UNIVERSO MAESTRO'!$C$6:$C$497,MATCH(A36,'UNIVERSO MAESTRO'!$A$6:$A$497,0)),"⚠ ID no encontrado"))</f>
        <v>Mextenis S.A. de C.V. (Grupo Pegaso)</v>
      </c>
      <c r="D36" s="79" t="str">
        <f>IF(A36="","",IFERROR(INDEX('UNIVERSO MAESTRO'!$D$6:$D$497,MATCH(A36,'UNIVERSO MAESTRO'!$A$6:$A$497,0)),""))</f>
        <v>V5</v>
      </c>
      <c r="E36" s="80" t="s">
        <v>1530</v>
      </c>
      <c r="F36" s="80" t="s">
        <v>1530</v>
      </c>
      <c r="G36" s="80" t="s">
        <v>1530</v>
      </c>
      <c r="H36" s="80" t="s">
        <v>353</v>
      </c>
      <c r="I36" s="80" t="s">
        <v>353</v>
      </c>
      <c r="J36" s="80" t="s">
        <v>353</v>
      </c>
      <c r="K36" s="80" t="s">
        <v>3340</v>
      </c>
      <c r="L36" s="80" t="s">
        <v>353</v>
      </c>
      <c r="M36" s="80" t="s">
        <v>353</v>
      </c>
      <c r="N36" s="80" t="s">
        <v>353</v>
      </c>
      <c r="O36" s="80" t="s">
        <v>353</v>
      </c>
      <c r="P36" s="80" t="s">
        <v>353</v>
      </c>
      <c r="Q36" s="80" t="s">
        <v>353</v>
      </c>
      <c r="R36" s="80" t="s">
        <v>353</v>
      </c>
      <c r="S36" s="80" t="s">
        <v>353</v>
      </c>
      <c r="T36" s="80" t="s">
        <v>353</v>
      </c>
      <c r="U36" s="80" t="s">
        <v>353</v>
      </c>
      <c r="V36" s="80" t="s">
        <v>1530</v>
      </c>
      <c r="W36" s="80" t="s">
        <v>1530</v>
      </c>
      <c r="X36" s="80" t="s">
        <v>353</v>
      </c>
      <c r="Y36" s="80" t="s">
        <v>353</v>
      </c>
      <c r="Z36" s="80" t="s">
        <v>353</v>
      </c>
      <c r="AA36" s="80" t="s">
        <v>353</v>
      </c>
      <c r="AB36" s="80" t="s">
        <v>353</v>
      </c>
      <c r="AC36" s="80" t="s">
        <v>353</v>
      </c>
      <c r="AD36" s="80" t="s">
        <v>353</v>
      </c>
      <c r="AE36" s="80" t="s">
        <v>353</v>
      </c>
      <c r="AF36" s="80" t="s">
        <v>353</v>
      </c>
      <c r="AG36" s="80" t="s">
        <v>353</v>
      </c>
      <c r="AH36" s="80" t="s">
        <v>353</v>
      </c>
      <c r="AI36" s="80" t="s">
        <v>353</v>
      </c>
      <c r="AJ36" s="80" t="s">
        <v>353</v>
      </c>
      <c r="AK36" s="80" t="s">
        <v>353</v>
      </c>
      <c r="AL36" s="81">
        <f>IF(E36="Sí",1,IF(E36="Parcial",0.5,0))+IF(F36="Sí",1,IF(F36="Parcial",0.5,0))+IF(G36="Sí",1,IF(G36="Parcial",0.5,0))+IF(H36="Sí",1,IF(H36="Parcial",0.5,0))</f>
        <v>3</v>
      </c>
      <c r="AM36" s="82">
        <f>IF(I36="Sí",1,IF(I36="Parcial",0.5,0))+IF(J36="Sí",1,IF(J36="Parcial",0.5,0))+IF(K36="Sí",1,IF(K36="Parcial",0.5,0))</f>
        <v>0.5</v>
      </c>
      <c r="AN36" s="83">
        <f>IF(L36="Sí",1,IF(L36="Parcial",0.5,0))+IF(M36="Sí",1,IF(M36="Parcial",0.5,0))+IF(N36="Sí",1,IF(N36="Parcial",0.5,0))+IF(O36="Sí",1,IF(O36="Parcial",0.5,0))</f>
        <v>0</v>
      </c>
      <c r="AO36" s="84">
        <f>IF(P36="Sí",1,IF(P36="Parcial",0.5,0))+IF(Q36="Sí",1,IF(Q36="Parcial",0.5,0))+IF(R36="Sí",1,IF(R36="Parcial",0.5,0))+IF(S36="Sí",1,IF(S36="Parcial",0.5,0))+IF(T36="Sí",1,IF(T36="Parcial",0.5,0))+IF(U36="Sí",1,IF(U36="Parcial",0.5,0))</f>
        <v>0</v>
      </c>
      <c r="AP36" s="85">
        <f>IF(V36="Sí",1,IF(V36="Parcial",0.5,0))+IF(W36="Sí",1,IF(W36="Parcial",0.5,0))+IF(X36="Sí",1,IF(X36="Parcial",0.5,0))+IF(Y36="Sí",1,IF(Y36="Parcial",0.5,0))</f>
        <v>2</v>
      </c>
      <c r="AQ36" s="86">
        <f>IF(Z36="Sí",1,IF(Z36="Parcial",0.5,0))+IF(AA36="Sí",1,IF(AA36="Parcial",0.5,0))+IF(AB36="Sí",1,IF(AB36="Parcial",0.5,0))</f>
        <v>0</v>
      </c>
      <c r="AR36" s="87">
        <f>IF(AC36="Sí",1,IF(AC36="Parcial",0.5,0))+IF(AD36="Sí",1,IF(AD36="Parcial",0.5,0))+IF(AE36="Sí",1,IF(AE36="Parcial",0.5,0))</f>
        <v>0</v>
      </c>
      <c r="AS36" s="88">
        <f>IF(AF36="Sí",1,IF(AF36="Parcial",0.5,0))+IF(AG36="Sí",1,IF(AG36="Parcial",0.5,0))+IF(AH36="Sí",1,IF(AH36="Parcial",0.5,0))</f>
        <v>0</v>
      </c>
      <c r="AT36" s="89">
        <f>IF(AI36="Sí",1,IF(AI36="Parcial",0.5,0))+IF(AJ36="Sí",1,IF(AJ36="Parcial",0.5,0))+IF(AK36="Sí",1,IF(AK36="Parcial",0.5,0))</f>
        <v>0</v>
      </c>
      <c r="AU36" s="90">
        <f>SUM(AL36,AM36,AN36,AO36,AP36,AQ36,AR36,AS36,AT36)</f>
        <v>5.5</v>
      </c>
      <c r="AV36" s="225">
        <f>IFERROR(IF(OR(A36="",AU36=0),"",AU36/(IF(AL36&gt;0,1,0)+IF(AM36&gt;0,1,0)+IF(AN36&gt;0,1,0)+IF(AO36&gt;0,1,0)+IF(AP36&gt;0,1,0)+IF(AQ36&gt;0,1,0)+IF(AR36&gt;0,1,0)+IF(AS36&gt;0,1,0)+IF(AT36&gt;0,1,0))),"")</f>
        <v>1.8333333333333333</v>
      </c>
      <c r="AW36" s="225">
        <f>IFERROR(IF(OR(A36="",AU36=""),"",IF(AND(MAX($AU$8:$AU$156)=0,MAX($AV$8:$AV$156)=0),"",0.5*(AU36/MAX($AU$8:$AU$156))+0.5*(AV36/MAX($AV$8:$AV$156)))),"")</f>
        <v>0.53472222222222221</v>
      </c>
      <c r="AX36" s="79" t="str">
        <f>IF(A36="","",IF((IF(AL36&gt;=1,1,0)+IF(AM36&gt;=1,1,0)+IF(AN36&gt;=1,1,0)+IF(AO36&gt;=1,1,0)+IF(AP36&gt;=1,1,0)+IF(AQ36&gt;=1,1,0)+IF(AR36&gt;=1,1,0)+IF(AS36&gt;=1,1,0)+IF(AT36&gt;=1,1,0))&gt;=5,"Diversificado (5+ verticales)",IF((IF(AL36&gt;=1,1,0)+IF(AM36&gt;=1,1,0)+IF(AN36&gt;=1,1,0)+IF(AO36&gt;=1,1,0)+IF(AP36&gt;=1,1,0)+IF(AQ36&gt;=1,1,0)+IF(AR36&gt;=1,1,0)+IF(AS36&gt;=1,1,0)+IF(AT36&gt;=1,1,0))&gt;=3,"Multi-capacidad (3-4 verticales)",IF((IF(AL36&gt;=1,1,0)+IF(AM36&gt;=1,1,0)+IF(AN36&gt;=1,1,0)+IF(AO36&gt;=1,1,0)+IF(AP36&gt;=1,1,0)+IF(AQ36&gt;=1,1,0)+IF(AR36&gt;=1,1,0)+IF(AS36&gt;=1,1,0)+IF(AT36&gt;=1,1,0))&gt;=1,"Especialista (1-2 verticales)","Sin función mapeada"))))</f>
        <v>Especialista (1-2 verticales)</v>
      </c>
    </row>
    <row r="37" spans="1:50" ht="24" customHeight="1" x14ac:dyDescent="0.2">
      <c r="A37" s="48" t="s">
        <v>663</v>
      </c>
      <c r="B37" s="48" t="s">
        <v>664</v>
      </c>
      <c r="C37" s="78" t="str">
        <f>IF(A37="","",IFERROR(INDEX('UNIVERSO MAESTRO'!$C$6:$C$497,MATCH(A37,'UNIVERSO MAESTRO'!$A$6:$A$497,0)),"⚠ ID no encontrado"))</f>
        <v>Fuse Mexico (Omnicom Media Group)</v>
      </c>
      <c r="D37" s="79" t="str">
        <f>IF(A37="","",IFERROR(INDEX('UNIVERSO MAESTRO'!$D$6:$D$497,MATCH(A37,'UNIVERSO MAESTRO'!$A$6:$A$497,0)),""))</f>
        <v>V5</v>
      </c>
      <c r="E37" s="80" t="s">
        <v>353</v>
      </c>
      <c r="F37" s="80" t="s">
        <v>353</v>
      </c>
      <c r="G37" s="80" t="s">
        <v>353</v>
      </c>
      <c r="H37" s="80" t="s">
        <v>353</v>
      </c>
      <c r="I37" s="80" t="s">
        <v>353</v>
      </c>
      <c r="J37" s="80" t="s">
        <v>353</v>
      </c>
      <c r="K37" s="80" t="s">
        <v>353</v>
      </c>
      <c r="L37" s="80" t="s">
        <v>353</v>
      </c>
      <c r="M37" s="80" t="s">
        <v>353</v>
      </c>
      <c r="N37" s="80" t="s">
        <v>353</v>
      </c>
      <c r="O37" s="80" t="s">
        <v>353</v>
      </c>
      <c r="P37" s="80" t="s">
        <v>1530</v>
      </c>
      <c r="Q37" s="80" t="s">
        <v>353</v>
      </c>
      <c r="R37" s="80" t="s">
        <v>1530</v>
      </c>
      <c r="S37" s="80" t="s">
        <v>1530</v>
      </c>
      <c r="T37" s="80" t="s">
        <v>353</v>
      </c>
      <c r="U37" s="80" t="s">
        <v>1530</v>
      </c>
      <c r="V37" s="80" t="s">
        <v>3340</v>
      </c>
      <c r="W37" s="80" t="s">
        <v>353</v>
      </c>
      <c r="X37" s="80" t="s">
        <v>353</v>
      </c>
      <c r="Y37" s="80" t="s">
        <v>353</v>
      </c>
      <c r="Z37" s="80" t="s">
        <v>353</v>
      </c>
      <c r="AA37" s="80" t="s">
        <v>353</v>
      </c>
      <c r="AB37" s="80" t="s">
        <v>353</v>
      </c>
      <c r="AC37" s="80" t="s">
        <v>353</v>
      </c>
      <c r="AD37" s="80" t="s">
        <v>353</v>
      </c>
      <c r="AE37" s="80" t="s">
        <v>353</v>
      </c>
      <c r="AF37" s="80" t="s">
        <v>353</v>
      </c>
      <c r="AG37" s="80" t="s">
        <v>353</v>
      </c>
      <c r="AH37" s="80" t="s">
        <v>353</v>
      </c>
      <c r="AI37" s="80" t="s">
        <v>353</v>
      </c>
      <c r="AJ37" s="80" t="s">
        <v>353</v>
      </c>
      <c r="AK37" s="80" t="s">
        <v>353</v>
      </c>
      <c r="AL37" s="81">
        <f>IF(E37="Sí",1,IF(E37="Parcial",0.5,0))+IF(F37="Sí",1,IF(F37="Parcial",0.5,0))+IF(G37="Sí",1,IF(G37="Parcial",0.5,0))+IF(H37="Sí",1,IF(H37="Parcial",0.5,0))</f>
        <v>0</v>
      </c>
      <c r="AM37" s="82">
        <f>IF(I37="Sí",1,IF(I37="Parcial",0.5,0))+IF(J37="Sí",1,IF(J37="Parcial",0.5,0))+IF(K37="Sí",1,IF(K37="Parcial",0.5,0))</f>
        <v>0</v>
      </c>
      <c r="AN37" s="83">
        <f>IF(L37="Sí",1,IF(L37="Parcial",0.5,0))+IF(M37="Sí",1,IF(M37="Parcial",0.5,0))+IF(N37="Sí",1,IF(N37="Parcial",0.5,0))+IF(O37="Sí",1,IF(O37="Parcial",0.5,0))</f>
        <v>0</v>
      </c>
      <c r="AO37" s="84">
        <f>IF(P37="Sí",1,IF(P37="Parcial",0.5,0))+IF(Q37="Sí",1,IF(Q37="Parcial",0.5,0))+IF(R37="Sí",1,IF(R37="Parcial",0.5,0))+IF(S37="Sí",1,IF(S37="Parcial",0.5,0))+IF(T37="Sí",1,IF(T37="Parcial",0.5,0))+IF(U37="Sí",1,IF(U37="Parcial",0.5,0))</f>
        <v>4</v>
      </c>
      <c r="AP37" s="85">
        <f>IF(V37="Sí",1,IF(V37="Parcial",0.5,0))+IF(W37="Sí",1,IF(W37="Parcial",0.5,0))+IF(X37="Sí",1,IF(X37="Parcial",0.5,0))+IF(Y37="Sí",1,IF(Y37="Parcial",0.5,0))</f>
        <v>0.5</v>
      </c>
      <c r="AQ37" s="86">
        <f>IF(Z37="Sí",1,IF(Z37="Parcial",0.5,0))+IF(AA37="Sí",1,IF(AA37="Parcial",0.5,0))+IF(AB37="Sí",1,IF(AB37="Parcial",0.5,0))</f>
        <v>0</v>
      </c>
      <c r="AR37" s="87">
        <f>IF(AC37="Sí",1,IF(AC37="Parcial",0.5,0))+IF(AD37="Sí",1,IF(AD37="Parcial",0.5,0))+IF(AE37="Sí",1,IF(AE37="Parcial",0.5,0))</f>
        <v>0</v>
      </c>
      <c r="AS37" s="88">
        <f>IF(AF37="Sí",1,IF(AF37="Parcial",0.5,0))+IF(AG37="Sí",1,IF(AG37="Parcial",0.5,0))+IF(AH37="Sí",1,IF(AH37="Parcial",0.5,0))</f>
        <v>0</v>
      </c>
      <c r="AT37" s="89">
        <f>IF(AI37="Sí",1,IF(AI37="Parcial",0.5,0))+IF(AJ37="Sí",1,IF(AJ37="Parcial",0.5,0))+IF(AK37="Sí",1,IF(AK37="Parcial",0.5,0))</f>
        <v>0</v>
      </c>
      <c r="AU37" s="90">
        <f>SUM(AL37,AM37,AN37,AO37,AP37,AQ37,AR37,AS37,AT37)</f>
        <v>4.5</v>
      </c>
      <c r="AV37" s="225">
        <f>IFERROR(IF(OR(A37="",AU37=0),"",AU37/(IF(AL37&gt;0,1,0)+IF(AM37&gt;0,1,0)+IF(AN37&gt;0,1,0)+IF(AO37&gt;0,1,0)+IF(AP37&gt;0,1,0)+IF(AQ37&gt;0,1,0)+IF(AR37&gt;0,1,0)+IF(AS37&gt;0,1,0)+IF(AT37&gt;0,1,0))),"")</f>
        <v>2.25</v>
      </c>
      <c r="AW37" s="225">
        <f>IFERROR(IF(OR(A37="",AU37=""),"",IF(AND(MAX($AU$8:$AU$156)=0,MAX($AV$8:$AV$156)=0),"",0.5*(AU37/MAX($AU$8:$AU$156))+0.5*(AV37/MAX($AV$8:$AV$156)))),"")</f>
        <v>0.53125</v>
      </c>
      <c r="AX37" s="79" t="str">
        <f>IF(A37="","",IF((IF(AL37&gt;=1,1,0)+IF(AM37&gt;=1,1,0)+IF(AN37&gt;=1,1,0)+IF(AO37&gt;=1,1,0)+IF(AP37&gt;=1,1,0)+IF(AQ37&gt;=1,1,0)+IF(AR37&gt;=1,1,0)+IF(AS37&gt;=1,1,0)+IF(AT37&gt;=1,1,0))&gt;=5,"Diversificado (5+ verticales)",IF((IF(AL37&gt;=1,1,0)+IF(AM37&gt;=1,1,0)+IF(AN37&gt;=1,1,0)+IF(AO37&gt;=1,1,0)+IF(AP37&gt;=1,1,0)+IF(AQ37&gt;=1,1,0)+IF(AR37&gt;=1,1,0)+IF(AS37&gt;=1,1,0)+IF(AT37&gt;=1,1,0))&gt;=3,"Multi-capacidad (3-4 verticales)",IF((IF(AL37&gt;=1,1,0)+IF(AM37&gt;=1,1,0)+IF(AN37&gt;=1,1,0)+IF(AO37&gt;=1,1,0)+IF(AP37&gt;=1,1,0)+IF(AQ37&gt;=1,1,0)+IF(AR37&gt;=1,1,0)+IF(AS37&gt;=1,1,0)+IF(AT37&gt;=1,1,0))&gt;=1,"Especialista (1-2 verticales)","Sin función mapeada"))))</f>
        <v>Especialista (1-2 verticales)</v>
      </c>
    </row>
    <row r="38" spans="1:50" ht="24" customHeight="1" x14ac:dyDescent="0.2">
      <c r="A38" s="48" t="s">
        <v>688</v>
      </c>
      <c r="B38" s="48" t="s">
        <v>689</v>
      </c>
      <c r="C38" s="78" t="str">
        <f>IF(A38="","",IFERROR(INDEX('UNIVERSO MAESTRO'!$C$6:$C$497,MATCH(A38,'UNIVERSO MAESTRO'!$A$6:$A$497,0)),"⚠ ID no encontrado"))</f>
        <v>Global Champions Tour — LGCT México</v>
      </c>
      <c r="D38" s="79" t="str">
        <f>IF(A38="","",IFERROR(INDEX('UNIVERSO MAESTRO'!$D$6:$D$497,MATCH(A38,'UNIVERSO MAESTRO'!$A$6:$A$497,0)),""))</f>
        <v>V1</v>
      </c>
      <c r="E38" s="80" t="s">
        <v>1530</v>
      </c>
      <c r="F38" s="80" t="s">
        <v>1530</v>
      </c>
      <c r="G38" s="80" t="s">
        <v>1530</v>
      </c>
      <c r="H38" s="80" t="s">
        <v>353</v>
      </c>
      <c r="I38" s="80" t="s">
        <v>353</v>
      </c>
      <c r="J38" s="80" t="s">
        <v>353</v>
      </c>
      <c r="K38" s="80" t="s">
        <v>353</v>
      </c>
      <c r="L38" s="80" t="s">
        <v>353</v>
      </c>
      <c r="M38" s="80" t="s">
        <v>353</v>
      </c>
      <c r="N38" s="80" t="s">
        <v>353</v>
      </c>
      <c r="O38" s="80" t="s">
        <v>353</v>
      </c>
      <c r="P38" s="80" t="s">
        <v>353</v>
      </c>
      <c r="Q38" s="80" t="s">
        <v>353</v>
      </c>
      <c r="R38" s="80" t="s">
        <v>353</v>
      </c>
      <c r="S38" s="80" t="s">
        <v>353</v>
      </c>
      <c r="T38" s="80" t="s">
        <v>353</v>
      </c>
      <c r="U38" s="80" t="s">
        <v>353</v>
      </c>
      <c r="V38" s="80" t="s">
        <v>1530</v>
      </c>
      <c r="W38" s="80" t="s">
        <v>3340</v>
      </c>
      <c r="X38" s="80" t="s">
        <v>353</v>
      </c>
      <c r="Y38" s="80" t="s">
        <v>353</v>
      </c>
      <c r="Z38" s="80" t="s">
        <v>353</v>
      </c>
      <c r="AA38" s="80" t="s">
        <v>353</v>
      </c>
      <c r="AB38" s="80" t="s">
        <v>353</v>
      </c>
      <c r="AC38" s="80" t="s">
        <v>353</v>
      </c>
      <c r="AD38" s="80" t="s">
        <v>353</v>
      </c>
      <c r="AE38" s="80" t="s">
        <v>353</v>
      </c>
      <c r="AF38" s="80" t="s">
        <v>353</v>
      </c>
      <c r="AG38" s="80" t="s">
        <v>353</v>
      </c>
      <c r="AH38" s="80" t="s">
        <v>353</v>
      </c>
      <c r="AI38" s="80" t="s">
        <v>353</v>
      </c>
      <c r="AJ38" s="80" t="s">
        <v>353</v>
      </c>
      <c r="AK38" s="80" t="s">
        <v>353</v>
      </c>
      <c r="AL38" s="81">
        <f>IF(E38="Sí",1,IF(E38="Parcial",0.5,0))+IF(F38="Sí",1,IF(F38="Parcial",0.5,0))+IF(G38="Sí",1,IF(G38="Parcial",0.5,0))+IF(H38="Sí",1,IF(H38="Parcial",0.5,0))</f>
        <v>3</v>
      </c>
      <c r="AM38" s="82">
        <f>IF(I38="Sí",1,IF(I38="Parcial",0.5,0))+IF(J38="Sí",1,IF(J38="Parcial",0.5,0))+IF(K38="Sí",1,IF(K38="Parcial",0.5,0))</f>
        <v>0</v>
      </c>
      <c r="AN38" s="83">
        <f>IF(L38="Sí",1,IF(L38="Parcial",0.5,0))+IF(M38="Sí",1,IF(M38="Parcial",0.5,0))+IF(N38="Sí",1,IF(N38="Parcial",0.5,0))+IF(O38="Sí",1,IF(O38="Parcial",0.5,0))</f>
        <v>0</v>
      </c>
      <c r="AO38" s="84">
        <f>IF(P38="Sí",1,IF(P38="Parcial",0.5,0))+IF(Q38="Sí",1,IF(Q38="Parcial",0.5,0))+IF(R38="Sí",1,IF(R38="Parcial",0.5,0))+IF(S38="Sí",1,IF(S38="Parcial",0.5,0))+IF(T38="Sí",1,IF(T38="Parcial",0.5,0))+IF(U38="Sí",1,IF(U38="Parcial",0.5,0))</f>
        <v>0</v>
      </c>
      <c r="AP38" s="85">
        <f>IF(V38="Sí",1,IF(V38="Parcial",0.5,0))+IF(W38="Sí",1,IF(W38="Parcial",0.5,0))+IF(X38="Sí",1,IF(X38="Parcial",0.5,0))+IF(Y38="Sí",1,IF(Y38="Parcial",0.5,0))</f>
        <v>1.5</v>
      </c>
      <c r="AQ38" s="86">
        <f>IF(Z38="Sí",1,IF(Z38="Parcial",0.5,0))+IF(AA38="Sí",1,IF(AA38="Parcial",0.5,0))+IF(AB38="Sí",1,IF(AB38="Parcial",0.5,0))</f>
        <v>0</v>
      </c>
      <c r="AR38" s="87">
        <f>IF(AC38="Sí",1,IF(AC38="Parcial",0.5,0))+IF(AD38="Sí",1,IF(AD38="Parcial",0.5,0))+IF(AE38="Sí",1,IF(AE38="Parcial",0.5,0))</f>
        <v>0</v>
      </c>
      <c r="AS38" s="88">
        <f>IF(AF38="Sí",1,IF(AF38="Parcial",0.5,0))+IF(AG38="Sí",1,IF(AG38="Parcial",0.5,0))+IF(AH38="Sí",1,IF(AH38="Parcial",0.5,0))</f>
        <v>0</v>
      </c>
      <c r="AT38" s="89">
        <f>IF(AI38="Sí",1,IF(AI38="Parcial",0.5,0))+IF(AJ38="Sí",1,IF(AJ38="Parcial",0.5,0))+IF(AK38="Sí",1,IF(AK38="Parcial",0.5,0))</f>
        <v>0</v>
      </c>
      <c r="AU38" s="90">
        <f>SUM(AL38,AM38,AN38,AO38,AP38,AQ38,AR38,AS38,AT38)</f>
        <v>4.5</v>
      </c>
      <c r="AV38" s="225">
        <f>IFERROR(IF(OR(A38="",AU38=0),"",AU38/(IF(AL38&gt;0,1,0)+IF(AM38&gt;0,1,0)+IF(AN38&gt;0,1,0)+IF(AO38&gt;0,1,0)+IF(AP38&gt;0,1,0)+IF(AQ38&gt;0,1,0)+IF(AR38&gt;0,1,0)+IF(AS38&gt;0,1,0)+IF(AT38&gt;0,1,0))),"")</f>
        <v>2.25</v>
      </c>
      <c r="AW38" s="225">
        <f>IFERROR(IF(OR(A38="",AU38=""),"",IF(AND(MAX($AU$8:$AU$156)=0,MAX($AV$8:$AV$156)=0),"",0.5*(AU38/MAX($AU$8:$AU$156))+0.5*(AV38/MAX($AV$8:$AV$156)))),"")</f>
        <v>0.53125</v>
      </c>
      <c r="AX38" s="79" t="str">
        <f>IF(A38="","",IF((IF(AL38&gt;=1,1,0)+IF(AM38&gt;=1,1,0)+IF(AN38&gt;=1,1,0)+IF(AO38&gt;=1,1,0)+IF(AP38&gt;=1,1,0)+IF(AQ38&gt;=1,1,0)+IF(AR38&gt;=1,1,0)+IF(AS38&gt;=1,1,0)+IF(AT38&gt;=1,1,0))&gt;=5,"Diversificado (5+ verticales)",IF((IF(AL38&gt;=1,1,0)+IF(AM38&gt;=1,1,0)+IF(AN38&gt;=1,1,0)+IF(AO38&gt;=1,1,0)+IF(AP38&gt;=1,1,0)+IF(AQ38&gt;=1,1,0)+IF(AR38&gt;=1,1,0)+IF(AS38&gt;=1,1,0)+IF(AT38&gt;=1,1,0))&gt;=3,"Multi-capacidad (3-4 verticales)",IF((IF(AL38&gt;=1,1,0)+IF(AM38&gt;=1,1,0)+IF(AN38&gt;=1,1,0)+IF(AO38&gt;=1,1,0)+IF(AP38&gt;=1,1,0)+IF(AQ38&gt;=1,1,0)+IF(AR38&gt;=1,1,0)+IF(AS38&gt;=1,1,0)+IF(AT38&gt;=1,1,0))&gt;=1,"Especialista (1-2 verticales)","Sin función mapeada"))))</f>
        <v>Especialista (1-2 verticales)</v>
      </c>
    </row>
    <row r="39" spans="1:50" ht="24" customHeight="1" x14ac:dyDescent="0.2">
      <c r="A39" s="48" t="s">
        <v>264</v>
      </c>
      <c r="B39" s="48" t="s">
        <v>265</v>
      </c>
      <c r="C39" s="78" t="str">
        <f>IF(A39="","",IFERROR(INDEX('UNIVERSO MAESTRO'!$C$6:$C$497,MATCH(A39,'UNIVERSO MAESTRO'!$A$6:$A$497,0)),"⚠ ID no encontrado"))</f>
        <v>ASdeporte (Asdeporte SA de CV)</v>
      </c>
      <c r="D39" s="79" t="str">
        <f>IF(A39="","",IFERROR(INDEX('UNIVERSO MAESTRO'!$D$6:$D$497,MATCH(A39,'UNIVERSO MAESTRO'!$A$6:$A$497,0)),""))</f>
        <v>V5</v>
      </c>
      <c r="E39" s="80" t="s">
        <v>1530</v>
      </c>
      <c r="F39" s="80" t="s">
        <v>1530</v>
      </c>
      <c r="G39" s="80" t="s">
        <v>1530</v>
      </c>
      <c r="H39" s="80" t="s">
        <v>353</v>
      </c>
      <c r="I39" s="80" t="s">
        <v>353</v>
      </c>
      <c r="J39" s="80" t="s">
        <v>353</v>
      </c>
      <c r="K39" s="80" t="s">
        <v>353</v>
      </c>
      <c r="L39" s="80" t="s">
        <v>353</v>
      </c>
      <c r="M39" s="80" t="s">
        <v>353</v>
      </c>
      <c r="N39" s="80" t="s">
        <v>353</v>
      </c>
      <c r="O39" s="80" t="s">
        <v>353</v>
      </c>
      <c r="P39" s="80" t="s">
        <v>353</v>
      </c>
      <c r="Q39" s="80" t="s">
        <v>353</v>
      </c>
      <c r="R39" s="80" t="s">
        <v>353</v>
      </c>
      <c r="S39" s="80" t="s">
        <v>353</v>
      </c>
      <c r="T39" s="80" t="s">
        <v>353</v>
      </c>
      <c r="U39" s="80" t="s">
        <v>353</v>
      </c>
      <c r="V39" s="80" t="s">
        <v>1530</v>
      </c>
      <c r="W39" s="80" t="s">
        <v>353</v>
      </c>
      <c r="X39" s="80" t="s">
        <v>353</v>
      </c>
      <c r="Y39" s="80" t="s">
        <v>353</v>
      </c>
      <c r="Z39" s="80" t="s">
        <v>1530</v>
      </c>
      <c r="AA39" s="80" t="s">
        <v>353</v>
      </c>
      <c r="AB39" s="80" t="s">
        <v>353</v>
      </c>
      <c r="AC39" s="80" t="s">
        <v>353</v>
      </c>
      <c r="AD39" s="80" t="s">
        <v>353</v>
      </c>
      <c r="AE39" s="80" t="s">
        <v>353</v>
      </c>
      <c r="AF39" s="80" t="s">
        <v>353</v>
      </c>
      <c r="AG39" s="80" t="s">
        <v>353</v>
      </c>
      <c r="AH39" s="80" t="s">
        <v>353</v>
      </c>
      <c r="AI39" s="80" t="s">
        <v>353</v>
      </c>
      <c r="AJ39" s="80" t="s">
        <v>353</v>
      </c>
      <c r="AK39" s="80" t="s">
        <v>353</v>
      </c>
      <c r="AL39" s="81">
        <f>IF(E39="Sí",1,IF(E39="Parcial",0.5,0))+IF(F39="Sí",1,IF(F39="Parcial",0.5,0))+IF(G39="Sí",1,IF(G39="Parcial",0.5,0))+IF(H39="Sí",1,IF(H39="Parcial",0.5,0))</f>
        <v>3</v>
      </c>
      <c r="AM39" s="82">
        <f>IF(I39="Sí",1,IF(I39="Parcial",0.5,0))+IF(J39="Sí",1,IF(J39="Parcial",0.5,0))+IF(K39="Sí",1,IF(K39="Parcial",0.5,0))</f>
        <v>0</v>
      </c>
      <c r="AN39" s="83">
        <f>IF(L39="Sí",1,IF(L39="Parcial",0.5,0))+IF(M39="Sí",1,IF(M39="Parcial",0.5,0))+IF(N39="Sí",1,IF(N39="Parcial",0.5,0))+IF(O39="Sí",1,IF(O39="Parcial",0.5,0))</f>
        <v>0</v>
      </c>
      <c r="AO39" s="84">
        <f>IF(P39="Sí",1,IF(P39="Parcial",0.5,0))+IF(Q39="Sí",1,IF(Q39="Parcial",0.5,0))+IF(R39="Sí",1,IF(R39="Parcial",0.5,0))+IF(S39="Sí",1,IF(S39="Parcial",0.5,0))+IF(T39="Sí",1,IF(T39="Parcial",0.5,0))+IF(U39="Sí",1,IF(U39="Parcial",0.5,0))</f>
        <v>0</v>
      </c>
      <c r="AP39" s="85">
        <f>IF(V39="Sí",1,IF(V39="Parcial",0.5,0))+IF(W39="Sí",1,IF(W39="Parcial",0.5,0))+IF(X39="Sí",1,IF(X39="Parcial",0.5,0))+IF(Y39="Sí",1,IF(Y39="Parcial",0.5,0))</f>
        <v>1</v>
      </c>
      <c r="AQ39" s="86">
        <f>IF(Z39="Sí",1,IF(Z39="Parcial",0.5,0))+IF(AA39="Sí",1,IF(AA39="Parcial",0.5,0))+IF(AB39="Sí",1,IF(AB39="Parcial",0.5,0))</f>
        <v>1</v>
      </c>
      <c r="AR39" s="87">
        <f>IF(AC39="Sí",1,IF(AC39="Parcial",0.5,0))+IF(AD39="Sí",1,IF(AD39="Parcial",0.5,0))+IF(AE39="Sí",1,IF(AE39="Parcial",0.5,0))</f>
        <v>0</v>
      </c>
      <c r="AS39" s="88">
        <f>IF(AF39="Sí",1,IF(AF39="Parcial",0.5,0))+IF(AG39="Sí",1,IF(AG39="Parcial",0.5,0))+IF(AH39="Sí",1,IF(AH39="Parcial",0.5,0))</f>
        <v>0</v>
      </c>
      <c r="AT39" s="89">
        <f>IF(AI39="Sí",1,IF(AI39="Parcial",0.5,0))+IF(AJ39="Sí",1,IF(AJ39="Parcial",0.5,0))+IF(AK39="Sí",1,IF(AK39="Parcial",0.5,0))</f>
        <v>0</v>
      </c>
      <c r="AU39" s="90">
        <f>SUM(AL39,AM39,AN39,AO39,AP39,AQ39,AR39,AS39,AT39)</f>
        <v>5</v>
      </c>
      <c r="AV39" s="225">
        <f>IFERROR(IF(OR(A39="",AU39=0),"",AU39/(IF(AL39&gt;0,1,0)+IF(AM39&gt;0,1,0)+IF(AN39&gt;0,1,0)+IF(AO39&gt;0,1,0)+IF(AP39&gt;0,1,0)+IF(AQ39&gt;0,1,0)+IF(AR39&gt;0,1,0)+IF(AS39&gt;0,1,0)+IF(AT39&gt;0,1,0))),"")</f>
        <v>1.6666666666666667</v>
      </c>
      <c r="AW39" s="225">
        <f>IFERROR(IF(OR(A39="",AU39=""),"",IF(AND(MAX($AU$8:$AU$156)=0,MAX($AV$8:$AV$156)=0),"",0.5*(AU39/MAX($AU$8:$AU$156))+0.5*(AV39/MAX($AV$8:$AV$156)))),"")</f>
        <v>0.48611111111111116</v>
      </c>
      <c r="AX39" s="79" t="str">
        <f>IF(A39="","",IF((IF(AL39&gt;=1,1,0)+IF(AM39&gt;=1,1,0)+IF(AN39&gt;=1,1,0)+IF(AO39&gt;=1,1,0)+IF(AP39&gt;=1,1,0)+IF(AQ39&gt;=1,1,0)+IF(AR39&gt;=1,1,0)+IF(AS39&gt;=1,1,0)+IF(AT39&gt;=1,1,0))&gt;=5,"Diversificado (5+ verticales)",IF((IF(AL39&gt;=1,1,0)+IF(AM39&gt;=1,1,0)+IF(AN39&gt;=1,1,0)+IF(AO39&gt;=1,1,0)+IF(AP39&gt;=1,1,0)+IF(AQ39&gt;=1,1,0)+IF(AR39&gt;=1,1,0)+IF(AS39&gt;=1,1,0)+IF(AT39&gt;=1,1,0))&gt;=3,"Multi-capacidad (3-4 verticales)",IF((IF(AL39&gt;=1,1,0)+IF(AM39&gt;=1,1,0)+IF(AN39&gt;=1,1,0)+IF(AO39&gt;=1,1,0)+IF(AP39&gt;=1,1,0)+IF(AQ39&gt;=1,1,0)+IF(AR39&gt;=1,1,0)+IF(AS39&gt;=1,1,0)+IF(AT39&gt;=1,1,0))&gt;=1,"Especialista (1-2 verticales)","Sin función mapeada"))))</f>
        <v>Multi-capacidad (3-4 verticales)</v>
      </c>
    </row>
    <row r="40" spans="1:50" ht="24" customHeight="1" x14ac:dyDescent="0.2">
      <c r="A40" s="48" t="s">
        <v>720</v>
      </c>
      <c r="B40" s="48" t="s">
        <v>721</v>
      </c>
      <c r="C40" s="78" t="str">
        <f>IF(A40="","",IFERROR(INDEX('UNIVERSO MAESTRO'!$C$6:$C$497,MATCH(A40,'UNIVERSO MAESTRO'!$A$6:$A$497,0)),"⚠ ID no encontrado"))</f>
        <v>Grupo Avalanz / Zignia (Guillermo Salinas Pliego)</v>
      </c>
      <c r="D40" s="79" t="str">
        <f>IF(A40="","",IFERROR(INDEX('UNIVERSO MAESTRO'!$D$6:$D$497,MATCH(A40,'UNIVERSO MAESTRO'!$A$6:$A$497,0)),""))</f>
        <v>V9</v>
      </c>
      <c r="E40" s="80" t="s">
        <v>353</v>
      </c>
      <c r="F40" s="80" t="s">
        <v>353</v>
      </c>
      <c r="G40" s="80" t="s">
        <v>353</v>
      </c>
      <c r="H40" s="80" t="s">
        <v>353</v>
      </c>
      <c r="I40" s="80" t="s">
        <v>353</v>
      </c>
      <c r="J40" s="80" t="s">
        <v>353</v>
      </c>
      <c r="K40" s="80" t="s">
        <v>353</v>
      </c>
      <c r="L40" s="80" t="s">
        <v>353</v>
      </c>
      <c r="M40" s="80" t="s">
        <v>353</v>
      </c>
      <c r="N40" s="80" t="s">
        <v>353</v>
      </c>
      <c r="O40" s="80" t="s">
        <v>353</v>
      </c>
      <c r="P40" s="80" t="s">
        <v>353</v>
      </c>
      <c r="Q40" s="80" t="s">
        <v>353</v>
      </c>
      <c r="R40" s="80" t="s">
        <v>353</v>
      </c>
      <c r="S40" s="80" t="s">
        <v>353</v>
      </c>
      <c r="T40" s="80" t="s">
        <v>353</v>
      </c>
      <c r="U40" s="80" t="s">
        <v>353</v>
      </c>
      <c r="V40" s="80" t="s">
        <v>353</v>
      </c>
      <c r="W40" s="80" t="s">
        <v>353</v>
      </c>
      <c r="X40" s="80" t="s">
        <v>353</v>
      </c>
      <c r="Y40" s="80" t="s">
        <v>353</v>
      </c>
      <c r="Z40" s="80" t="s">
        <v>1530</v>
      </c>
      <c r="AA40" s="80" t="s">
        <v>353</v>
      </c>
      <c r="AB40" s="80" t="s">
        <v>353</v>
      </c>
      <c r="AC40" s="80" t="s">
        <v>1530</v>
      </c>
      <c r="AD40" s="80" t="s">
        <v>1530</v>
      </c>
      <c r="AE40" s="80" t="s">
        <v>1530</v>
      </c>
      <c r="AF40" s="80" t="s">
        <v>353</v>
      </c>
      <c r="AG40" s="80" t="s">
        <v>353</v>
      </c>
      <c r="AH40" s="80" t="s">
        <v>353</v>
      </c>
      <c r="AI40" s="80" t="s">
        <v>1530</v>
      </c>
      <c r="AJ40" s="80" t="s">
        <v>353</v>
      </c>
      <c r="AK40" s="80" t="s">
        <v>353</v>
      </c>
      <c r="AL40" s="81">
        <f>IF(E40="Sí",1,IF(E40="Parcial",0.5,0))+IF(F40="Sí",1,IF(F40="Parcial",0.5,0))+IF(G40="Sí",1,IF(G40="Parcial",0.5,0))+IF(H40="Sí",1,IF(H40="Parcial",0.5,0))</f>
        <v>0</v>
      </c>
      <c r="AM40" s="82">
        <f>IF(I40="Sí",1,IF(I40="Parcial",0.5,0))+IF(J40="Sí",1,IF(J40="Parcial",0.5,0))+IF(K40="Sí",1,IF(K40="Parcial",0.5,0))</f>
        <v>0</v>
      </c>
      <c r="AN40" s="83">
        <f>IF(L40="Sí",1,IF(L40="Parcial",0.5,0))+IF(M40="Sí",1,IF(M40="Parcial",0.5,0))+IF(N40="Sí",1,IF(N40="Parcial",0.5,0))+IF(O40="Sí",1,IF(O40="Parcial",0.5,0))</f>
        <v>0</v>
      </c>
      <c r="AO40" s="84">
        <f>IF(P40="Sí",1,IF(P40="Parcial",0.5,0))+IF(Q40="Sí",1,IF(Q40="Parcial",0.5,0))+IF(R40="Sí",1,IF(R40="Parcial",0.5,0))+IF(S40="Sí",1,IF(S40="Parcial",0.5,0))+IF(T40="Sí",1,IF(T40="Parcial",0.5,0))+IF(U40="Sí",1,IF(U40="Parcial",0.5,0))</f>
        <v>0</v>
      </c>
      <c r="AP40" s="85">
        <f>IF(V40="Sí",1,IF(V40="Parcial",0.5,0))+IF(W40="Sí",1,IF(W40="Parcial",0.5,0))+IF(X40="Sí",1,IF(X40="Parcial",0.5,0))+IF(Y40="Sí",1,IF(Y40="Parcial",0.5,0))</f>
        <v>0</v>
      </c>
      <c r="AQ40" s="86">
        <f>IF(Z40="Sí",1,IF(Z40="Parcial",0.5,0))+IF(AA40="Sí",1,IF(AA40="Parcial",0.5,0))+IF(AB40="Sí",1,IF(AB40="Parcial",0.5,0))</f>
        <v>1</v>
      </c>
      <c r="AR40" s="87">
        <f>IF(AC40="Sí",1,IF(AC40="Parcial",0.5,0))+IF(AD40="Sí",1,IF(AD40="Parcial",0.5,0))+IF(AE40="Sí",1,IF(AE40="Parcial",0.5,0))</f>
        <v>3</v>
      </c>
      <c r="AS40" s="88">
        <f>IF(AF40="Sí",1,IF(AF40="Parcial",0.5,0))+IF(AG40="Sí",1,IF(AG40="Parcial",0.5,0))+IF(AH40="Sí",1,IF(AH40="Parcial",0.5,0))</f>
        <v>0</v>
      </c>
      <c r="AT40" s="89">
        <f>IF(AI40="Sí",1,IF(AI40="Parcial",0.5,0))+IF(AJ40="Sí",1,IF(AJ40="Parcial",0.5,0))+IF(AK40="Sí",1,IF(AK40="Parcial",0.5,0))</f>
        <v>1</v>
      </c>
      <c r="AU40" s="90">
        <f>SUM(AL40,AM40,AN40,AO40,AP40,AQ40,AR40,AS40,AT40)</f>
        <v>5</v>
      </c>
      <c r="AV40" s="225">
        <f>IFERROR(IF(OR(A40="",AU40=0),"",AU40/(IF(AL40&gt;0,1,0)+IF(AM40&gt;0,1,0)+IF(AN40&gt;0,1,0)+IF(AO40&gt;0,1,0)+IF(AP40&gt;0,1,0)+IF(AQ40&gt;0,1,0)+IF(AR40&gt;0,1,0)+IF(AS40&gt;0,1,0)+IF(AT40&gt;0,1,0))),"")</f>
        <v>1.6666666666666667</v>
      </c>
      <c r="AW40" s="225">
        <f>IFERROR(IF(OR(A40="",AU40=""),"",IF(AND(MAX($AU$8:$AU$156)=0,MAX($AV$8:$AV$156)=0),"",0.5*(AU40/MAX($AU$8:$AU$156))+0.5*(AV40/MAX($AV$8:$AV$156)))),"")</f>
        <v>0.48611111111111116</v>
      </c>
      <c r="AX40" s="79" t="str">
        <f>IF(A40="","",IF((IF(AL40&gt;=1,1,0)+IF(AM40&gt;=1,1,0)+IF(AN40&gt;=1,1,0)+IF(AO40&gt;=1,1,0)+IF(AP40&gt;=1,1,0)+IF(AQ40&gt;=1,1,0)+IF(AR40&gt;=1,1,0)+IF(AS40&gt;=1,1,0)+IF(AT40&gt;=1,1,0))&gt;=5,"Diversificado (5+ verticales)",IF((IF(AL40&gt;=1,1,0)+IF(AM40&gt;=1,1,0)+IF(AN40&gt;=1,1,0)+IF(AO40&gt;=1,1,0)+IF(AP40&gt;=1,1,0)+IF(AQ40&gt;=1,1,0)+IF(AR40&gt;=1,1,0)+IF(AS40&gt;=1,1,0)+IF(AT40&gt;=1,1,0))&gt;=3,"Multi-capacidad (3-4 verticales)",IF((IF(AL40&gt;=1,1,0)+IF(AM40&gt;=1,1,0)+IF(AN40&gt;=1,1,0)+IF(AO40&gt;=1,1,0)+IF(AP40&gt;=1,1,0)+IF(AQ40&gt;=1,1,0)+IF(AR40&gt;=1,1,0)+IF(AS40&gt;=1,1,0)+IF(AT40&gt;=1,1,0))&gt;=1,"Especialista (1-2 verticales)","Sin función mapeada"))))</f>
        <v>Multi-capacidad (3-4 verticales)</v>
      </c>
    </row>
    <row r="41" spans="1:50" ht="24" customHeight="1" x14ac:dyDescent="0.2">
      <c r="A41" s="48" t="s">
        <v>781</v>
      </c>
      <c r="B41" s="48" t="s">
        <v>782</v>
      </c>
      <c r="C41" s="78" t="str">
        <f>IF(A41="","",IFERROR(INDEX('UNIVERSO MAESTRO'!$C$6:$C$497,MATCH(A41,'UNIVERSO MAESTRO'!$A$6:$A$497,0)),"⚠ ID no encontrado"))</f>
        <v>Grupo Orlegi</v>
      </c>
      <c r="D41" s="79" t="str">
        <f>IF(A41="","",IFERROR(INDEX('UNIVERSO MAESTRO'!$D$6:$D$497,MATCH(A41,'UNIVERSO MAESTRO'!$A$6:$A$497,0)),""))</f>
        <v>V9</v>
      </c>
      <c r="E41" s="80" t="s">
        <v>1530</v>
      </c>
      <c r="F41" s="80" t="s">
        <v>353</v>
      </c>
      <c r="G41" s="80" t="s">
        <v>1530</v>
      </c>
      <c r="H41" s="80" t="s">
        <v>353</v>
      </c>
      <c r="I41" s="80" t="s">
        <v>353</v>
      </c>
      <c r="J41" s="80" t="s">
        <v>353</v>
      </c>
      <c r="K41" s="80" t="s">
        <v>353</v>
      </c>
      <c r="L41" s="80" t="s">
        <v>353</v>
      </c>
      <c r="M41" s="80" t="s">
        <v>353</v>
      </c>
      <c r="N41" s="80" t="s">
        <v>353</v>
      </c>
      <c r="O41" s="80" t="s">
        <v>353</v>
      </c>
      <c r="P41" s="80" t="s">
        <v>353</v>
      </c>
      <c r="Q41" s="80" t="s">
        <v>353</v>
      </c>
      <c r="R41" s="80" t="s">
        <v>353</v>
      </c>
      <c r="S41" s="80" t="s">
        <v>353</v>
      </c>
      <c r="T41" s="80" t="s">
        <v>353</v>
      </c>
      <c r="U41" s="80" t="s">
        <v>353</v>
      </c>
      <c r="V41" s="80" t="s">
        <v>353</v>
      </c>
      <c r="W41" s="80" t="s">
        <v>353</v>
      </c>
      <c r="X41" s="80" t="s">
        <v>353</v>
      </c>
      <c r="Y41" s="80" t="s">
        <v>353</v>
      </c>
      <c r="Z41" s="80" t="s">
        <v>353</v>
      </c>
      <c r="AA41" s="80" t="s">
        <v>353</v>
      </c>
      <c r="AB41" s="80" t="s">
        <v>353</v>
      </c>
      <c r="AC41" s="80" t="s">
        <v>1530</v>
      </c>
      <c r="AD41" s="80" t="s">
        <v>1530</v>
      </c>
      <c r="AE41" s="80" t="s">
        <v>353</v>
      </c>
      <c r="AF41" s="80" t="s">
        <v>353</v>
      </c>
      <c r="AG41" s="80" t="s">
        <v>353</v>
      </c>
      <c r="AH41" s="80" t="s">
        <v>353</v>
      </c>
      <c r="AI41" s="80" t="s">
        <v>1530</v>
      </c>
      <c r="AJ41" s="80" t="s">
        <v>353</v>
      </c>
      <c r="AK41" s="80" t="s">
        <v>353</v>
      </c>
      <c r="AL41" s="81">
        <f>IF(E41="Sí",1,IF(E41="Parcial",0.5,0))+IF(F41="Sí",1,IF(F41="Parcial",0.5,0))+IF(G41="Sí",1,IF(G41="Parcial",0.5,0))+IF(H41="Sí",1,IF(H41="Parcial",0.5,0))</f>
        <v>2</v>
      </c>
      <c r="AM41" s="82">
        <f>IF(I41="Sí",1,IF(I41="Parcial",0.5,0))+IF(J41="Sí",1,IF(J41="Parcial",0.5,0))+IF(K41="Sí",1,IF(K41="Parcial",0.5,0))</f>
        <v>0</v>
      </c>
      <c r="AN41" s="83">
        <f>IF(L41="Sí",1,IF(L41="Parcial",0.5,0))+IF(M41="Sí",1,IF(M41="Parcial",0.5,0))+IF(N41="Sí",1,IF(N41="Parcial",0.5,0))+IF(O41="Sí",1,IF(O41="Parcial",0.5,0))</f>
        <v>0</v>
      </c>
      <c r="AO41" s="84">
        <f>IF(P41="Sí",1,IF(P41="Parcial",0.5,0))+IF(Q41="Sí",1,IF(Q41="Parcial",0.5,0))+IF(R41="Sí",1,IF(R41="Parcial",0.5,0))+IF(S41="Sí",1,IF(S41="Parcial",0.5,0))+IF(T41="Sí",1,IF(T41="Parcial",0.5,0))+IF(U41="Sí",1,IF(U41="Parcial",0.5,0))</f>
        <v>0</v>
      </c>
      <c r="AP41" s="85">
        <f>IF(V41="Sí",1,IF(V41="Parcial",0.5,0))+IF(W41="Sí",1,IF(W41="Parcial",0.5,0))+IF(X41="Sí",1,IF(X41="Parcial",0.5,0))+IF(Y41="Sí",1,IF(Y41="Parcial",0.5,0))</f>
        <v>0</v>
      </c>
      <c r="AQ41" s="86">
        <f>IF(Z41="Sí",1,IF(Z41="Parcial",0.5,0))+IF(AA41="Sí",1,IF(AA41="Parcial",0.5,0))+IF(AB41="Sí",1,IF(AB41="Parcial",0.5,0))</f>
        <v>0</v>
      </c>
      <c r="AR41" s="87">
        <f>IF(AC41="Sí",1,IF(AC41="Parcial",0.5,0))+IF(AD41="Sí",1,IF(AD41="Parcial",0.5,0))+IF(AE41="Sí",1,IF(AE41="Parcial",0.5,0))</f>
        <v>2</v>
      </c>
      <c r="AS41" s="88">
        <f>IF(AF41="Sí",1,IF(AF41="Parcial",0.5,0))+IF(AG41="Sí",1,IF(AG41="Parcial",0.5,0))+IF(AH41="Sí",1,IF(AH41="Parcial",0.5,0))</f>
        <v>0</v>
      </c>
      <c r="AT41" s="89">
        <f>IF(AI41="Sí",1,IF(AI41="Parcial",0.5,0))+IF(AJ41="Sí",1,IF(AJ41="Parcial",0.5,0))+IF(AK41="Sí",1,IF(AK41="Parcial",0.5,0))</f>
        <v>1</v>
      </c>
      <c r="AU41" s="90">
        <f>SUM(AL41,AM41,AN41,AO41,AP41,AQ41,AR41,AS41,AT41)</f>
        <v>5</v>
      </c>
      <c r="AV41" s="225">
        <f>IFERROR(IF(OR(A41="",AU41=0),"",AU41/(IF(AL41&gt;0,1,0)+IF(AM41&gt;0,1,0)+IF(AN41&gt;0,1,0)+IF(AO41&gt;0,1,0)+IF(AP41&gt;0,1,0)+IF(AQ41&gt;0,1,0)+IF(AR41&gt;0,1,0)+IF(AS41&gt;0,1,0)+IF(AT41&gt;0,1,0))),"")</f>
        <v>1.6666666666666667</v>
      </c>
      <c r="AW41" s="225">
        <f>IFERROR(IF(OR(A41="",AU41=""),"",IF(AND(MAX($AU$8:$AU$156)=0,MAX($AV$8:$AV$156)=0),"",0.5*(AU41/MAX($AU$8:$AU$156))+0.5*(AV41/MAX($AV$8:$AV$156)))),"")</f>
        <v>0.48611111111111116</v>
      </c>
      <c r="AX41" s="79" t="str">
        <f>IF(A41="","",IF((IF(AL41&gt;=1,1,0)+IF(AM41&gt;=1,1,0)+IF(AN41&gt;=1,1,0)+IF(AO41&gt;=1,1,0)+IF(AP41&gt;=1,1,0)+IF(AQ41&gt;=1,1,0)+IF(AR41&gt;=1,1,0)+IF(AS41&gt;=1,1,0)+IF(AT41&gt;=1,1,0))&gt;=5,"Diversificado (5+ verticales)",IF((IF(AL41&gt;=1,1,0)+IF(AM41&gt;=1,1,0)+IF(AN41&gt;=1,1,0)+IF(AO41&gt;=1,1,0)+IF(AP41&gt;=1,1,0)+IF(AQ41&gt;=1,1,0)+IF(AR41&gt;=1,1,0)+IF(AS41&gt;=1,1,0)+IF(AT41&gt;=1,1,0))&gt;=3,"Multi-capacidad (3-4 verticales)",IF((IF(AL41&gt;=1,1,0)+IF(AM41&gt;=1,1,0)+IF(AN41&gt;=1,1,0)+IF(AO41&gt;=1,1,0)+IF(AP41&gt;=1,1,0)+IF(AQ41&gt;=1,1,0)+IF(AR41&gt;=1,1,0)+IF(AS41&gt;=1,1,0)+IF(AT41&gt;=1,1,0))&gt;=1,"Especialista (1-2 verticales)","Sin función mapeada"))))</f>
        <v>Multi-capacidad (3-4 verticales)</v>
      </c>
    </row>
    <row r="42" spans="1:50" ht="24" customHeight="1" x14ac:dyDescent="0.2">
      <c r="A42" s="48" t="s">
        <v>832</v>
      </c>
      <c r="B42" s="48" t="s">
        <v>833</v>
      </c>
      <c r="C42" s="78" t="str">
        <f>IF(A42="","",IFERROR(INDEX('UNIVERSO MAESTRO'!$C$6:$C$497,MATCH(A42,'UNIVERSO MAESTRO'!$A$6:$A$497,0)),"⚠ ID no encontrado"))</f>
        <v>GS Sports Management</v>
      </c>
      <c r="D42" s="79" t="str">
        <f>IF(A42="","",IFERROR(INDEX('UNIVERSO MAESTRO'!$D$6:$D$497,MATCH(A42,'UNIVERSO MAESTRO'!$A$6:$A$497,0)),""))</f>
        <v>V5</v>
      </c>
      <c r="E42" s="80" t="s">
        <v>1530</v>
      </c>
      <c r="F42" s="80" t="s">
        <v>1530</v>
      </c>
      <c r="G42" s="80" t="s">
        <v>1530</v>
      </c>
      <c r="H42" s="80" t="s">
        <v>353</v>
      </c>
      <c r="I42" s="80" t="s">
        <v>353</v>
      </c>
      <c r="J42" s="80" t="s">
        <v>353</v>
      </c>
      <c r="K42" s="80" t="s">
        <v>3340</v>
      </c>
      <c r="L42" s="80" t="s">
        <v>353</v>
      </c>
      <c r="M42" s="80" t="s">
        <v>353</v>
      </c>
      <c r="N42" s="80" t="s">
        <v>353</v>
      </c>
      <c r="O42" s="80" t="s">
        <v>353</v>
      </c>
      <c r="P42" s="80" t="s">
        <v>353</v>
      </c>
      <c r="Q42" s="80" t="s">
        <v>353</v>
      </c>
      <c r="R42" s="80" t="s">
        <v>353</v>
      </c>
      <c r="S42" s="80" t="s">
        <v>353</v>
      </c>
      <c r="T42" s="80" t="s">
        <v>353</v>
      </c>
      <c r="U42" s="80" t="s">
        <v>353</v>
      </c>
      <c r="V42" s="80" t="s">
        <v>1530</v>
      </c>
      <c r="W42" s="80" t="s">
        <v>3340</v>
      </c>
      <c r="X42" s="80" t="s">
        <v>353</v>
      </c>
      <c r="Y42" s="80" t="s">
        <v>353</v>
      </c>
      <c r="Z42" s="80" t="s">
        <v>353</v>
      </c>
      <c r="AA42" s="80" t="s">
        <v>353</v>
      </c>
      <c r="AB42" s="80" t="s">
        <v>353</v>
      </c>
      <c r="AC42" s="80" t="s">
        <v>353</v>
      </c>
      <c r="AD42" s="80" t="s">
        <v>353</v>
      </c>
      <c r="AE42" s="80" t="s">
        <v>353</v>
      </c>
      <c r="AF42" s="80" t="s">
        <v>353</v>
      </c>
      <c r="AG42" s="80" t="s">
        <v>353</v>
      </c>
      <c r="AH42" s="80" t="s">
        <v>353</v>
      </c>
      <c r="AI42" s="80" t="s">
        <v>353</v>
      </c>
      <c r="AJ42" s="80" t="s">
        <v>353</v>
      </c>
      <c r="AK42" s="80" t="s">
        <v>353</v>
      </c>
      <c r="AL42" s="81">
        <f>IF(E42="Sí",1,IF(E42="Parcial",0.5,0))+IF(F42="Sí",1,IF(F42="Parcial",0.5,0))+IF(G42="Sí",1,IF(G42="Parcial",0.5,0))+IF(H42="Sí",1,IF(H42="Parcial",0.5,0))</f>
        <v>3</v>
      </c>
      <c r="AM42" s="82">
        <f>IF(I42="Sí",1,IF(I42="Parcial",0.5,0))+IF(J42="Sí",1,IF(J42="Parcial",0.5,0))+IF(K42="Sí",1,IF(K42="Parcial",0.5,0))</f>
        <v>0.5</v>
      </c>
      <c r="AN42" s="83">
        <f>IF(L42="Sí",1,IF(L42="Parcial",0.5,0))+IF(M42="Sí",1,IF(M42="Parcial",0.5,0))+IF(N42="Sí",1,IF(N42="Parcial",0.5,0))+IF(O42="Sí",1,IF(O42="Parcial",0.5,0))</f>
        <v>0</v>
      </c>
      <c r="AO42" s="84">
        <f>IF(P42="Sí",1,IF(P42="Parcial",0.5,0))+IF(Q42="Sí",1,IF(Q42="Parcial",0.5,0))+IF(R42="Sí",1,IF(R42="Parcial",0.5,0))+IF(S42="Sí",1,IF(S42="Parcial",0.5,0))+IF(T42="Sí",1,IF(T42="Parcial",0.5,0))+IF(U42="Sí",1,IF(U42="Parcial",0.5,0))</f>
        <v>0</v>
      </c>
      <c r="AP42" s="85">
        <f>IF(V42="Sí",1,IF(V42="Parcial",0.5,0))+IF(W42="Sí",1,IF(W42="Parcial",0.5,0))+IF(X42="Sí",1,IF(X42="Parcial",0.5,0))+IF(Y42="Sí",1,IF(Y42="Parcial",0.5,0))</f>
        <v>1.5</v>
      </c>
      <c r="AQ42" s="86">
        <f>IF(Z42="Sí",1,IF(Z42="Parcial",0.5,0))+IF(AA42="Sí",1,IF(AA42="Parcial",0.5,0))+IF(AB42="Sí",1,IF(AB42="Parcial",0.5,0))</f>
        <v>0</v>
      </c>
      <c r="AR42" s="87">
        <f>IF(AC42="Sí",1,IF(AC42="Parcial",0.5,0))+IF(AD42="Sí",1,IF(AD42="Parcial",0.5,0))+IF(AE42="Sí",1,IF(AE42="Parcial",0.5,0))</f>
        <v>0</v>
      </c>
      <c r="AS42" s="88">
        <f>IF(AF42="Sí",1,IF(AF42="Parcial",0.5,0))+IF(AG42="Sí",1,IF(AG42="Parcial",0.5,0))+IF(AH42="Sí",1,IF(AH42="Parcial",0.5,0))</f>
        <v>0</v>
      </c>
      <c r="AT42" s="89">
        <f>IF(AI42="Sí",1,IF(AI42="Parcial",0.5,0))+IF(AJ42="Sí",1,IF(AJ42="Parcial",0.5,0))+IF(AK42="Sí",1,IF(AK42="Parcial",0.5,0))</f>
        <v>0</v>
      </c>
      <c r="AU42" s="90">
        <f>SUM(AL42,AM42,AN42,AO42,AP42,AQ42,AR42,AS42,AT42)</f>
        <v>5</v>
      </c>
      <c r="AV42" s="225">
        <f>IFERROR(IF(OR(A42="",AU42=0),"",AU42/(IF(AL42&gt;0,1,0)+IF(AM42&gt;0,1,0)+IF(AN42&gt;0,1,0)+IF(AO42&gt;0,1,0)+IF(AP42&gt;0,1,0)+IF(AQ42&gt;0,1,0)+IF(AR42&gt;0,1,0)+IF(AS42&gt;0,1,0)+IF(AT42&gt;0,1,0))),"")</f>
        <v>1.6666666666666667</v>
      </c>
      <c r="AW42" s="225">
        <f>IFERROR(IF(OR(A42="",AU42=""),"",IF(AND(MAX($AU$8:$AU$156)=0,MAX($AV$8:$AV$156)=0),"",0.5*(AU42/MAX($AU$8:$AU$156))+0.5*(AV42/MAX($AV$8:$AV$156)))),"")</f>
        <v>0.48611111111111116</v>
      </c>
      <c r="AX42" s="79" t="str">
        <f>IF(A42="","",IF((IF(AL42&gt;=1,1,0)+IF(AM42&gt;=1,1,0)+IF(AN42&gt;=1,1,0)+IF(AO42&gt;=1,1,0)+IF(AP42&gt;=1,1,0)+IF(AQ42&gt;=1,1,0)+IF(AR42&gt;=1,1,0)+IF(AS42&gt;=1,1,0)+IF(AT42&gt;=1,1,0))&gt;=5,"Diversificado (5+ verticales)",IF((IF(AL42&gt;=1,1,0)+IF(AM42&gt;=1,1,0)+IF(AN42&gt;=1,1,0)+IF(AO42&gt;=1,1,0)+IF(AP42&gt;=1,1,0)+IF(AQ42&gt;=1,1,0)+IF(AR42&gt;=1,1,0)+IF(AS42&gt;=1,1,0)+IF(AT42&gt;=1,1,0))&gt;=3,"Multi-capacidad (3-4 verticales)",IF((IF(AL42&gt;=1,1,0)+IF(AM42&gt;=1,1,0)+IF(AN42&gt;=1,1,0)+IF(AO42&gt;=1,1,0)+IF(AP42&gt;=1,1,0)+IF(AQ42&gt;=1,1,0)+IF(AR42&gt;=1,1,0)+IF(AS42&gt;=1,1,0)+IF(AT42&gt;=1,1,0))&gt;=1,"Especialista (1-2 verticales)","Sin función mapeada"))))</f>
        <v>Especialista (1-2 verticales)</v>
      </c>
    </row>
    <row r="43" spans="1:50" ht="24" customHeight="1" x14ac:dyDescent="0.2">
      <c r="A43" s="48" t="s">
        <v>902</v>
      </c>
      <c r="B43" s="48" t="s">
        <v>903</v>
      </c>
      <c r="C43" s="78" t="str">
        <f>IF(A43="","",IFERROR(INDEX('UNIVERSO MAESTRO'!$C$6:$C$497,MATCH(A43,'UNIVERSO MAESTRO'!$A$6:$A$497,0)),"⚠ ID no encontrado"))</f>
        <v>Innovatio Capital / Club Querétaro</v>
      </c>
      <c r="D43" s="79" t="str">
        <f>IF(A43="","",IFERROR(INDEX('UNIVERSO MAESTRO'!$D$6:$D$497,MATCH(A43,'UNIVERSO MAESTRO'!$A$6:$A$497,0)),""))</f>
        <v>V9</v>
      </c>
      <c r="E43" s="80" t="s">
        <v>1530</v>
      </c>
      <c r="F43" s="80" t="s">
        <v>353</v>
      </c>
      <c r="G43" s="80" t="s">
        <v>1530</v>
      </c>
      <c r="H43" s="80" t="s">
        <v>353</v>
      </c>
      <c r="I43" s="80" t="s">
        <v>353</v>
      </c>
      <c r="J43" s="80" t="s">
        <v>353</v>
      </c>
      <c r="K43" s="80" t="s">
        <v>353</v>
      </c>
      <c r="L43" s="80" t="s">
        <v>353</v>
      </c>
      <c r="M43" s="80" t="s">
        <v>353</v>
      </c>
      <c r="N43" s="80" t="s">
        <v>353</v>
      </c>
      <c r="O43" s="80" t="s">
        <v>353</v>
      </c>
      <c r="P43" s="80" t="s">
        <v>353</v>
      </c>
      <c r="Q43" s="80" t="s">
        <v>353</v>
      </c>
      <c r="R43" s="80" t="s">
        <v>353</v>
      </c>
      <c r="S43" s="80" t="s">
        <v>353</v>
      </c>
      <c r="T43" s="80" t="s">
        <v>353</v>
      </c>
      <c r="U43" s="80" t="s">
        <v>353</v>
      </c>
      <c r="V43" s="80" t="s">
        <v>353</v>
      </c>
      <c r="W43" s="80" t="s">
        <v>353</v>
      </c>
      <c r="X43" s="80" t="s">
        <v>353</v>
      </c>
      <c r="Y43" s="80" t="s">
        <v>353</v>
      </c>
      <c r="Z43" s="80" t="s">
        <v>353</v>
      </c>
      <c r="AA43" s="80" t="s">
        <v>353</v>
      </c>
      <c r="AB43" s="80" t="s">
        <v>353</v>
      </c>
      <c r="AC43" s="80" t="s">
        <v>1530</v>
      </c>
      <c r="AD43" s="80" t="s">
        <v>1530</v>
      </c>
      <c r="AE43" s="80" t="s">
        <v>353</v>
      </c>
      <c r="AF43" s="80" t="s">
        <v>353</v>
      </c>
      <c r="AG43" s="80" t="s">
        <v>353</v>
      </c>
      <c r="AH43" s="80" t="s">
        <v>353</v>
      </c>
      <c r="AI43" s="80" t="s">
        <v>1530</v>
      </c>
      <c r="AJ43" s="80" t="s">
        <v>353</v>
      </c>
      <c r="AK43" s="80" t="s">
        <v>353</v>
      </c>
      <c r="AL43" s="81">
        <f>IF(E43="Sí",1,IF(E43="Parcial",0.5,0))+IF(F43="Sí",1,IF(F43="Parcial",0.5,0))+IF(G43="Sí",1,IF(G43="Parcial",0.5,0))+IF(H43="Sí",1,IF(H43="Parcial",0.5,0))</f>
        <v>2</v>
      </c>
      <c r="AM43" s="82">
        <f>IF(I43="Sí",1,IF(I43="Parcial",0.5,0))+IF(J43="Sí",1,IF(J43="Parcial",0.5,0))+IF(K43="Sí",1,IF(K43="Parcial",0.5,0))</f>
        <v>0</v>
      </c>
      <c r="AN43" s="83">
        <f>IF(L43="Sí",1,IF(L43="Parcial",0.5,0))+IF(M43="Sí",1,IF(M43="Parcial",0.5,0))+IF(N43="Sí",1,IF(N43="Parcial",0.5,0))+IF(O43="Sí",1,IF(O43="Parcial",0.5,0))</f>
        <v>0</v>
      </c>
      <c r="AO43" s="84">
        <f>IF(P43="Sí",1,IF(P43="Parcial",0.5,0))+IF(Q43="Sí",1,IF(Q43="Parcial",0.5,0))+IF(R43="Sí",1,IF(R43="Parcial",0.5,0))+IF(S43="Sí",1,IF(S43="Parcial",0.5,0))+IF(T43="Sí",1,IF(T43="Parcial",0.5,0))+IF(U43="Sí",1,IF(U43="Parcial",0.5,0))</f>
        <v>0</v>
      </c>
      <c r="AP43" s="85">
        <f>IF(V43="Sí",1,IF(V43="Parcial",0.5,0))+IF(W43="Sí",1,IF(W43="Parcial",0.5,0))+IF(X43="Sí",1,IF(X43="Parcial",0.5,0))+IF(Y43="Sí",1,IF(Y43="Parcial",0.5,0))</f>
        <v>0</v>
      </c>
      <c r="AQ43" s="86">
        <f>IF(Z43="Sí",1,IF(Z43="Parcial",0.5,0))+IF(AA43="Sí",1,IF(AA43="Parcial",0.5,0))+IF(AB43="Sí",1,IF(AB43="Parcial",0.5,0))</f>
        <v>0</v>
      </c>
      <c r="AR43" s="87">
        <f>IF(AC43="Sí",1,IF(AC43="Parcial",0.5,0))+IF(AD43="Sí",1,IF(AD43="Parcial",0.5,0))+IF(AE43="Sí",1,IF(AE43="Parcial",0.5,0))</f>
        <v>2</v>
      </c>
      <c r="AS43" s="88">
        <f>IF(AF43="Sí",1,IF(AF43="Parcial",0.5,0))+IF(AG43="Sí",1,IF(AG43="Parcial",0.5,0))+IF(AH43="Sí",1,IF(AH43="Parcial",0.5,0))</f>
        <v>0</v>
      </c>
      <c r="AT43" s="89">
        <f>IF(AI43="Sí",1,IF(AI43="Parcial",0.5,0))+IF(AJ43="Sí",1,IF(AJ43="Parcial",0.5,0))+IF(AK43="Sí",1,IF(AK43="Parcial",0.5,0))</f>
        <v>1</v>
      </c>
      <c r="AU43" s="90">
        <f>SUM(AL43,AM43,AN43,AO43,AP43,AQ43,AR43,AS43,AT43)</f>
        <v>5</v>
      </c>
      <c r="AV43" s="225">
        <f>IFERROR(IF(OR(A43="",AU43=0),"",AU43/(IF(AL43&gt;0,1,0)+IF(AM43&gt;0,1,0)+IF(AN43&gt;0,1,0)+IF(AO43&gt;0,1,0)+IF(AP43&gt;0,1,0)+IF(AQ43&gt;0,1,0)+IF(AR43&gt;0,1,0)+IF(AS43&gt;0,1,0)+IF(AT43&gt;0,1,0))),"")</f>
        <v>1.6666666666666667</v>
      </c>
      <c r="AW43" s="225">
        <f>IFERROR(IF(OR(A43="",AU43=""),"",IF(AND(MAX($AU$8:$AU$156)=0,MAX($AV$8:$AV$156)=0),"",0.5*(AU43/MAX($AU$8:$AU$156))+0.5*(AV43/MAX($AV$8:$AV$156)))),"")</f>
        <v>0.48611111111111116</v>
      </c>
      <c r="AX43" s="79" t="str">
        <f>IF(A43="","",IF((IF(AL43&gt;=1,1,0)+IF(AM43&gt;=1,1,0)+IF(AN43&gt;=1,1,0)+IF(AO43&gt;=1,1,0)+IF(AP43&gt;=1,1,0)+IF(AQ43&gt;=1,1,0)+IF(AR43&gt;=1,1,0)+IF(AS43&gt;=1,1,0)+IF(AT43&gt;=1,1,0))&gt;=5,"Diversificado (5+ verticales)",IF((IF(AL43&gt;=1,1,0)+IF(AM43&gt;=1,1,0)+IF(AN43&gt;=1,1,0)+IF(AO43&gt;=1,1,0)+IF(AP43&gt;=1,1,0)+IF(AQ43&gt;=1,1,0)+IF(AR43&gt;=1,1,0)+IF(AS43&gt;=1,1,0)+IF(AT43&gt;=1,1,0))&gt;=3,"Multi-capacidad (3-4 verticales)",IF((IF(AL43&gt;=1,1,0)+IF(AM43&gt;=1,1,0)+IF(AN43&gt;=1,1,0)+IF(AO43&gt;=1,1,0)+IF(AP43&gt;=1,1,0)+IF(AQ43&gt;=1,1,0)+IF(AR43&gt;=1,1,0)+IF(AS43&gt;=1,1,0)+IF(AT43&gt;=1,1,0))&gt;=1,"Especialista (1-2 verticales)","Sin función mapeada"))))</f>
        <v>Multi-capacidad (3-4 verticales)</v>
      </c>
    </row>
    <row r="44" spans="1:50" ht="24" customHeight="1" x14ac:dyDescent="0.2">
      <c r="A44" s="48" t="s">
        <v>424</v>
      </c>
      <c r="B44" s="48" t="s">
        <v>425</v>
      </c>
      <c r="C44" s="78" t="str">
        <f>IF(A44="","",IFERROR(INDEX('UNIVERSO MAESTRO'!$C$6:$C$497,MATCH(A44,'UNIVERSO MAESTRO'!$A$6:$A$497,0)),"⚠ ID no encontrado"))</f>
        <v>Club Toluca</v>
      </c>
      <c r="D44" s="79" t="str">
        <f>IF(A44="","",IFERROR(INDEX('UNIVERSO MAESTRO'!$D$6:$D$497,MATCH(A44,'UNIVERSO MAESTRO'!$A$6:$A$497,0)),""))</f>
        <v>V1</v>
      </c>
      <c r="E44" s="80" t="s">
        <v>1530</v>
      </c>
      <c r="F44" s="80" t="s">
        <v>353</v>
      </c>
      <c r="G44" s="80" t="s">
        <v>1530</v>
      </c>
      <c r="H44" s="80" t="s">
        <v>353</v>
      </c>
      <c r="I44" s="80" t="s">
        <v>353</v>
      </c>
      <c r="J44" s="80" t="s">
        <v>353</v>
      </c>
      <c r="K44" s="80" t="s">
        <v>353</v>
      </c>
      <c r="L44" s="80" t="s">
        <v>353</v>
      </c>
      <c r="M44" s="80" t="s">
        <v>353</v>
      </c>
      <c r="N44" s="80" t="s">
        <v>353</v>
      </c>
      <c r="O44" s="80" t="s">
        <v>353</v>
      </c>
      <c r="P44" s="80" t="s">
        <v>353</v>
      </c>
      <c r="Q44" s="80" t="s">
        <v>353</v>
      </c>
      <c r="R44" s="80" t="s">
        <v>353</v>
      </c>
      <c r="S44" s="80" t="s">
        <v>353</v>
      </c>
      <c r="T44" s="80" t="s">
        <v>353</v>
      </c>
      <c r="U44" s="80" t="s">
        <v>353</v>
      </c>
      <c r="V44" s="80" t="s">
        <v>353</v>
      </c>
      <c r="W44" s="80" t="s">
        <v>353</v>
      </c>
      <c r="X44" s="80" t="s">
        <v>353</v>
      </c>
      <c r="Y44" s="80" t="s">
        <v>353</v>
      </c>
      <c r="Z44" s="80" t="s">
        <v>353</v>
      </c>
      <c r="AA44" s="80" t="s">
        <v>353</v>
      </c>
      <c r="AB44" s="80" t="s">
        <v>353</v>
      </c>
      <c r="AC44" s="80" t="s">
        <v>1530</v>
      </c>
      <c r="AD44" s="80" t="s">
        <v>1530</v>
      </c>
      <c r="AE44" s="80" t="s">
        <v>353</v>
      </c>
      <c r="AF44" s="80" t="s">
        <v>353</v>
      </c>
      <c r="AG44" s="80" t="s">
        <v>353</v>
      </c>
      <c r="AH44" s="80" t="s">
        <v>353</v>
      </c>
      <c r="AI44" s="80" t="s">
        <v>353</v>
      </c>
      <c r="AJ44" s="80" t="s">
        <v>353</v>
      </c>
      <c r="AK44" s="80" t="s">
        <v>353</v>
      </c>
      <c r="AL44" s="81">
        <f>IF(E44="Sí",1,IF(E44="Parcial",0.5,0))+IF(F44="Sí",1,IF(F44="Parcial",0.5,0))+IF(G44="Sí",1,IF(G44="Parcial",0.5,0))+IF(H44="Sí",1,IF(H44="Parcial",0.5,0))</f>
        <v>2</v>
      </c>
      <c r="AM44" s="82">
        <f>IF(I44="Sí",1,IF(I44="Parcial",0.5,0))+IF(J44="Sí",1,IF(J44="Parcial",0.5,0))+IF(K44="Sí",1,IF(K44="Parcial",0.5,0))</f>
        <v>0</v>
      </c>
      <c r="AN44" s="83">
        <f>IF(L44="Sí",1,IF(L44="Parcial",0.5,0))+IF(M44="Sí",1,IF(M44="Parcial",0.5,0))+IF(N44="Sí",1,IF(N44="Parcial",0.5,0))+IF(O44="Sí",1,IF(O44="Parcial",0.5,0))</f>
        <v>0</v>
      </c>
      <c r="AO44" s="84">
        <f>IF(P44="Sí",1,IF(P44="Parcial",0.5,0))+IF(Q44="Sí",1,IF(Q44="Parcial",0.5,0))+IF(R44="Sí",1,IF(R44="Parcial",0.5,0))+IF(S44="Sí",1,IF(S44="Parcial",0.5,0))+IF(T44="Sí",1,IF(T44="Parcial",0.5,0))+IF(U44="Sí",1,IF(U44="Parcial",0.5,0))</f>
        <v>0</v>
      </c>
      <c r="AP44" s="85">
        <f>IF(V44="Sí",1,IF(V44="Parcial",0.5,0))+IF(W44="Sí",1,IF(W44="Parcial",0.5,0))+IF(X44="Sí",1,IF(X44="Parcial",0.5,0))+IF(Y44="Sí",1,IF(Y44="Parcial",0.5,0))</f>
        <v>0</v>
      </c>
      <c r="AQ44" s="86">
        <f>IF(Z44="Sí",1,IF(Z44="Parcial",0.5,0))+IF(AA44="Sí",1,IF(AA44="Parcial",0.5,0))+IF(AB44="Sí",1,IF(AB44="Parcial",0.5,0))</f>
        <v>0</v>
      </c>
      <c r="AR44" s="87">
        <f>IF(AC44="Sí",1,IF(AC44="Parcial",0.5,0))+IF(AD44="Sí",1,IF(AD44="Parcial",0.5,0))+IF(AE44="Sí",1,IF(AE44="Parcial",0.5,0))</f>
        <v>2</v>
      </c>
      <c r="AS44" s="88">
        <f>IF(AF44="Sí",1,IF(AF44="Parcial",0.5,0))+IF(AG44="Sí",1,IF(AG44="Parcial",0.5,0))+IF(AH44="Sí",1,IF(AH44="Parcial",0.5,0))</f>
        <v>0</v>
      </c>
      <c r="AT44" s="89">
        <f>IF(AI44="Sí",1,IF(AI44="Parcial",0.5,0))+IF(AJ44="Sí",1,IF(AJ44="Parcial",0.5,0))+IF(AK44="Sí",1,IF(AK44="Parcial",0.5,0))</f>
        <v>0</v>
      </c>
      <c r="AU44" s="90">
        <f>SUM(AL44,AM44,AN44,AO44,AP44,AQ44,AR44,AS44,AT44)</f>
        <v>4</v>
      </c>
      <c r="AV44" s="225">
        <f>IFERROR(IF(OR(A44="",AU44=0),"",AU44/(IF(AL44&gt;0,1,0)+IF(AM44&gt;0,1,0)+IF(AN44&gt;0,1,0)+IF(AO44&gt;0,1,0)+IF(AP44&gt;0,1,0)+IF(AQ44&gt;0,1,0)+IF(AR44&gt;0,1,0)+IF(AS44&gt;0,1,0)+IF(AT44&gt;0,1,0))),"")</f>
        <v>2</v>
      </c>
      <c r="AW44" s="225">
        <f>IFERROR(IF(OR(A44="",AU44=""),"",IF(AND(MAX($AU$8:$AU$156)=0,MAX($AV$8:$AV$156)=0),"",0.5*(AU44/MAX($AU$8:$AU$156))+0.5*(AV44/MAX($AV$8:$AV$156)))),"")</f>
        <v>0.47222222222222221</v>
      </c>
      <c r="AX44" s="79" t="str">
        <f>IF(A44="","",IF((IF(AL44&gt;=1,1,0)+IF(AM44&gt;=1,1,0)+IF(AN44&gt;=1,1,0)+IF(AO44&gt;=1,1,0)+IF(AP44&gt;=1,1,0)+IF(AQ44&gt;=1,1,0)+IF(AR44&gt;=1,1,0)+IF(AS44&gt;=1,1,0)+IF(AT44&gt;=1,1,0))&gt;=5,"Diversificado (5+ verticales)",IF((IF(AL44&gt;=1,1,0)+IF(AM44&gt;=1,1,0)+IF(AN44&gt;=1,1,0)+IF(AO44&gt;=1,1,0)+IF(AP44&gt;=1,1,0)+IF(AQ44&gt;=1,1,0)+IF(AR44&gt;=1,1,0)+IF(AS44&gt;=1,1,0)+IF(AT44&gt;=1,1,0))&gt;=3,"Multi-capacidad (3-4 verticales)",IF((IF(AL44&gt;=1,1,0)+IF(AM44&gt;=1,1,0)+IF(AN44&gt;=1,1,0)+IF(AO44&gt;=1,1,0)+IF(AP44&gt;=1,1,0)+IF(AQ44&gt;=1,1,0)+IF(AR44&gt;=1,1,0)+IF(AS44&gt;=1,1,0)+IF(AT44&gt;=1,1,0))&gt;=1,"Especialista (1-2 verticales)","Sin función mapeada"))))</f>
        <v>Especialista (1-2 verticales)</v>
      </c>
    </row>
    <row r="45" spans="1:50" ht="24" customHeight="1" x14ac:dyDescent="0.2">
      <c r="A45" s="48" t="s">
        <v>471</v>
      </c>
      <c r="B45" s="48" t="s">
        <v>472</v>
      </c>
      <c r="C45" s="78" t="str">
        <f>IF(A45="","",IFERROR(INDEX('UNIVERSO MAESTRO'!$C$6:$C$497,MATCH(A45,'UNIVERSO MAESTRO'!$A$6:$A$497,0)),"⚠ ID no encontrado"))</f>
        <v>Copa Mundial FIFA 2026 en México</v>
      </c>
      <c r="D45" s="79" t="str">
        <f>IF(A45="","",IFERROR(INDEX('UNIVERSO MAESTRO'!$D$6:$D$497,MATCH(A45,'UNIVERSO MAESTRO'!$A$6:$A$497,0)),""))</f>
        <v>V1</v>
      </c>
      <c r="E45" s="80" t="s">
        <v>1530</v>
      </c>
      <c r="F45" s="80" t="s">
        <v>1530</v>
      </c>
      <c r="G45" s="80" t="s">
        <v>1530</v>
      </c>
      <c r="H45" s="80" t="s">
        <v>353</v>
      </c>
      <c r="I45" s="80" t="s">
        <v>353</v>
      </c>
      <c r="J45" s="80" t="s">
        <v>353</v>
      </c>
      <c r="K45" s="80" t="s">
        <v>353</v>
      </c>
      <c r="L45" s="80" t="s">
        <v>353</v>
      </c>
      <c r="M45" s="80" t="s">
        <v>353</v>
      </c>
      <c r="N45" s="80" t="s">
        <v>353</v>
      </c>
      <c r="O45" s="80" t="s">
        <v>353</v>
      </c>
      <c r="P45" s="80" t="s">
        <v>353</v>
      </c>
      <c r="Q45" s="80" t="s">
        <v>353</v>
      </c>
      <c r="R45" s="80" t="s">
        <v>353</v>
      </c>
      <c r="S45" s="80" t="s">
        <v>353</v>
      </c>
      <c r="T45" s="80" t="s">
        <v>353</v>
      </c>
      <c r="U45" s="80" t="s">
        <v>353</v>
      </c>
      <c r="V45" s="80" t="s">
        <v>1530</v>
      </c>
      <c r="W45" s="80" t="s">
        <v>353</v>
      </c>
      <c r="X45" s="80" t="s">
        <v>353</v>
      </c>
      <c r="Y45" s="80" t="s">
        <v>353</v>
      </c>
      <c r="Z45" s="80" t="s">
        <v>353</v>
      </c>
      <c r="AA45" s="80" t="s">
        <v>353</v>
      </c>
      <c r="AB45" s="80" t="s">
        <v>353</v>
      </c>
      <c r="AC45" s="80" t="s">
        <v>353</v>
      </c>
      <c r="AD45" s="80" t="s">
        <v>353</v>
      </c>
      <c r="AE45" s="80" t="s">
        <v>353</v>
      </c>
      <c r="AF45" s="80" t="s">
        <v>353</v>
      </c>
      <c r="AG45" s="80" t="s">
        <v>353</v>
      </c>
      <c r="AH45" s="80" t="s">
        <v>353</v>
      </c>
      <c r="AI45" s="80" t="s">
        <v>353</v>
      </c>
      <c r="AJ45" s="80" t="s">
        <v>353</v>
      </c>
      <c r="AK45" s="80" t="s">
        <v>353</v>
      </c>
      <c r="AL45" s="81">
        <f>IF(E45="Sí",1,IF(E45="Parcial",0.5,0))+IF(F45="Sí",1,IF(F45="Parcial",0.5,0))+IF(G45="Sí",1,IF(G45="Parcial",0.5,0))+IF(H45="Sí",1,IF(H45="Parcial",0.5,0))</f>
        <v>3</v>
      </c>
      <c r="AM45" s="82">
        <f>IF(I45="Sí",1,IF(I45="Parcial",0.5,0))+IF(J45="Sí",1,IF(J45="Parcial",0.5,0))+IF(K45="Sí",1,IF(K45="Parcial",0.5,0))</f>
        <v>0</v>
      </c>
      <c r="AN45" s="83">
        <f>IF(L45="Sí",1,IF(L45="Parcial",0.5,0))+IF(M45="Sí",1,IF(M45="Parcial",0.5,0))+IF(N45="Sí",1,IF(N45="Parcial",0.5,0))+IF(O45="Sí",1,IF(O45="Parcial",0.5,0))</f>
        <v>0</v>
      </c>
      <c r="AO45" s="84">
        <f>IF(P45="Sí",1,IF(P45="Parcial",0.5,0))+IF(Q45="Sí",1,IF(Q45="Parcial",0.5,0))+IF(R45="Sí",1,IF(R45="Parcial",0.5,0))+IF(S45="Sí",1,IF(S45="Parcial",0.5,0))+IF(T45="Sí",1,IF(T45="Parcial",0.5,0))+IF(U45="Sí",1,IF(U45="Parcial",0.5,0))</f>
        <v>0</v>
      </c>
      <c r="AP45" s="85">
        <f>IF(V45="Sí",1,IF(V45="Parcial",0.5,0))+IF(W45="Sí",1,IF(W45="Parcial",0.5,0))+IF(X45="Sí",1,IF(X45="Parcial",0.5,0))+IF(Y45="Sí",1,IF(Y45="Parcial",0.5,0))</f>
        <v>1</v>
      </c>
      <c r="AQ45" s="86">
        <f>IF(Z45="Sí",1,IF(Z45="Parcial",0.5,0))+IF(AA45="Sí",1,IF(AA45="Parcial",0.5,0))+IF(AB45="Sí",1,IF(AB45="Parcial",0.5,0))</f>
        <v>0</v>
      </c>
      <c r="AR45" s="87">
        <f>IF(AC45="Sí",1,IF(AC45="Parcial",0.5,0))+IF(AD45="Sí",1,IF(AD45="Parcial",0.5,0))+IF(AE45="Sí",1,IF(AE45="Parcial",0.5,0))</f>
        <v>0</v>
      </c>
      <c r="AS45" s="88">
        <f>IF(AF45="Sí",1,IF(AF45="Parcial",0.5,0))+IF(AG45="Sí",1,IF(AG45="Parcial",0.5,0))+IF(AH45="Sí",1,IF(AH45="Parcial",0.5,0))</f>
        <v>0</v>
      </c>
      <c r="AT45" s="89">
        <f>IF(AI45="Sí",1,IF(AI45="Parcial",0.5,0))+IF(AJ45="Sí",1,IF(AJ45="Parcial",0.5,0))+IF(AK45="Sí",1,IF(AK45="Parcial",0.5,0))</f>
        <v>0</v>
      </c>
      <c r="AU45" s="90">
        <f>SUM(AL45,AM45,AN45,AO45,AP45,AQ45,AR45,AS45,AT45)</f>
        <v>4</v>
      </c>
      <c r="AV45" s="225">
        <f>IFERROR(IF(OR(A45="",AU45=0),"",AU45/(IF(AL45&gt;0,1,0)+IF(AM45&gt;0,1,0)+IF(AN45&gt;0,1,0)+IF(AO45&gt;0,1,0)+IF(AP45&gt;0,1,0)+IF(AQ45&gt;0,1,0)+IF(AR45&gt;0,1,0)+IF(AS45&gt;0,1,0)+IF(AT45&gt;0,1,0))),"")</f>
        <v>2</v>
      </c>
      <c r="AW45" s="225">
        <f>IFERROR(IF(OR(A45="",AU45=""),"",IF(AND(MAX($AU$8:$AU$156)=0,MAX($AV$8:$AV$156)=0),"",0.5*(AU45/MAX($AU$8:$AU$156))+0.5*(AV45/MAX($AV$8:$AV$156)))),"")</f>
        <v>0.47222222222222221</v>
      </c>
      <c r="AX45" s="79" t="str">
        <f>IF(A45="","",IF((IF(AL45&gt;=1,1,0)+IF(AM45&gt;=1,1,0)+IF(AN45&gt;=1,1,0)+IF(AO45&gt;=1,1,0)+IF(AP45&gt;=1,1,0)+IF(AQ45&gt;=1,1,0)+IF(AR45&gt;=1,1,0)+IF(AS45&gt;=1,1,0)+IF(AT45&gt;=1,1,0))&gt;=5,"Diversificado (5+ verticales)",IF((IF(AL45&gt;=1,1,0)+IF(AM45&gt;=1,1,0)+IF(AN45&gt;=1,1,0)+IF(AO45&gt;=1,1,0)+IF(AP45&gt;=1,1,0)+IF(AQ45&gt;=1,1,0)+IF(AR45&gt;=1,1,0)+IF(AS45&gt;=1,1,0)+IF(AT45&gt;=1,1,0))&gt;=3,"Multi-capacidad (3-4 verticales)",IF((IF(AL45&gt;=1,1,0)+IF(AM45&gt;=1,1,0)+IF(AN45&gt;=1,1,0)+IF(AO45&gt;=1,1,0)+IF(AP45&gt;=1,1,0)+IF(AQ45&gt;=1,1,0)+IF(AR45&gt;=1,1,0)+IF(AS45&gt;=1,1,0)+IF(AT45&gt;=1,1,0))&gt;=1,"Especialista (1-2 verticales)","Sin función mapeada"))))</f>
        <v>Especialista (1-2 verticales)</v>
      </c>
    </row>
    <row r="46" spans="1:50" ht="24" customHeight="1" x14ac:dyDescent="0.2">
      <c r="A46" s="48" t="s">
        <v>793</v>
      </c>
      <c r="B46" s="48" t="s">
        <v>794</v>
      </c>
      <c r="C46" s="78" t="str">
        <f>IF(A46="","",IFERROR(INDEX('UNIVERSO MAESTRO'!$C$6:$C$497,MATCH(A46,'UNIVERSO MAESTRO'!$A$6:$A$497,0)),"⚠ ID no encontrado"))</f>
        <v>Grupo Pachuca</v>
      </c>
      <c r="D46" s="79" t="str">
        <f>IF(A46="","",IFERROR(INDEX('UNIVERSO MAESTRO'!$D$6:$D$497,MATCH(A46,'UNIVERSO MAESTRO'!$A$6:$A$497,0)),""))</f>
        <v>V9</v>
      </c>
      <c r="E46" s="80" t="s">
        <v>1530</v>
      </c>
      <c r="F46" s="80" t="s">
        <v>353</v>
      </c>
      <c r="G46" s="80" t="s">
        <v>1530</v>
      </c>
      <c r="H46" s="80" t="s">
        <v>353</v>
      </c>
      <c r="I46" s="80" t="s">
        <v>353</v>
      </c>
      <c r="J46" s="80" t="s">
        <v>353</v>
      </c>
      <c r="K46" s="80" t="s">
        <v>353</v>
      </c>
      <c r="L46" s="80" t="s">
        <v>353</v>
      </c>
      <c r="M46" s="80" t="s">
        <v>353</v>
      </c>
      <c r="N46" s="80" t="s">
        <v>353</v>
      </c>
      <c r="O46" s="80" t="s">
        <v>353</v>
      </c>
      <c r="P46" s="80" t="s">
        <v>353</v>
      </c>
      <c r="Q46" s="80" t="s">
        <v>353</v>
      </c>
      <c r="R46" s="80" t="s">
        <v>353</v>
      </c>
      <c r="S46" s="80" t="s">
        <v>353</v>
      </c>
      <c r="T46" s="80" t="s">
        <v>353</v>
      </c>
      <c r="U46" s="80" t="s">
        <v>353</v>
      </c>
      <c r="V46" s="80" t="s">
        <v>353</v>
      </c>
      <c r="W46" s="80" t="s">
        <v>353</v>
      </c>
      <c r="X46" s="80" t="s">
        <v>353</v>
      </c>
      <c r="Y46" s="80" t="s">
        <v>353</v>
      </c>
      <c r="Z46" s="80" t="s">
        <v>353</v>
      </c>
      <c r="AA46" s="80" t="s">
        <v>353</v>
      </c>
      <c r="AB46" s="80" t="s">
        <v>353</v>
      </c>
      <c r="AC46" s="80" t="s">
        <v>353</v>
      </c>
      <c r="AD46" s="80" t="s">
        <v>353</v>
      </c>
      <c r="AE46" s="80" t="s">
        <v>353</v>
      </c>
      <c r="AF46" s="80" t="s">
        <v>353</v>
      </c>
      <c r="AG46" s="80" t="s">
        <v>353</v>
      </c>
      <c r="AH46" s="80" t="s">
        <v>353</v>
      </c>
      <c r="AI46" s="80" t="s">
        <v>1530</v>
      </c>
      <c r="AJ46" s="80" t="s">
        <v>1530</v>
      </c>
      <c r="AK46" s="80" t="s">
        <v>353</v>
      </c>
      <c r="AL46" s="81">
        <f>IF(E46="Sí",1,IF(E46="Parcial",0.5,0))+IF(F46="Sí",1,IF(F46="Parcial",0.5,0))+IF(G46="Sí",1,IF(G46="Parcial",0.5,0))+IF(H46="Sí",1,IF(H46="Parcial",0.5,0))</f>
        <v>2</v>
      </c>
      <c r="AM46" s="82">
        <f>IF(I46="Sí",1,IF(I46="Parcial",0.5,0))+IF(J46="Sí",1,IF(J46="Parcial",0.5,0))+IF(K46="Sí",1,IF(K46="Parcial",0.5,0))</f>
        <v>0</v>
      </c>
      <c r="AN46" s="83">
        <f>IF(L46="Sí",1,IF(L46="Parcial",0.5,0))+IF(M46="Sí",1,IF(M46="Parcial",0.5,0))+IF(N46="Sí",1,IF(N46="Parcial",0.5,0))+IF(O46="Sí",1,IF(O46="Parcial",0.5,0))</f>
        <v>0</v>
      </c>
      <c r="AO46" s="84">
        <f>IF(P46="Sí",1,IF(P46="Parcial",0.5,0))+IF(Q46="Sí",1,IF(Q46="Parcial",0.5,0))+IF(R46="Sí",1,IF(R46="Parcial",0.5,0))+IF(S46="Sí",1,IF(S46="Parcial",0.5,0))+IF(T46="Sí",1,IF(T46="Parcial",0.5,0))+IF(U46="Sí",1,IF(U46="Parcial",0.5,0))</f>
        <v>0</v>
      </c>
      <c r="AP46" s="85">
        <f>IF(V46="Sí",1,IF(V46="Parcial",0.5,0))+IF(W46="Sí",1,IF(W46="Parcial",0.5,0))+IF(X46="Sí",1,IF(X46="Parcial",0.5,0))+IF(Y46="Sí",1,IF(Y46="Parcial",0.5,0))</f>
        <v>0</v>
      </c>
      <c r="AQ46" s="86">
        <f>IF(Z46="Sí",1,IF(Z46="Parcial",0.5,0))+IF(AA46="Sí",1,IF(AA46="Parcial",0.5,0))+IF(AB46="Sí",1,IF(AB46="Parcial",0.5,0))</f>
        <v>0</v>
      </c>
      <c r="AR46" s="87">
        <f>IF(AC46="Sí",1,IF(AC46="Parcial",0.5,0))+IF(AD46="Sí",1,IF(AD46="Parcial",0.5,0))+IF(AE46="Sí",1,IF(AE46="Parcial",0.5,0))</f>
        <v>0</v>
      </c>
      <c r="AS46" s="88">
        <f>IF(AF46="Sí",1,IF(AF46="Parcial",0.5,0))+IF(AG46="Sí",1,IF(AG46="Parcial",0.5,0))+IF(AH46="Sí",1,IF(AH46="Parcial",0.5,0))</f>
        <v>0</v>
      </c>
      <c r="AT46" s="89">
        <f>IF(AI46="Sí",1,IF(AI46="Parcial",0.5,0))+IF(AJ46="Sí",1,IF(AJ46="Parcial",0.5,0))+IF(AK46="Sí",1,IF(AK46="Parcial",0.5,0))</f>
        <v>2</v>
      </c>
      <c r="AU46" s="90">
        <f>SUM(AL46,AM46,AN46,AO46,AP46,AQ46,AR46,AS46,AT46)</f>
        <v>4</v>
      </c>
      <c r="AV46" s="225">
        <f>IFERROR(IF(OR(A46="",AU46=0),"",AU46/(IF(AL46&gt;0,1,0)+IF(AM46&gt;0,1,0)+IF(AN46&gt;0,1,0)+IF(AO46&gt;0,1,0)+IF(AP46&gt;0,1,0)+IF(AQ46&gt;0,1,0)+IF(AR46&gt;0,1,0)+IF(AS46&gt;0,1,0)+IF(AT46&gt;0,1,0))),"")</f>
        <v>2</v>
      </c>
      <c r="AW46" s="225">
        <f>IFERROR(IF(OR(A46="",AU46=""),"",IF(AND(MAX($AU$8:$AU$156)=0,MAX($AV$8:$AV$156)=0),"",0.5*(AU46/MAX($AU$8:$AU$156))+0.5*(AV46/MAX($AV$8:$AV$156)))),"")</f>
        <v>0.47222222222222221</v>
      </c>
      <c r="AX46" s="79" t="str">
        <f>IF(A46="","",IF((IF(AL46&gt;=1,1,0)+IF(AM46&gt;=1,1,0)+IF(AN46&gt;=1,1,0)+IF(AO46&gt;=1,1,0)+IF(AP46&gt;=1,1,0)+IF(AQ46&gt;=1,1,0)+IF(AR46&gt;=1,1,0)+IF(AS46&gt;=1,1,0)+IF(AT46&gt;=1,1,0))&gt;=5,"Diversificado (5+ verticales)",IF((IF(AL46&gt;=1,1,0)+IF(AM46&gt;=1,1,0)+IF(AN46&gt;=1,1,0)+IF(AO46&gt;=1,1,0)+IF(AP46&gt;=1,1,0)+IF(AQ46&gt;=1,1,0)+IF(AR46&gt;=1,1,0)+IF(AS46&gt;=1,1,0)+IF(AT46&gt;=1,1,0))&gt;=3,"Multi-capacidad (3-4 verticales)",IF((IF(AL46&gt;=1,1,0)+IF(AM46&gt;=1,1,0)+IF(AN46&gt;=1,1,0)+IF(AO46&gt;=1,1,0)+IF(AP46&gt;=1,1,0)+IF(AQ46&gt;=1,1,0)+IF(AR46&gt;=1,1,0)+IF(AS46&gt;=1,1,0)+IF(AT46&gt;=1,1,0))&gt;=1,"Especialista (1-2 verticales)","Sin función mapeada"))))</f>
        <v>Especialista (1-2 verticales)</v>
      </c>
    </row>
    <row r="47" spans="1:50" ht="24" customHeight="1" x14ac:dyDescent="0.2">
      <c r="A47" s="48" t="s">
        <v>997</v>
      </c>
      <c r="B47" s="48" t="s">
        <v>998</v>
      </c>
      <c r="C47" s="78" t="str">
        <f>IF(A47="","",IFERROR(INDEX('UNIVERSO MAESTRO'!$C$6:$C$497,MATCH(A47,'UNIVERSO MAESTRO'!$A$6:$A$497,0)),"⚠ ID no encontrado"))</f>
        <v>Maratón de la Ciudad de México Telcel</v>
      </c>
      <c r="D47" s="79" t="str">
        <f>IF(A47="","",IFERROR(INDEX('UNIVERSO MAESTRO'!$D$6:$D$497,MATCH(A47,'UNIVERSO MAESTRO'!$A$6:$A$497,0)),""))</f>
        <v>V1</v>
      </c>
      <c r="E47" s="80" t="s">
        <v>1530</v>
      </c>
      <c r="F47" s="80" t="s">
        <v>1530</v>
      </c>
      <c r="G47" s="80" t="s">
        <v>1530</v>
      </c>
      <c r="H47" s="80" t="s">
        <v>353</v>
      </c>
      <c r="I47" s="80" t="s">
        <v>353</v>
      </c>
      <c r="J47" s="80" t="s">
        <v>353</v>
      </c>
      <c r="K47" s="80" t="s">
        <v>353</v>
      </c>
      <c r="L47" s="80" t="s">
        <v>353</v>
      </c>
      <c r="M47" s="80" t="s">
        <v>353</v>
      </c>
      <c r="N47" s="80" t="s">
        <v>353</v>
      </c>
      <c r="O47" s="80" t="s">
        <v>353</v>
      </c>
      <c r="P47" s="80" t="s">
        <v>353</v>
      </c>
      <c r="Q47" s="80" t="s">
        <v>353</v>
      </c>
      <c r="R47" s="80" t="s">
        <v>353</v>
      </c>
      <c r="S47" s="80" t="s">
        <v>353</v>
      </c>
      <c r="T47" s="80" t="s">
        <v>353</v>
      </c>
      <c r="U47" s="80" t="s">
        <v>353</v>
      </c>
      <c r="V47" s="80" t="s">
        <v>353</v>
      </c>
      <c r="W47" s="80" t="s">
        <v>353</v>
      </c>
      <c r="X47" s="80" t="s">
        <v>353</v>
      </c>
      <c r="Y47" s="80" t="s">
        <v>353</v>
      </c>
      <c r="Z47" s="80" t="s">
        <v>1530</v>
      </c>
      <c r="AA47" s="80" t="s">
        <v>353</v>
      </c>
      <c r="AB47" s="80" t="s">
        <v>353</v>
      </c>
      <c r="AC47" s="80" t="s">
        <v>353</v>
      </c>
      <c r="AD47" s="80" t="s">
        <v>353</v>
      </c>
      <c r="AE47" s="80" t="s">
        <v>353</v>
      </c>
      <c r="AF47" s="80" t="s">
        <v>353</v>
      </c>
      <c r="AG47" s="80" t="s">
        <v>353</v>
      </c>
      <c r="AH47" s="80" t="s">
        <v>353</v>
      </c>
      <c r="AI47" s="80" t="s">
        <v>353</v>
      </c>
      <c r="AJ47" s="80" t="s">
        <v>353</v>
      </c>
      <c r="AK47" s="80" t="s">
        <v>353</v>
      </c>
      <c r="AL47" s="81">
        <f>IF(E47="Sí",1,IF(E47="Parcial",0.5,0))+IF(F47="Sí",1,IF(F47="Parcial",0.5,0))+IF(G47="Sí",1,IF(G47="Parcial",0.5,0))+IF(H47="Sí",1,IF(H47="Parcial",0.5,0))</f>
        <v>3</v>
      </c>
      <c r="AM47" s="82">
        <f>IF(I47="Sí",1,IF(I47="Parcial",0.5,0))+IF(J47="Sí",1,IF(J47="Parcial",0.5,0))+IF(K47="Sí",1,IF(K47="Parcial",0.5,0))</f>
        <v>0</v>
      </c>
      <c r="AN47" s="83">
        <f>IF(L47="Sí",1,IF(L47="Parcial",0.5,0))+IF(M47="Sí",1,IF(M47="Parcial",0.5,0))+IF(N47="Sí",1,IF(N47="Parcial",0.5,0))+IF(O47="Sí",1,IF(O47="Parcial",0.5,0))</f>
        <v>0</v>
      </c>
      <c r="AO47" s="84">
        <f>IF(P47="Sí",1,IF(P47="Parcial",0.5,0))+IF(Q47="Sí",1,IF(Q47="Parcial",0.5,0))+IF(R47="Sí",1,IF(R47="Parcial",0.5,0))+IF(S47="Sí",1,IF(S47="Parcial",0.5,0))+IF(T47="Sí",1,IF(T47="Parcial",0.5,0))+IF(U47="Sí",1,IF(U47="Parcial",0.5,0))</f>
        <v>0</v>
      </c>
      <c r="AP47" s="85">
        <f>IF(V47="Sí",1,IF(V47="Parcial",0.5,0))+IF(W47="Sí",1,IF(W47="Parcial",0.5,0))+IF(X47="Sí",1,IF(X47="Parcial",0.5,0))+IF(Y47="Sí",1,IF(Y47="Parcial",0.5,0))</f>
        <v>0</v>
      </c>
      <c r="AQ47" s="86">
        <f>IF(Z47="Sí",1,IF(Z47="Parcial",0.5,0))+IF(AA47="Sí",1,IF(AA47="Parcial",0.5,0))+IF(AB47="Sí",1,IF(AB47="Parcial",0.5,0))</f>
        <v>1</v>
      </c>
      <c r="AR47" s="87">
        <f>IF(AC47="Sí",1,IF(AC47="Parcial",0.5,0))+IF(AD47="Sí",1,IF(AD47="Parcial",0.5,0))+IF(AE47="Sí",1,IF(AE47="Parcial",0.5,0))</f>
        <v>0</v>
      </c>
      <c r="AS47" s="88">
        <f>IF(AF47="Sí",1,IF(AF47="Parcial",0.5,0))+IF(AG47="Sí",1,IF(AG47="Parcial",0.5,0))+IF(AH47="Sí",1,IF(AH47="Parcial",0.5,0))</f>
        <v>0</v>
      </c>
      <c r="AT47" s="89">
        <f>IF(AI47="Sí",1,IF(AI47="Parcial",0.5,0))+IF(AJ47="Sí",1,IF(AJ47="Parcial",0.5,0))+IF(AK47="Sí",1,IF(AK47="Parcial",0.5,0))</f>
        <v>0</v>
      </c>
      <c r="AU47" s="90">
        <f>SUM(AL47,AM47,AN47,AO47,AP47,AQ47,AR47,AS47,AT47)</f>
        <v>4</v>
      </c>
      <c r="AV47" s="225">
        <f>IFERROR(IF(OR(A47="",AU47=0),"",AU47/(IF(AL47&gt;0,1,0)+IF(AM47&gt;0,1,0)+IF(AN47&gt;0,1,0)+IF(AO47&gt;0,1,0)+IF(AP47&gt;0,1,0)+IF(AQ47&gt;0,1,0)+IF(AR47&gt;0,1,0)+IF(AS47&gt;0,1,0)+IF(AT47&gt;0,1,0))),"")</f>
        <v>2</v>
      </c>
      <c r="AW47" s="225">
        <f>IFERROR(IF(OR(A47="",AU47=""),"",IF(AND(MAX($AU$8:$AU$156)=0,MAX($AV$8:$AV$156)=0),"",0.5*(AU47/MAX($AU$8:$AU$156))+0.5*(AV47/MAX($AV$8:$AV$156)))),"")</f>
        <v>0.47222222222222221</v>
      </c>
      <c r="AX47" s="79" t="str">
        <f>IF(A47="","",IF((IF(AL47&gt;=1,1,0)+IF(AM47&gt;=1,1,0)+IF(AN47&gt;=1,1,0)+IF(AO47&gt;=1,1,0)+IF(AP47&gt;=1,1,0)+IF(AQ47&gt;=1,1,0)+IF(AR47&gt;=1,1,0)+IF(AS47&gt;=1,1,0)+IF(AT47&gt;=1,1,0))&gt;=5,"Diversificado (5+ verticales)",IF((IF(AL47&gt;=1,1,0)+IF(AM47&gt;=1,1,0)+IF(AN47&gt;=1,1,0)+IF(AO47&gt;=1,1,0)+IF(AP47&gt;=1,1,0)+IF(AQ47&gt;=1,1,0)+IF(AR47&gt;=1,1,0)+IF(AS47&gt;=1,1,0)+IF(AT47&gt;=1,1,0))&gt;=3,"Multi-capacidad (3-4 verticales)",IF((IF(AL47&gt;=1,1,0)+IF(AM47&gt;=1,1,0)+IF(AN47&gt;=1,1,0)+IF(AO47&gt;=1,1,0)+IF(AP47&gt;=1,1,0)+IF(AQ47&gt;=1,1,0)+IF(AR47&gt;=1,1,0)+IF(AS47&gt;=1,1,0)+IF(AT47&gt;=1,1,0))&gt;=1,"Especialista (1-2 verticales)","Sin función mapeada"))))</f>
        <v>Especialista (1-2 verticales)</v>
      </c>
    </row>
    <row r="48" spans="1:50" ht="24" customHeight="1" x14ac:dyDescent="0.2">
      <c r="A48" s="48" t="s">
        <v>1007</v>
      </c>
      <c r="B48" s="48" t="s">
        <v>1008</v>
      </c>
      <c r="C48" s="78" t="str">
        <f>IF(A48="","",IFERROR(INDEX('UNIVERSO MAESTRO'!$C$6:$C$497,MATCH(A48,'UNIVERSO MAESTRO'!$A$6:$A$497,0)),"⚠ ID no encontrado"))</f>
        <v>Maratón Powerade Monterrey</v>
      </c>
      <c r="D48" s="79" t="str">
        <f>IF(A48="","",IFERROR(INDEX('UNIVERSO MAESTRO'!$D$6:$D$497,MATCH(A48,'UNIVERSO MAESTRO'!$A$6:$A$497,0)),""))</f>
        <v>V1</v>
      </c>
      <c r="E48" s="80" t="s">
        <v>1530</v>
      </c>
      <c r="F48" s="80" t="s">
        <v>1530</v>
      </c>
      <c r="G48" s="80" t="s">
        <v>1530</v>
      </c>
      <c r="H48" s="80" t="s">
        <v>353</v>
      </c>
      <c r="I48" s="80" t="s">
        <v>353</v>
      </c>
      <c r="J48" s="80" t="s">
        <v>353</v>
      </c>
      <c r="K48" s="80" t="s">
        <v>353</v>
      </c>
      <c r="L48" s="80" t="s">
        <v>353</v>
      </c>
      <c r="M48" s="80" t="s">
        <v>353</v>
      </c>
      <c r="N48" s="80" t="s">
        <v>353</v>
      </c>
      <c r="O48" s="80" t="s">
        <v>353</v>
      </c>
      <c r="P48" s="80" t="s">
        <v>353</v>
      </c>
      <c r="Q48" s="80" t="s">
        <v>353</v>
      </c>
      <c r="R48" s="80" t="s">
        <v>353</v>
      </c>
      <c r="S48" s="80" t="s">
        <v>353</v>
      </c>
      <c r="T48" s="80" t="s">
        <v>353</v>
      </c>
      <c r="U48" s="80" t="s">
        <v>353</v>
      </c>
      <c r="V48" s="80" t="s">
        <v>353</v>
      </c>
      <c r="W48" s="80" t="s">
        <v>353</v>
      </c>
      <c r="X48" s="80" t="s">
        <v>353</v>
      </c>
      <c r="Y48" s="80" t="s">
        <v>353</v>
      </c>
      <c r="Z48" s="80" t="s">
        <v>1530</v>
      </c>
      <c r="AA48" s="80" t="s">
        <v>353</v>
      </c>
      <c r="AB48" s="80" t="s">
        <v>353</v>
      </c>
      <c r="AC48" s="80" t="s">
        <v>353</v>
      </c>
      <c r="AD48" s="80" t="s">
        <v>353</v>
      </c>
      <c r="AE48" s="80" t="s">
        <v>353</v>
      </c>
      <c r="AF48" s="80" t="s">
        <v>353</v>
      </c>
      <c r="AG48" s="80" t="s">
        <v>353</v>
      </c>
      <c r="AH48" s="80" t="s">
        <v>353</v>
      </c>
      <c r="AI48" s="80" t="s">
        <v>353</v>
      </c>
      <c r="AJ48" s="80" t="s">
        <v>353</v>
      </c>
      <c r="AK48" s="80" t="s">
        <v>353</v>
      </c>
      <c r="AL48" s="81">
        <f>IF(E48="Sí",1,IF(E48="Parcial",0.5,0))+IF(F48="Sí",1,IF(F48="Parcial",0.5,0))+IF(G48="Sí",1,IF(G48="Parcial",0.5,0))+IF(H48="Sí",1,IF(H48="Parcial",0.5,0))</f>
        <v>3</v>
      </c>
      <c r="AM48" s="82">
        <f>IF(I48="Sí",1,IF(I48="Parcial",0.5,0))+IF(J48="Sí",1,IF(J48="Parcial",0.5,0))+IF(K48="Sí",1,IF(K48="Parcial",0.5,0))</f>
        <v>0</v>
      </c>
      <c r="AN48" s="83">
        <f>IF(L48="Sí",1,IF(L48="Parcial",0.5,0))+IF(M48="Sí",1,IF(M48="Parcial",0.5,0))+IF(N48="Sí",1,IF(N48="Parcial",0.5,0))+IF(O48="Sí",1,IF(O48="Parcial",0.5,0))</f>
        <v>0</v>
      </c>
      <c r="AO48" s="84">
        <f>IF(P48="Sí",1,IF(P48="Parcial",0.5,0))+IF(Q48="Sí",1,IF(Q48="Parcial",0.5,0))+IF(R48="Sí",1,IF(R48="Parcial",0.5,0))+IF(S48="Sí",1,IF(S48="Parcial",0.5,0))+IF(T48="Sí",1,IF(T48="Parcial",0.5,0))+IF(U48="Sí",1,IF(U48="Parcial",0.5,0))</f>
        <v>0</v>
      </c>
      <c r="AP48" s="85">
        <f>IF(V48="Sí",1,IF(V48="Parcial",0.5,0))+IF(W48="Sí",1,IF(W48="Parcial",0.5,0))+IF(X48="Sí",1,IF(X48="Parcial",0.5,0))+IF(Y48="Sí",1,IF(Y48="Parcial",0.5,0))</f>
        <v>0</v>
      </c>
      <c r="AQ48" s="86">
        <f>IF(Z48="Sí",1,IF(Z48="Parcial",0.5,0))+IF(AA48="Sí",1,IF(AA48="Parcial",0.5,0))+IF(AB48="Sí",1,IF(AB48="Parcial",0.5,0))</f>
        <v>1</v>
      </c>
      <c r="AR48" s="87">
        <f>IF(AC48="Sí",1,IF(AC48="Parcial",0.5,0))+IF(AD48="Sí",1,IF(AD48="Parcial",0.5,0))+IF(AE48="Sí",1,IF(AE48="Parcial",0.5,0))</f>
        <v>0</v>
      </c>
      <c r="AS48" s="88">
        <f>IF(AF48="Sí",1,IF(AF48="Parcial",0.5,0))+IF(AG48="Sí",1,IF(AG48="Parcial",0.5,0))+IF(AH48="Sí",1,IF(AH48="Parcial",0.5,0))</f>
        <v>0</v>
      </c>
      <c r="AT48" s="89">
        <f>IF(AI48="Sí",1,IF(AI48="Parcial",0.5,0))+IF(AJ48="Sí",1,IF(AJ48="Parcial",0.5,0))+IF(AK48="Sí",1,IF(AK48="Parcial",0.5,0))</f>
        <v>0</v>
      </c>
      <c r="AU48" s="90">
        <f>SUM(AL48,AM48,AN48,AO48,AP48,AQ48,AR48,AS48,AT48)</f>
        <v>4</v>
      </c>
      <c r="AV48" s="225">
        <f>IFERROR(IF(OR(A48="",AU48=0),"",AU48/(IF(AL48&gt;0,1,0)+IF(AM48&gt;0,1,0)+IF(AN48&gt;0,1,0)+IF(AO48&gt;0,1,0)+IF(AP48&gt;0,1,0)+IF(AQ48&gt;0,1,0)+IF(AR48&gt;0,1,0)+IF(AS48&gt;0,1,0)+IF(AT48&gt;0,1,0))),"")</f>
        <v>2</v>
      </c>
      <c r="AW48" s="225">
        <f>IFERROR(IF(OR(A48="",AU48=""),"",IF(AND(MAX($AU$8:$AU$156)=0,MAX($AV$8:$AV$156)=0),"",0.5*(AU48/MAX($AU$8:$AU$156))+0.5*(AV48/MAX($AV$8:$AV$156)))),"")</f>
        <v>0.47222222222222221</v>
      </c>
      <c r="AX48" s="79" t="str">
        <f>IF(A48="","",IF((IF(AL48&gt;=1,1,0)+IF(AM48&gt;=1,1,0)+IF(AN48&gt;=1,1,0)+IF(AO48&gt;=1,1,0)+IF(AP48&gt;=1,1,0)+IF(AQ48&gt;=1,1,0)+IF(AR48&gt;=1,1,0)+IF(AS48&gt;=1,1,0)+IF(AT48&gt;=1,1,0))&gt;=5,"Diversificado (5+ verticales)",IF((IF(AL48&gt;=1,1,0)+IF(AM48&gt;=1,1,0)+IF(AN48&gt;=1,1,0)+IF(AO48&gt;=1,1,0)+IF(AP48&gt;=1,1,0)+IF(AQ48&gt;=1,1,0)+IF(AR48&gt;=1,1,0)+IF(AS48&gt;=1,1,0)+IF(AT48&gt;=1,1,0))&gt;=3,"Multi-capacidad (3-4 verticales)",IF((IF(AL48&gt;=1,1,0)+IF(AM48&gt;=1,1,0)+IF(AN48&gt;=1,1,0)+IF(AO48&gt;=1,1,0)+IF(AP48&gt;=1,1,0)+IF(AQ48&gt;=1,1,0)+IF(AR48&gt;=1,1,0)+IF(AS48&gt;=1,1,0)+IF(AT48&gt;=1,1,0))&gt;=1,"Especialista (1-2 verticales)","Sin función mapeada"))))</f>
        <v>Especialista (1-2 verticales)</v>
      </c>
    </row>
    <row r="49" spans="1:50" ht="24" customHeight="1" x14ac:dyDescent="0.2">
      <c r="A49" s="48" t="s">
        <v>1039</v>
      </c>
      <c r="B49" s="48" t="s">
        <v>1040</v>
      </c>
      <c r="C49" s="78" t="str">
        <f>IF(A49="","",IFERROR(INDEX('UNIVERSO MAESTRO'!$C$6:$C$497,MATCH(A49,'UNIVERSO MAESTRO'!$A$6:$A$497,0)),"⚠ ID no encontrado"))</f>
        <v>Medio Maratón de la Ciudad de México BBVA</v>
      </c>
      <c r="D49" s="79" t="str">
        <f>IF(A49="","",IFERROR(INDEX('UNIVERSO MAESTRO'!$D$6:$D$497,MATCH(A49,'UNIVERSO MAESTRO'!$A$6:$A$497,0)),""))</f>
        <v>V1</v>
      </c>
      <c r="E49" s="80" t="s">
        <v>1530</v>
      </c>
      <c r="F49" s="80" t="s">
        <v>1530</v>
      </c>
      <c r="G49" s="80" t="s">
        <v>1530</v>
      </c>
      <c r="H49" s="80" t="s">
        <v>353</v>
      </c>
      <c r="I49" s="80" t="s">
        <v>353</v>
      </c>
      <c r="J49" s="80" t="s">
        <v>353</v>
      </c>
      <c r="K49" s="80" t="s">
        <v>353</v>
      </c>
      <c r="L49" s="80" t="s">
        <v>353</v>
      </c>
      <c r="M49" s="80" t="s">
        <v>353</v>
      </c>
      <c r="N49" s="80" t="s">
        <v>353</v>
      </c>
      <c r="O49" s="80" t="s">
        <v>353</v>
      </c>
      <c r="P49" s="80" t="s">
        <v>353</v>
      </c>
      <c r="Q49" s="80" t="s">
        <v>353</v>
      </c>
      <c r="R49" s="80" t="s">
        <v>353</v>
      </c>
      <c r="S49" s="80" t="s">
        <v>353</v>
      </c>
      <c r="T49" s="80" t="s">
        <v>353</v>
      </c>
      <c r="U49" s="80" t="s">
        <v>353</v>
      </c>
      <c r="V49" s="80" t="s">
        <v>353</v>
      </c>
      <c r="W49" s="80" t="s">
        <v>353</v>
      </c>
      <c r="X49" s="80" t="s">
        <v>353</v>
      </c>
      <c r="Y49" s="80" t="s">
        <v>353</v>
      </c>
      <c r="Z49" s="80" t="s">
        <v>1530</v>
      </c>
      <c r="AA49" s="80" t="s">
        <v>353</v>
      </c>
      <c r="AB49" s="80" t="s">
        <v>353</v>
      </c>
      <c r="AC49" s="80" t="s">
        <v>353</v>
      </c>
      <c r="AD49" s="80" t="s">
        <v>353</v>
      </c>
      <c r="AE49" s="80" t="s">
        <v>353</v>
      </c>
      <c r="AF49" s="80" t="s">
        <v>353</v>
      </c>
      <c r="AG49" s="80" t="s">
        <v>353</v>
      </c>
      <c r="AH49" s="80" t="s">
        <v>353</v>
      </c>
      <c r="AI49" s="80" t="s">
        <v>353</v>
      </c>
      <c r="AJ49" s="80" t="s">
        <v>353</v>
      </c>
      <c r="AK49" s="80" t="s">
        <v>353</v>
      </c>
      <c r="AL49" s="81">
        <f>IF(E49="Sí",1,IF(E49="Parcial",0.5,0))+IF(F49="Sí",1,IF(F49="Parcial",0.5,0))+IF(G49="Sí",1,IF(G49="Parcial",0.5,0))+IF(H49="Sí",1,IF(H49="Parcial",0.5,0))</f>
        <v>3</v>
      </c>
      <c r="AM49" s="82">
        <f>IF(I49="Sí",1,IF(I49="Parcial",0.5,0))+IF(J49="Sí",1,IF(J49="Parcial",0.5,0))+IF(K49="Sí",1,IF(K49="Parcial",0.5,0))</f>
        <v>0</v>
      </c>
      <c r="AN49" s="83">
        <f>IF(L49="Sí",1,IF(L49="Parcial",0.5,0))+IF(M49="Sí",1,IF(M49="Parcial",0.5,0))+IF(N49="Sí",1,IF(N49="Parcial",0.5,0))+IF(O49="Sí",1,IF(O49="Parcial",0.5,0))</f>
        <v>0</v>
      </c>
      <c r="AO49" s="84">
        <f>IF(P49="Sí",1,IF(P49="Parcial",0.5,0))+IF(Q49="Sí",1,IF(Q49="Parcial",0.5,0))+IF(R49="Sí",1,IF(R49="Parcial",0.5,0))+IF(S49="Sí",1,IF(S49="Parcial",0.5,0))+IF(T49="Sí",1,IF(T49="Parcial",0.5,0))+IF(U49="Sí",1,IF(U49="Parcial",0.5,0))</f>
        <v>0</v>
      </c>
      <c r="AP49" s="85">
        <f>IF(V49="Sí",1,IF(V49="Parcial",0.5,0))+IF(W49="Sí",1,IF(W49="Parcial",0.5,0))+IF(X49="Sí",1,IF(X49="Parcial",0.5,0))+IF(Y49="Sí",1,IF(Y49="Parcial",0.5,0))</f>
        <v>0</v>
      </c>
      <c r="AQ49" s="86">
        <f>IF(Z49="Sí",1,IF(Z49="Parcial",0.5,0))+IF(AA49="Sí",1,IF(AA49="Parcial",0.5,0))+IF(AB49="Sí",1,IF(AB49="Parcial",0.5,0))</f>
        <v>1</v>
      </c>
      <c r="AR49" s="87">
        <f>IF(AC49="Sí",1,IF(AC49="Parcial",0.5,0))+IF(AD49="Sí",1,IF(AD49="Parcial",0.5,0))+IF(AE49="Sí",1,IF(AE49="Parcial",0.5,0))</f>
        <v>0</v>
      </c>
      <c r="AS49" s="88">
        <f>IF(AF49="Sí",1,IF(AF49="Parcial",0.5,0))+IF(AG49="Sí",1,IF(AG49="Parcial",0.5,0))+IF(AH49="Sí",1,IF(AH49="Parcial",0.5,0))</f>
        <v>0</v>
      </c>
      <c r="AT49" s="89">
        <f>IF(AI49="Sí",1,IF(AI49="Parcial",0.5,0))+IF(AJ49="Sí",1,IF(AJ49="Parcial",0.5,0))+IF(AK49="Sí",1,IF(AK49="Parcial",0.5,0))</f>
        <v>0</v>
      </c>
      <c r="AU49" s="90">
        <f>SUM(AL49,AM49,AN49,AO49,AP49,AQ49,AR49,AS49,AT49)</f>
        <v>4</v>
      </c>
      <c r="AV49" s="225">
        <f>IFERROR(IF(OR(A49="",AU49=0),"",AU49/(IF(AL49&gt;0,1,0)+IF(AM49&gt;0,1,0)+IF(AN49&gt;0,1,0)+IF(AO49&gt;0,1,0)+IF(AP49&gt;0,1,0)+IF(AQ49&gt;0,1,0)+IF(AR49&gt;0,1,0)+IF(AS49&gt;0,1,0)+IF(AT49&gt;0,1,0))),"")</f>
        <v>2</v>
      </c>
      <c r="AW49" s="225">
        <f>IFERROR(IF(OR(A49="",AU49=""),"",IF(AND(MAX($AU$8:$AU$156)=0,MAX($AV$8:$AV$156)=0),"",0.5*(AU49/MAX($AU$8:$AU$156))+0.5*(AV49/MAX($AV$8:$AV$156)))),"")</f>
        <v>0.47222222222222221</v>
      </c>
      <c r="AX49" s="79" t="str">
        <f>IF(A49="","",IF((IF(AL49&gt;=1,1,0)+IF(AM49&gt;=1,1,0)+IF(AN49&gt;=1,1,0)+IF(AO49&gt;=1,1,0)+IF(AP49&gt;=1,1,0)+IF(AQ49&gt;=1,1,0)+IF(AR49&gt;=1,1,0)+IF(AS49&gt;=1,1,0)+IF(AT49&gt;=1,1,0))&gt;=5,"Diversificado (5+ verticales)",IF((IF(AL49&gt;=1,1,0)+IF(AM49&gt;=1,1,0)+IF(AN49&gt;=1,1,0)+IF(AO49&gt;=1,1,0)+IF(AP49&gt;=1,1,0)+IF(AQ49&gt;=1,1,0)+IF(AR49&gt;=1,1,0)+IF(AS49&gt;=1,1,0)+IF(AT49&gt;=1,1,0))&gt;=3,"Multi-capacidad (3-4 verticales)",IF((IF(AL49&gt;=1,1,0)+IF(AM49&gt;=1,1,0)+IF(AN49&gt;=1,1,0)+IF(AO49&gt;=1,1,0)+IF(AP49&gt;=1,1,0)+IF(AQ49&gt;=1,1,0)+IF(AR49&gt;=1,1,0)+IF(AS49&gt;=1,1,0)+IF(AT49&gt;=1,1,0))&gt;=1,"Especialista (1-2 verticales)","Sin función mapeada"))))</f>
        <v>Especialista (1-2 verticales)</v>
      </c>
    </row>
    <row r="50" spans="1:50" ht="24" customHeight="1" x14ac:dyDescent="0.2">
      <c r="A50" s="48" t="s">
        <v>1049</v>
      </c>
      <c r="B50" s="48" t="s">
        <v>1050</v>
      </c>
      <c r="C50" s="78" t="str">
        <f>IF(A50="","",IFERROR(INDEX('UNIVERSO MAESTRO'!$C$6:$C$497,MATCH(A50,'UNIVERSO MAESTRO'!$A$6:$A$497,0)),"⚠ ID no encontrado"))</f>
        <v>Medio Maratón Internacional Guadalajara Electrolit</v>
      </c>
      <c r="D50" s="79" t="str">
        <f>IF(A50="","",IFERROR(INDEX('UNIVERSO MAESTRO'!$D$6:$D$497,MATCH(A50,'UNIVERSO MAESTRO'!$A$6:$A$497,0)),""))</f>
        <v>V1</v>
      </c>
      <c r="E50" s="80" t="s">
        <v>1530</v>
      </c>
      <c r="F50" s="80" t="s">
        <v>1530</v>
      </c>
      <c r="G50" s="80" t="s">
        <v>1530</v>
      </c>
      <c r="H50" s="80" t="s">
        <v>353</v>
      </c>
      <c r="I50" s="80" t="s">
        <v>353</v>
      </c>
      <c r="J50" s="80" t="s">
        <v>353</v>
      </c>
      <c r="K50" s="80" t="s">
        <v>353</v>
      </c>
      <c r="L50" s="80" t="s">
        <v>353</v>
      </c>
      <c r="M50" s="80" t="s">
        <v>353</v>
      </c>
      <c r="N50" s="80" t="s">
        <v>353</v>
      </c>
      <c r="O50" s="80" t="s">
        <v>353</v>
      </c>
      <c r="P50" s="80" t="s">
        <v>353</v>
      </c>
      <c r="Q50" s="80" t="s">
        <v>353</v>
      </c>
      <c r="R50" s="80" t="s">
        <v>353</v>
      </c>
      <c r="S50" s="80" t="s">
        <v>353</v>
      </c>
      <c r="T50" s="80" t="s">
        <v>353</v>
      </c>
      <c r="U50" s="80" t="s">
        <v>353</v>
      </c>
      <c r="V50" s="80" t="s">
        <v>353</v>
      </c>
      <c r="W50" s="80" t="s">
        <v>353</v>
      </c>
      <c r="X50" s="80" t="s">
        <v>353</v>
      </c>
      <c r="Y50" s="80" t="s">
        <v>353</v>
      </c>
      <c r="Z50" s="80" t="s">
        <v>1530</v>
      </c>
      <c r="AA50" s="80" t="s">
        <v>353</v>
      </c>
      <c r="AB50" s="80" t="s">
        <v>353</v>
      </c>
      <c r="AC50" s="80" t="s">
        <v>353</v>
      </c>
      <c r="AD50" s="80" t="s">
        <v>353</v>
      </c>
      <c r="AE50" s="80" t="s">
        <v>353</v>
      </c>
      <c r="AF50" s="80" t="s">
        <v>353</v>
      </c>
      <c r="AG50" s="80" t="s">
        <v>353</v>
      </c>
      <c r="AH50" s="80" t="s">
        <v>353</v>
      </c>
      <c r="AI50" s="80" t="s">
        <v>353</v>
      </c>
      <c r="AJ50" s="80" t="s">
        <v>353</v>
      </c>
      <c r="AK50" s="80" t="s">
        <v>353</v>
      </c>
      <c r="AL50" s="81">
        <f>IF(E50="Sí",1,IF(E50="Parcial",0.5,0))+IF(F50="Sí",1,IF(F50="Parcial",0.5,0))+IF(G50="Sí",1,IF(G50="Parcial",0.5,0))+IF(H50="Sí",1,IF(H50="Parcial",0.5,0))</f>
        <v>3</v>
      </c>
      <c r="AM50" s="82">
        <f>IF(I50="Sí",1,IF(I50="Parcial",0.5,0))+IF(J50="Sí",1,IF(J50="Parcial",0.5,0))+IF(K50="Sí",1,IF(K50="Parcial",0.5,0))</f>
        <v>0</v>
      </c>
      <c r="AN50" s="83">
        <f>IF(L50="Sí",1,IF(L50="Parcial",0.5,0))+IF(M50="Sí",1,IF(M50="Parcial",0.5,0))+IF(N50="Sí",1,IF(N50="Parcial",0.5,0))+IF(O50="Sí",1,IF(O50="Parcial",0.5,0))</f>
        <v>0</v>
      </c>
      <c r="AO50" s="84">
        <f>IF(P50="Sí",1,IF(P50="Parcial",0.5,0))+IF(Q50="Sí",1,IF(Q50="Parcial",0.5,0))+IF(R50="Sí",1,IF(R50="Parcial",0.5,0))+IF(S50="Sí",1,IF(S50="Parcial",0.5,0))+IF(T50="Sí",1,IF(T50="Parcial",0.5,0))+IF(U50="Sí",1,IF(U50="Parcial",0.5,0))</f>
        <v>0</v>
      </c>
      <c r="AP50" s="85">
        <f>IF(V50="Sí",1,IF(V50="Parcial",0.5,0))+IF(W50="Sí",1,IF(W50="Parcial",0.5,0))+IF(X50="Sí",1,IF(X50="Parcial",0.5,0))+IF(Y50="Sí",1,IF(Y50="Parcial",0.5,0))</f>
        <v>0</v>
      </c>
      <c r="AQ50" s="86">
        <f>IF(Z50="Sí",1,IF(Z50="Parcial",0.5,0))+IF(AA50="Sí",1,IF(AA50="Parcial",0.5,0))+IF(AB50="Sí",1,IF(AB50="Parcial",0.5,0))</f>
        <v>1</v>
      </c>
      <c r="AR50" s="87">
        <f>IF(AC50="Sí",1,IF(AC50="Parcial",0.5,0))+IF(AD50="Sí",1,IF(AD50="Parcial",0.5,0))+IF(AE50="Sí",1,IF(AE50="Parcial",0.5,0))</f>
        <v>0</v>
      </c>
      <c r="AS50" s="88">
        <f>IF(AF50="Sí",1,IF(AF50="Parcial",0.5,0))+IF(AG50="Sí",1,IF(AG50="Parcial",0.5,0))+IF(AH50="Sí",1,IF(AH50="Parcial",0.5,0))</f>
        <v>0</v>
      </c>
      <c r="AT50" s="89">
        <f>IF(AI50="Sí",1,IF(AI50="Parcial",0.5,0))+IF(AJ50="Sí",1,IF(AJ50="Parcial",0.5,0))+IF(AK50="Sí",1,IF(AK50="Parcial",0.5,0))</f>
        <v>0</v>
      </c>
      <c r="AU50" s="90">
        <f>SUM(AL50,AM50,AN50,AO50,AP50,AQ50,AR50,AS50,AT50)</f>
        <v>4</v>
      </c>
      <c r="AV50" s="225">
        <f>IFERROR(IF(OR(A50="",AU50=0),"",AU50/(IF(AL50&gt;0,1,0)+IF(AM50&gt;0,1,0)+IF(AN50&gt;0,1,0)+IF(AO50&gt;0,1,0)+IF(AP50&gt;0,1,0)+IF(AQ50&gt;0,1,0)+IF(AR50&gt;0,1,0)+IF(AS50&gt;0,1,0)+IF(AT50&gt;0,1,0))),"")</f>
        <v>2</v>
      </c>
      <c r="AW50" s="225">
        <f>IFERROR(IF(OR(A50="",AU50=""),"",IF(AND(MAX($AU$8:$AU$156)=0,MAX($AV$8:$AV$156)=0),"",0.5*(AU50/MAX($AU$8:$AU$156))+0.5*(AV50/MAX($AV$8:$AV$156)))),"")</f>
        <v>0.47222222222222221</v>
      </c>
      <c r="AX50" s="79" t="str">
        <f>IF(A50="","",IF((IF(AL50&gt;=1,1,0)+IF(AM50&gt;=1,1,0)+IF(AN50&gt;=1,1,0)+IF(AO50&gt;=1,1,0)+IF(AP50&gt;=1,1,0)+IF(AQ50&gt;=1,1,0)+IF(AR50&gt;=1,1,0)+IF(AS50&gt;=1,1,0)+IF(AT50&gt;=1,1,0))&gt;=5,"Diversificado (5+ verticales)",IF((IF(AL50&gt;=1,1,0)+IF(AM50&gt;=1,1,0)+IF(AN50&gt;=1,1,0)+IF(AO50&gt;=1,1,0)+IF(AP50&gt;=1,1,0)+IF(AQ50&gt;=1,1,0)+IF(AR50&gt;=1,1,0)+IF(AS50&gt;=1,1,0)+IF(AT50&gt;=1,1,0))&gt;=3,"Multi-capacidad (3-4 verticales)",IF((IF(AL50&gt;=1,1,0)+IF(AM50&gt;=1,1,0)+IF(AN50&gt;=1,1,0)+IF(AO50&gt;=1,1,0)+IF(AP50&gt;=1,1,0)+IF(AQ50&gt;=1,1,0)+IF(AR50&gt;=1,1,0)+IF(AS50&gt;=1,1,0)+IF(AT50&gt;=1,1,0))&gt;=1,"Especialista (1-2 verticales)","Sin función mapeada"))))</f>
        <v>Especialista (1-2 verticales)</v>
      </c>
    </row>
    <row r="51" spans="1:50" ht="24" customHeight="1" x14ac:dyDescent="0.2">
      <c r="A51" s="48" t="s">
        <v>1416</v>
      </c>
      <c r="B51" s="48" t="s">
        <v>1417</v>
      </c>
      <c r="C51" s="78" t="str">
        <f>IF(A51="","",IFERROR(INDEX('UNIVERSO MAESTRO'!$C$6:$C$497,MATCH(A51,'UNIVERSO MAESTRO'!$A$6:$A$497,0)),"⚠ ID no encontrado"))</f>
        <v>TelevisaUnivision</v>
      </c>
      <c r="D51" s="79" t="str">
        <f>IF(A51="","",IFERROR(INDEX('UNIVERSO MAESTRO'!$D$6:$D$497,MATCH(A51,'UNIVERSO MAESTRO'!$A$6:$A$497,0)),""))</f>
        <v>V2</v>
      </c>
      <c r="E51" s="80" t="s">
        <v>1530</v>
      </c>
      <c r="F51" s="80" t="s">
        <v>353</v>
      </c>
      <c r="G51" s="80" t="s">
        <v>353</v>
      </c>
      <c r="H51" s="80" t="s">
        <v>353</v>
      </c>
      <c r="I51" s="80" t="s">
        <v>1530</v>
      </c>
      <c r="J51" s="80" t="s">
        <v>1530</v>
      </c>
      <c r="K51" s="80" t="s">
        <v>1530</v>
      </c>
      <c r="L51" s="80" t="s">
        <v>353</v>
      </c>
      <c r="M51" s="80" t="s">
        <v>353</v>
      </c>
      <c r="N51" s="80" t="s">
        <v>353</v>
      </c>
      <c r="O51" s="80" t="s">
        <v>353</v>
      </c>
      <c r="P51" s="80" t="s">
        <v>353</v>
      </c>
      <c r="Q51" s="80" t="s">
        <v>353</v>
      </c>
      <c r="R51" s="80" t="s">
        <v>353</v>
      </c>
      <c r="S51" s="80" t="s">
        <v>353</v>
      </c>
      <c r="T51" s="80" t="s">
        <v>353</v>
      </c>
      <c r="U51" s="80" t="s">
        <v>353</v>
      </c>
      <c r="V51" s="80" t="s">
        <v>353</v>
      </c>
      <c r="W51" s="80" t="s">
        <v>353</v>
      </c>
      <c r="X51" s="80" t="s">
        <v>353</v>
      </c>
      <c r="Y51" s="80" t="s">
        <v>353</v>
      </c>
      <c r="Z51" s="80" t="s">
        <v>353</v>
      </c>
      <c r="AA51" s="80" t="s">
        <v>353</v>
      </c>
      <c r="AB51" s="80" t="s">
        <v>353</v>
      </c>
      <c r="AC51" s="80" t="s">
        <v>353</v>
      </c>
      <c r="AD51" s="80" t="s">
        <v>353</v>
      </c>
      <c r="AE51" s="80" t="s">
        <v>353</v>
      </c>
      <c r="AF51" s="80" t="s">
        <v>353</v>
      </c>
      <c r="AG51" s="80" t="s">
        <v>353</v>
      </c>
      <c r="AH51" s="80" t="s">
        <v>353</v>
      </c>
      <c r="AI51" s="80" t="s">
        <v>353</v>
      </c>
      <c r="AJ51" s="80" t="s">
        <v>353</v>
      </c>
      <c r="AK51" s="80" t="s">
        <v>353</v>
      </c>
      <c r="AL51" s="81">
        <f>IF(E51="Sí",1,IF(E51="Parcial",0.5,0))+IF(F51="Sí",1,IF(F51="Parcial",0.5,0))+IF(G51="Sí",1,IF(G51="Parcial",0.5,0))+IF(H51="Sí",1,IF(H51="Parcial",0.5,0))</f>
        <v>1</v>
      </c>
      <c r="AM51" s="82">
        <f>IF(I51="Sí",1,IF(I51="Parcial",0.5,0))+IF(J51="Sí",1,IF(J51="Parcial",0.5,0))+IF(K51="Sí",1,IF(K51="Parcial",0.5,0))</f>
        <v>3</v>
      </c>
      <c r="AN51" s="83">
        <f>IF(L51="Sí",1,IF(L51="Parcial",0.5,0))+IF(M51="Sí",1,IF(M51="Parcial",0.5,0))+IF(N51="Sí",1,IF(N51="Parcial",0.5,0))+IF(O51="Sí",1,IF(O51="Parcial",0.5,0))</f>
        <v>0</v>
      </c>
      <c r="AO51" s="84">
        <f>IF(P51="Sí",1,IF(P51="Parcial",0.5,0))+IF(Q51="Sí",1,IF(Q51="Parcial",0.5,0))+IF(R51="Sí",1,IF(R51="Parcial",0.5,0))+IF(S51="Sí",1,IF(S51="Parcial",0.5,0))+IF(T51="Sí",1,IF(T51="Parcial",0.5,0))+IF(U51="Sí",1,IF(U51="Parcial",0.5,0))</f>
        <v>0</v>
      </c>
      <c r="AP51" s="85">
        <f>IF(V51="Sí",1,IF(V51="Parcial",0.5,0))+IF(W51="Sí",1,IF(W51="Parcial",0.5,0))+IF(X51="Sí",1,IF(X51="Parcial",0.5,0))+IF(Y51="Sí",1,IF(Y51="Parcial",0.5,0))</f>
        <v>0</v>
      </c>
      <c r="AQ51" s="86">
        <f>IF(Z51="Sí",1,IF(Z51="Parcial",0.5,0))+IF(AA51="Sí",1,IF(AA51="Parcial",0.5,0))+IF(AB51="Sí",1,IF(AB51="Parcial",0.5,0))</f>
        <v>0</v>
      </c>
      <c r="AR51" s="87">
        <f>IF(AC51="Sí",1,IF(AC51="Parcial",0.5,0))+IF(AD51="Sí",1,IF(AD51="Parcial",0.5,0))+IF(AE51="Sí",1,IF(AE51="Parcial",0.5,0))</f>
        <v>0</v>
      </c>
      <c r="AS51" s="88">
        <f>IF(AF51="Sí",1,IF(AF51="Parcial",0.5,0))+IF(AG51="Sí",1,IF(AG51="Parcial",0.5,0))+IF(AH51="Sí",1,IF(AH51="Parcial",0.5,0))</f>
        <v>0</v>
      </c>
      <c r="AT51" s="89">
        <f>IF(AI51="Sí",1,IF(AI51="Parcial",0.5,0))+IF(AJ51="Sí",1,IF(AJ51="Parcial",0.5,0))+IF(AK51="Sí",1,IF(AK51="Parcial",0.5,0))</f>
        <v>0</v>
      </c>
      <c r="AU51" s="90">
        <f>SUM(AL51,AM51,AN51,AO51,AP51,AQ51,AR51,AS51,AT51)</f>
        <v>4</v>
      </c>
      <c r="AV51" s="225">
        <f>IFERROR(IF(OR(A51="",AU51=0),"",AU51/(IF(AL51&gt;0,1,0)+IF(AM51&gt;0,1,0)+IF(AN51&gt;0,1,0)+IF(AO51&gt;0,1,0)+IF(AP51&gt;0,1,0)+IF(AQ51&gt;0,1,0)+IF(AR51&gt;0,1,0)+IF(AS51&gt;0,1,0)+IF(AT51&gt;0,1,0))),"")</f>
        <v>2</v>
      </c>
      <c r="AW51" s="225">
        <f>IFERROR(IF(OR(A51="",AU51=""),"",IF(AND(MAX($AU$8:$AU$156)=0,MAX($AV$8:$AV$156)=0),"",0.5*(AU51/MAX($AU$8:$AU$156))+0.5*(AV51/MAX($AV$8:$AV$156)))),"")</f>
        <v>0.47222222222222221</v>
      </c>
      <c r="AX51" s="79" t="str">
        <f>IF(A51="","",IF((IF(AL51&gt;=1,1,0)+IF(AM51&gt;=1,1,0)+IF(AN51&gt;=1,1,0)+IF(AO51&gt;=1,1,0)+IF(AP51&gt;=1,1,0)+IF(AQ51&gt;=1,1,0)+IF(AR51&gt;=1,1,0)+IF(AS51&gt;=1,1,0)+IF(AT51&gt;=1,1,0))&gt;=5,"Diversificado (5+ verticales)",IF((IF(AL51&gt;=1,1,0)+IF(AM51&gt;=1,1,0)+IF(AN51&gt;=1,1,0)+IF(AO51&gt;=1,1,0)+IF(AP51&gt;=1,1,0)+IF(AQ51&gt;=1,1,0)+IF(AR51&gt;=1,1,0)+IF(AS51&gt;=1,1,0)+IF(AT51&gt;=1,1,0))&gt;=3,"Multi-capacidad (3-4 verticales)",IF((IF(AL51&gt;=1,1,0)+IF(AM51&gt;=1,1,0)+IF(AN51&gt;=1,1,0)+IF(AO51&gt;=1,1,0)+IF(AP51&gt;=1,1,0)+IF(AQ51&gt;=1,1,0)+IF(AR51&gt;=1,1,0)+IF(AS51&gt;=1,1,0)+IF(AT51&gt;=1,1,0))&gt;=1,"Especialista (1-2 verticales)","Sin función mapeada"))))</f>
        <v>Especialista (1-2 verticales)</v>
      </c>
    </row>
    <row r="52" spans="1:50" ht="24" customHeight="1" x14ac:dyDescent="0.2">
      <c r="A52" s="48" t="s">
        <v>1464</v>
      </c>
      <c r="B52" s="48" t="s">
        <v>1465</v>
      </c>
      <c r="C52" s="78" t="str">
        <f>IF(A52="","",IFERROR(INDEX('UNIVERSO MAESTRO'!$C$6:$C$497,MATCH(A52,'UNIVERSO MAESTRO'!$A$6:$A$497,0)),"⚠ ID no encontrado"))</f>
        <v>Victum Sports México (HYROX México)</v>
      </c>
      <c r="D52" s="79" t="str">
        <f>IF(A52="","",IFERROR(INDEX('UNIVERSO MAESTRO'!$D$6:$D$497,MATCH(A52,'UNIVERSO MAESTRO'!$A$6:$A$497,0)),""))</f>
        <v>V1</v>
      </c>
      <c r="E52" s="80" t="s">
        <v>1530</v>
      </c>
      <c r="F52" s="80" t="s">
        <v>1530</v>
      </c>
      <c r="G52" s="80" t="s">
        <v>1530</v>
      </c>
      <c r="H52" s="80" t="s">
        <v>353</v>
      </c>
      <c r="I52" s="80" t="s">
        <v>353</v>
      </c>
      <c r="J52" s="80" t="s">
        <v>353</v>
      </c>
      <c r="K52" s="80" t="s">
        <v>353</v>
      </c>
      <c r="L52" s="80" t="s">
        <v>353</v>
      </c>
      <c r="M52" s="80" t="s">
        <v>353</v>
      </c>
      <c r="N52" s="80" t="s">
        <v>353</v>
      </c>
      <c r="O52" s="80" t="s">
        <v>353</v>
      </c>
      <c r="P52" s="80" t="s">
        <v>353</v>
      </c>
      <c r="Q52" s="80" t="s">
        <v>353</v>
      </c>
      <c r="R52" s="80" t="s">
        <v>353</v>
      </c>
      <c r="S52" s="80" t="s">
        <v>353</v>
      </c>
      <c r="T52" s="80" t="s">
        <v>353</v>
      </c>
      <c r="U52" s="80" t="s">
        <v>353</v>
      </c>
      <c r="V52" s="80" t="s">
        <v>1530</v>
      </c>
      <c r="W52" s="80" t="s">
        <v>353</v>
      </c>
      <c r="X52" s="80" t="s">
        <v>353</v>
      </c>
      <c r="Y52" s="80" t="s">
        <v>353</v>
      </c>
      <c r="Z52" s="80" t="s">
        <v>353</v>
      </c>
      <c r="AA52" s="80" t="s">
        <v>353</v>
      </c>
      <c r="AB52" s="80" t="s">
        <v>353</v>
      </c>
      <c r="AC52" s="80" t="s">
        <v>353</v>
      </c>
      <c r="AD52" s="80" t="s">
        <v>353</v>
      </c>
      <c r="AE52" s="80" t="s">
        <v>353</v>
      </c>
      <c r="AF52" s="80" t="s">
        <v>353</v>
      </c>
      <c r="AG52" s="80" t="s">
        <v>353</v>
      </c>
      <c r="AH52" s="80" t="s">
        <v>353</v>
      </c>
      <c r="AI52" s="80" t="s">
        <v>353</v>
      </c>
      <c r="AJ52" s="80" t="s">
        <v>353</v>
      </c>
      <c r="AK52" s="80" t="s">
        <v>353</v>
      </c>
      <c r="AL52" s="81">
        <f>IF(E52="Sí",1,IF(E52="Parcial",0.5,0))+IF(F52="Sí",1,IF(F52="Parcial",0.5,0))+IF(G52="Sí",1,IF(G52="Parcial",0.5,0))+IF(H52="Sí",1,IF(H52="Parcial",0.5,0))</f>
        <v>3</v>
      </c>
      <c r="AM52" s="82">
        <f>IF(I52="Sí",1,IF(I52="Parcial",0.5,0))+IF(J52="Sí",1,IF(J52="Parcial",0.5,0))+IF(K52="Sí",1,IF(K52="Parcial",0.5,0))</f>
        <v>0</v>
      </c>
      <c r="AN52" s="83">
        <f>IF(L52="Sí",1,IF(L52="Parcial",0.5,0))+IF(M52="Sí",1,IF(M52="Parcial",0.5,0))+IF(N52="Sí",1,IF(N52="Parcial",0.5,0))+IF(O52="Sí",1,IF(O52="Parcial",0.5,0))</f>
        <v>0</v>
      </c>
      <c r="AO52" s="84">
        <f>IF(P52="Sí",1,IF(P52="Parcial",0.5,0))+IF(Q52="Sí",1,IF(Q52="Parcial",0.5,0))+IF(R52="Sí",1,IF(R52="Parcial",0.5,0))+IF(S52="Sí",1,IF(S52="Parcial",0.5,0))+IF(T52="Sí",1,IF(T52="Parcial",0.5,0))+IF(U52="Sí",1,IF(U52="Parcial",0.5,0))</f>
        <v>0</v>
      </c>
      <c r="AP52" s="85">
        <f>IF(V52="Sí",1,IF(V52="Parcial",0.5,0))+IF(W52="Sí",1,IF(W52="Parcial",0.5,0))+IF(X52="Sí",1,IF(X52="Parcial",0.5,0))+IF(Y52="Sí",1,IF(Y52="Parcial",0.5,0))</f>
        <v>1</v>
      </c>
      <c r="AQ52" s="86">
        <f>IF(Z52="Sí",1,IF(Z52="Parcial",0.5,0))+IF(AA52="Sí",1,IF(AA52="Parcial",0.5,0))+IF(AB52="Sí",1,IF(AB52="Parcial",0.5,0))</f>
        <v>0</v>
      </c>
      <c r="AR52" s="87">
        <f>IF(AC52="Sí",1,IF(AC52="Parcial",0.5,0))+IF(AD52="Sí",1,IF(AD52="Parcial",0.5,0))+IF(AE52="Sí",1,IF(AE52="Parcial",0.5,0))</f>
        <v>0</v>
      </c>
      <c r="AS52" s="88">
        <f>IF(AF52="Sí",1,IF(AF52="Parcial",0.5,0))+IF(AG52="Sí",1,IF(AG52="Parcial",0.5,0))+IF(AH52="Sí",1,IF(AH52="Parcial",0.5,0))</f>
        <v>0</v>
      </c>
      <c r="AT52" s="89">
        <f>IF(AI52="Sí",1,IF(AI52="Parcial",0.5,0))+IF(AJ52="Sí",1,IF(AJ52="Parcial",0.5,0))+IF(AK52="Sí",1,IF(AK52="Parcial",0.5,0))</f>
        <v>0</v>
      </c>
      <c r="AU52" s="90">
        <f>SUM(AL52,AM52,AN52,AO52,AP52,AQ52,AR52,AS52,AT52)</f>
        <v>4</v>
      </c>
      <c r="AV52" s="225">
        <f>IFERROR(IF(OR(A52="",AU52=0),"",AU52/(IF(AL52&gt;0,1,0)+IF(AM52&gt;0,1,0)+IF(AN52&gt;0,1,0)+IF(AO52&gt;0,1,0)+IF(AP52&gt;0,1,0)+IF(AQ52&gt;0,1,0)+IF(AR52&gt;0,1,0)+IF(AS52&gt;0,1,0)+IF(AT52&gt;0,1,0))),"")</f>
        <v>2</v>
      </c>
      <c r="AW52" s="225">
        <f>IFERROR(IF(OR(A52="",AU52=""),"",IF(AND(MAX($AU$8:$AU$156)=0,MAX($AV$8:$AV$156)=0),"",0.5*(AU52/MAX($AU$8:$AU$156))+0.5*(AV52/MAX($AV$8:$AV$156)))),"")</f>
        <v>0.47222222222222221</v>
      </c>
      <c r="AX52" s="79" t="str">
        <f>IF(A52="","",IF((IF(AL52&gt;=1,1,0)+IF(AM52&gt;=1,1,0)+IF(AN52&gt;=1,1,0)+IF(AO52&gt;=1,1,0)+IF(AP52&gt;=1,1,0)+IF(AQ52&gt;=1,1,0)+IF(AR52&gt;=1,1,0)+IF(AS52&gt;=1,1,0)+IF(AT52&gt;=1,1,0))&gt;=5,"Diversificado (5+ verticales)",IF((IF(AL52&gt;=1,1,0)+IF(AM52&gt;=1,1,0)+IF(AN52&gt;=1,1,0)+IF(AO52&gt;=1,1,0)+IF(AP52&gt;=1,1,0)+IF(AQ52&gt;=1,1,0)+IF(AR52&gt;=1,1,0)+IF(AS52&gt;=1,1,0)+IF(AT52&gt;=1,1,0))&gt;=3,"Multi-capacidad (3-4 verticales)",IF((IF(AL52&gt;=1,1,0)+IF(AM52&gt;=1,1,0)+IF(AN52&gt;=1,1,0)+IF(AO52&gt;=1,1,0)+IF(AP52&gt;=1,1,0)+IF(AQ52&gt;=1,1,0)+IF(AR52&gt;=1,1,0)+IF(AS52&gt;=1,1,0)+IF(AT52&gt;=1,1,0))&gt;=1,"Especialista (1-2 verticales)","Sin función mapeada"))))</f>
        <v>Especialista (1-2 verticales)</v>
      </c>
    </row>
    <row r="53" spans="1:50" ht="24" customHeight="1" x14ac:dyDescent="0.2">
      <c r="A53" s="48" t="s">
        <v>558</v>
      </c>
      <c r="B53" s="48" t="s">
        <v>559</v>
      </c>
      <c r="C53" s="78" t="str">
        <f>IF(A53="","",IFERROR(INDEX('UNIVERSO MAESTRO'!$C$6:$C$497,MATCH(A53,'UNIVERSO MAESTRO'!$A$6:$A$497,0)),"⚠ ID no encontrado"))</f>
        <v>Estadio Ciudad de los Deportes</v>
      </c>
      <c r="D53" s="79" t="str">
        <f>IF(A53="","",IFERROR(INDEX('UNIVERSO MAESTRO'!$D$6:$D$497,MATCH(A53,'UNIVERSO MAESTRO'!$A$6:$A$497,0)),""))</f>
        <v>V7</v>
      </c>
      <c r="E53" s="80" t="s">
        <v>353</v>
      </c>
      <c r="F53" s="80" t="s">
        <v>353</v>
      </c>
      <c r="G53" s="80" t="s">
        <v>353</v>
      </c>
      <c r="H53" s="80" t="s">
        <v>353</v>
      </c>
      <c r="I53" s="80" t="s">
        <v>353</v>
      </c>
      <c r="J53" s="80" t="s">
        <v>353</v>
      </c>
      <c r="K53" s="80" t="s">
        <v>353</v>
      </c>
      <c r="L53" s="80" t="s">
        <v>353</v>
      </c>
      <c r="M53" s="80" t="s">
        <v>353</v>
      </c>
      <c r="N53" s="80" t="s">
        <v>353</v>
      </c>
      <c r="O53" s="80" t="s">
        <v>353</v>
      </c>
      <c r="P53" s="80" t="s">
        <v>353</v>
      </c>
      <c r="Q53" s="80" t="s">
        <v>353</v>
      </c>
      <c r="R53" s="80" t="s">
        <v>353</v>
      </c>
      <c r="S53" s="80" t="s">
        <v>353</v>
      </c>
      <c r="T53" s="80" t="s">
        <v>353</v>
      </c>
      <c r="U53" s="80" t="s">
        <v>353</v>
      </c>
      <c r="V53" s="80" t="s">
        <v>353</v>
      </c>
      <c r="W53" s="80" t="s">
        <v>353</v>
      </c>
      <c r="X53" s="80" t="s">
        <v>353</v>
      </c>
      <c r="Y53" s="80" t="s">
        <v>353</v>
      </c>
      <c r="Z53" s="80" t="s">
        <v>353</v>
      </c>
      <c r="AA53" s="80" t="s">
        <v>353</v>
      </c>
      <c r="AB53" s="80" t="s">
        <v>353</v>
      </c>
      <c r="AC53" s="80" t="s">
        <v>1530</v>
      </c>
      <c r="AD53" s="80" t="s">
        <v>1530</v>
      </c>
      <c r="AE53" s="80" t="s">
        <v>3340</v>
      </c>
      <c r="AF53" s="80" t="s">
        <v>353</v>
      </c>
      <c r="AG53" s="80" t="s">
        <v>353</v>
      </c>
      <c r="AH53" s="80" t="s">
        <v>353</v>
      </c>
      <c r="AI53" s="80" t="s">
        <v>353</v>
      </c>
      <c r="AJ53" s="80" t="s">
        <v>353</v>
      </c>
      <c r="AK53" s="80" t="s">
        <v>353</v>
      </c>
      <c r="AL53" s="81">
        <f>IF(E53="Sí",1,IF(E53="Parcial",0.5,0))+IF(F53="Sí",1,IF(F53="Parcial",0.5,0))+IF(G53="Sí",1,IF(G53="Parcial",0.5,0))+IF(H53="Sí",1,IF(H53="Parcial",0.5,0))</f>
        <v>0</v>
      </c>
      <c r="AM53" s="82">
        <f>IF(I53="Sí",1,IF(I53="Parcial",0.5,0))+IF(J53="Sí",1,IF(J53="Parcial",0.5,0))+IF(K53="Sí",1,IF(K53="Parcial",0.5,0))</f>
        <v>0</v>
      </c>
      <c r="AN53" s="83">
        <f>IF(L53="Sí",1,IF(L53="Parcial",0.5,0))+IF(M53="Sí",1,IF(M53="Parcial",0.5,0))+IF(N53="Sí",1,IF(N53="Parcial",0.5,0))+IF(O53="Sí",1,IF(O53="Parcial",0.5,0))</f>
        <v>0</v>
      </c>
      <c r="AO53" s="84">
        <f>IF(P53="Sí",1,IF(P53="Parcial",0.5,0))+IF(Q53="Sí",1,IF(Q53="Parcial",0.5,0))+IF(R53="Sí",1,IF(R53="Parcial",0.5,0))+IF(S53="Sí",1,IF(S53="Parcial",0.5,0))+IF(T53="Sí",1,IF(T53="Parcial",0.5,0))+IF(U53="Sí",1,IF(U53="Parcial",0.5,0))</f>
        <v>0</v>
      </c>
      <c r="AP53" s="85">
        <f>IF(V53="Sí",1,IF(V53="Parcial",0.5,0))+IF(W53="Sí",1,IF(W53="Parcial",0.5,0))+IF(X53="Sí",1,IF(X53="Parcial",0.5,0))+IF(Y53="Sí",1,IF(Y53="Parcial",0.5,0))</f>
        <v>0</v>
      </c>
      <c r="AQ53" s="86">
        <f>IF(Z53="Sí",1,IF(Z53="Parcial",0.5,0))+IF(AA53="Sí",1,IF(AA53="Parcial",0.5,0))+IF(AB53="Sí",1,IF(AB53="Parcial",0.5,0))</f>
        <v>0</v>
      </c>
      <c r="AR53" s="87">
        <f>IF(AC53="Sí",1,IF(AC53="Parcial",0.5,0))+IF(AD53="Sí",1,IF(AD53="Parcial",0.5,0))+IF(AE53="Sí",1,IF(AE53="Parcial",0.5,0))</f>
        <v>2.5</v>
      </c>
      <c r="AS53" s="88">
        <f>IF(AF53="Sí",1,IF(AF53="Parcial",0.5,0))+IF(AG53="Sí",1,IF(AG53="Parcial",0.5,0))+IF(AH53="Sí",1,IF(AH53="Parcial",0.5,0))</f>
        <v>0</v>
      </c>
      <c r="AT53" s="89">
        <f>IF(AI53="Sí",1,IF(AI53="Parcial",0.5,0))+IF(AJ53="Sí",1,IF(AJ53="Parcial",0.5,0))+IF(AK53="Sí",1,IF(AK53="Parcial",0.5,0))</f>
        <v>0</v>
      </c>
      <c r="AU53" s="90">
        <f>SUM(AL53,AM53,AN53,AO53,AP53,AQ53,AR53,AS53,AT53)</f>
        <v>2.5</v>
      </c>
      <c r="AV53" s="225">
        <f>IFERROR(IF(OR(A53="",AU53=0),"",AU53/(IF(AL53&gt;0,1,0)+IF(AM53&gt;0,1,0)+IF(AN53&gt;0,1,0)+IF(AO53&gt;0,1,0)+IF(AP53&gt;0,1,0)+IF(AQ53&gt;0,1,0)+IF(AR53&gt;0,1,0)+IF(AS53&gt;0,1,0)+IF(AT53&gt;0,1,0))),"")</f>
        <v>2.5</v>
      </c>
      <c r="AW53" s="225">
        <f>IFERROR(IF(OR(A53="",AU53=""),"",IF(AND(MAX($AU$8:$AU$156)=0,MAX($AV$8:$AV$156)=0),"",0.5*(AU53/MAX($AU$8:$AU$156))+0.5*(AV53/MAX($AV$8:$AV$156)))),"")</f>
        <v>0.4513888888888889</v>
      </c>
      <c r="AX53" s="79" t="str">
        <f>IF(A53="","",IF((IF(AL53&gt;=1,1,0)+IF(AM53&gt;=1,1,0)+IF(AN53&gt;=1,1,0)+IF(AO53&gt;=1,1,0)+IF(AP53&gt;=1,1,0)+IF(AQ53&gt;=1,1,0)+IF(AR53&gt;=1,1,0)+IF(AS53&gt;=1,1,0)+IF(AT53&gt;=1,1,0))&gt;=5,"Diversificado (5+ verticales)",IF((IF(AL53&gt;=1,1,0)+IF(AM53&gt;=1,1,0)+IF(AN53&gt;=1,1,0)+IF(AO53&gt;=1,1,0)+IF(AP53&gt;=1,1,0)+IF(AQ53&gt;=1,1,0)+IF(AR53&gt;=1,1,0)+IF(AS53&gt;=1,1,0)+IF(AT53&gt;=1,1,0))&gt;=3,"Multi-capacidad (3-4 verticales)",IF((IF(AL53&gt;=1,1,0)+IF(AM53&gt;=1,1,0)+IF(AN53&gt;=1,1,0)+IF(AO53&gt;=1,1,0)+IF(AP53&gt;=1,1,0)+IF(AQ53&gt;=1,1,0)+IF(AR53&gt;=1,1,0)+IF(AS53&gt;=1,1,0)+IF(AT53&gt;=1,1,0))&gt;=1,"Especialista (1-2 verticales)","Sin función mapeada"))))</f>
        <v>Especialista (1-2 verticales)</v>
      </c>
    </row>
    <row r="54" spans="1:50" ht="24" customHeight="1" x14ac:dyDescent="0.2">
      <c r="A54" s="48" t="s">
        <v>647</v>
      </c>
      <c r="B54" s="48" t="s">
        <v>648</v>
      </c>
      <c r="C54" s="78" t="str">
        <f>IF(A54="","",IFERROR(INDEX('UNIVERSO MAESTRO'!$C$6:$C$497,MATCH(A54,'UNIVERSO MAESTRO'!$A$6:$A$497,0)),"⚠ ID no encontrado"))</f>
        <v>Fox Corporation / FOX One / Tubi México</v>
      </c>
      <c r="D54" s="79" t="str">
        <f>IF(A54="","",IFERROR(INDEX('UNIVERSO MAESTRO'!$D$6:$D$497,MATCH(A54,'UNIVERSO MAESTRO'!$A$6:$A$497,0)),""))</f>
        <v>V2</v>
      </c>
      <c r="E54" s="80" t="s">
        <v>353</v>
      </c>
      <c r="F54" s="80" t="s">
        <v>353</v>
      </c>
      <c r="G54" s="80" t="s">
        <v>353</v>
      </c>
      <c r="H54" s="80" t="s">
        <v>353</v>
      </c>
      <c r="I54" s="80" t="s">
        <v>1530</v>
      </c>
      <c r="J54" s="80" t="s">
        <v>1530</v>
      </c>
      <c r="K54" s="80" t="s">
        <v>3340</v>
      </c>
      <c r="L54" s="80" t="s">
        <v>353</v>
      </c>
      <c r="M54" s="80" t="s">
        <v>353</v>
      </c>
      <c r="N54" s="80" t="s">
        <v>353</v>
      </c>
      <c r="O54" s="80" t="s">
        <v>353</v>
      </c>
      <c r="P54" s="80" t="s">
        <v>353</v>
      </c>
      <c r="Q54" s="80" t="s">
        <v>353</v>
      </c>
      <c r="R54" s="80" t="s">
        <v>353</v>
      </c>
      <c r="S54" s="80" t="s">
        <v>353</v>
      </c>
      <c r="T54" s="80" t="s">
        <v>353</v>
      </c>
      <c r="U54" s="80" t="s">
        <v>353</v>
      </c>
      <c r="V54" s="80" t="s">
        <v>353</v>
      </c>
      <c r="W54" s="80" t="s">
        <v>353</v>
      </c>
      <c r="X54" s="80" t="s">
        <v>353</v>
      </c>
      <c r="Y54" s="80" t="s">
        <v>353</v>
      </c>
      <c r="Z54" s="80" t="s">
        <v>353</v>
      </c>
      <c r="AA54" s="80" t="s">
        <v>353</v>
      </c>
      <c r="AB54" s="80" t="s">
        <v>353</v>
      </c>
      <c r="AC54" s="80" t="s">
        <v>353</v>
      </c>
      <c r="AD54" s="80" t="s">
        <v>353</v>
      </c>
      <c r="AE54" s="80" t="s">
        <v>353</v>
      </c>
      <c r="AF54" s="80" t="s">
        <v>353</v>
      </c>
      <c r="AG54" s="80" t="s">
        <v>353</v>
      </c>
      <c r="AH54" s="80" t="s">
        <v>353</v>
      </c>
      <c r="AI54" s="80" t="s">
        <v>353</v>
      </c>
      <c r="AJ54" s="80" t="s">
        <v>353</v>
      </c>
      <c r="AK54" s="80" t="s">
        <v>353</v>
      </c>
      <c r="AL54" s="81">
        <f>IF(E54="Sí",1,IF(E54="Parcial",0.5,0))+IF(F54="Sí",1,IF(F54="Parcial",0.5,0))+IF(G54="Sí",1,IF(G54="Parcial",0.5,0))+IF(H54="Sí",1,IF(H54="Parcial",0.5,0))</f>
        <v>0</v>
      </c>
      <c r="AM54" s="82">
        <f>IF(I54="Sí",1,IF(I54="Parcial",0.5,0))+IF(J54="Sí",1,IF(J54="Parcial",0.5,0))+IF(K54="Sí",1,IF(K54="Parcial",0.5,0))</f>
        <v>2.5</v>
      </c>
      <c r="AN54" s="83">
        <f>IF(L54="Sí",1,IF(L54="Parcial",0.5,0))+IF(M54="Sí",1,IF(M54="Parcial",0.5,0))+IF(N54="Sí",1,IF(N54="Parcial",0.5,0))+IF(O54="Sí",1,IF(O54="Parcial",0.5,0))</f>
        <v>0</v>
      </c>
      <c r="AO54" s="84">
        <f>IF(P54="Sí",1,IF(P54="Parcial",0.5,0))+IF(Q54="Sí",1,IF(Q54="Parcial",0.5,0))+IF(R54="Sí",1,IF(R54="Parcial",0.5,0))+IF(S54="Sí",1,IF(S54="Parcial",0.5,0))+IF(T54="Sí",1,IF(T54="Parcial",0.5,0))+IF(U54="Sí",1,IF(U54="Parcial",0.5,0))</f>
        <v>0</v>
      </c>
      <c r="AP54" s="85">
        <f>IF(V54="Sí",1,IF(V54="Parcial",0.5,0))+IF(W54="Sí",1,IF(W54="Parcial",0.5,0))+IF(X54="Sí",1,IF(X54="Parcial",0.5,0))+IF(Y54="Sí",1,IF(Y54="Parcial",0.5,0))</f>
        <v>0</v>
      </c>
      <c r="AQ54" s="86">
        <f>IF(Z54="Sí",1,IF(Z54="Parcial",0.5,0))+IF(AA54="Sí",1,IF(AA54="Parcial",0.5,0))+IF(AB54="Sí",1,IF(AB54="Parcial",0.5,0))</f>
        <v>0</v>
      </c>
      <c r="AR54" s="87">
        <f>IF(AC54="Sí",1,IF(AC54="Parcial",0.5,0))+IF(AD54="Sí",1,IF(AD54="Parcial",0.5,0))+IF(AE54="Sí",1,IF(AE54="Parcial",0.5,0))</f>
        <v>0</v>
      </c>
      <c r="AS54" s="88">
        <f>IF(AF54="Sí",1,IF(AF54="Parcial",0.5,0))+IF(AG54="Sí",1,IF(AG54="Parcial",0.5,0))+IF(AH54="Sí",1,IF(AH54="Parcial",0.5,0))</f>
        <v>0</v>
      </c>
      <c r="AT54" s="89">
        <f>IF(AI54="Sí",1,IF(AI54="Parcial",0.5,0))+IF(AJ54="Sí",1,IF(AJ54="Parcial",0.5,0))+IF(AK54="Sí",1,IF(AK54="Parcial",0.5,0))</f>
        <v>0</v>
      </c>
      <c r="AU54" s="90">
        <f>SUM(AL54,AM54,AN54,AO54,AP54,AQ54,AR54,AS54,AT54)</f>
        <v>2.5</v>
      </c>
      <c r="AV54" s="225">
        <f>IFERROR(IF(OR(A54="",AU54=0),"",AU54/(IF(AL54&gt;0,1,0)+IF(AM54&gt;0,1,0)+IF(AN54&gt;0,1,0)+IF(AO54&gt;0,1,0)+IF(AP54&gt;0,1,0)+IF(AQ54&gt;0,1,0)+IF(AR54&gt;0,1,0)+IF(AS54&gt;0,1,0)+IF(AT54&gt;0,1,0))),"")</f>
        <v>2.5</v>
      </c>
      <c r="AW54" s="225">
        <f>IFERROR(IF(OR(A54="",AU54=""),"",IF(AND(MAX($AU$8:$AU$156)=0,MAX($AV$8:$AV$156)=0),"",0.5*(AU54/MAX($AU$8:$AU$156))+0.5*(AV54/MAX($AV$8:$AV$156)))),"")</f>
        <v>0.4513888888888889</v>
      </c>
      <c r="AX54" s="79" t="str">
        <f>IF(A54="","",IF((IF(AL54&gt;=1,1,0)+IF(AM54&gt;=1,1,0)+IF(AN54&gt;=1,1,0)+IF(AO54&gt;=1,1,0)+IF(AP54&gt;=1,1,0)+IF(AQ54&gt;=1,1,0)+IF(AR54&gt;=1,1,0)+IF(AS54&gt;=1,1,0)+IF(AT54&gt;=1,1,0))&gt;=5,"Diversificado (5+ verticales)",IF((IF(AL54&gt;=1,1,0)+IF(AM54&gt;=1,1,0)+IF(AN54&gt;=1,1,0)+IF(AO54&gt;=1,1,0)+IF(AP54&gt;=1,1,0)+IF(AQ54&gt;=1,1,0)+IF(AR54&gt;=1,1,0)+IF(AS54&gt;=1,1,0)+IF(AT54&gt;=1,1,0))&gt;=3,"Multi-capacidad (3-4 verticales)",IF((IF(AL54&gt;=1,1,0)+IF(AM54&gt;=1,1,0)+IF(AN54&gt;=1,1,0)+IF(AO54&gt;=1,1,0)+IF(AP54&gt;=1,1,0)+IF(AQ54&gt;=1,1,0)+IF(AR54&gt;=1,1,0)+IF(AS54&gt;=1,1,0)+IF(AT54&gt;=1,1,0))&gt;=1,"Especialista (1-2 verticales)","Sin función mapeada"))))</f>
        <v>Especialista (1-2 verticales)</v>
      </c>
    </row>
    <row r="55" spans="1:50" ht="24" customHeight="1" x14ac:dyDescent="0.2">
      <c r="A55" s="48" t="s">
        <v>654</v>
      </c>
      <c r="B55" s="48" t="s">
        <v>655</v>
      </c>
      <c r="C55" s="78" t="str">
        <f>IF(A55="","",IFERROR(INDEX('UNIVERSO MAESTRO'!$C$6:$C$497,MATCH(A55,'UNIVERSO MAESTRO'!$A$6:$A$497,0)),"⚠ ID no encontrado"))</f>
        <v>Fox Sports México / Grupo Lauman</v>
      </c>
      <c r="D55" s="79" t="str">
        <f>IF(A55="","",IFERROR(INDEX('UNIVERSO MAESTRO'!$D$6:$D$497,MATCH(A55,'UNIVERSO MAESTRO'!$A$6:$A$497,0)),""))</f>
        <v>V2</v>
      </c>
      <c r="E55" s="80" t="s">
        <v>353</v>
      </c>
      <c r="F55" s="80" t="s">
        <v>353</v>
      </c>
      <c r="G55" s="80" t="s">
        <v>353</v>
      </c>
      <c r="H55" s="80" t="s">
        <v>353</v>
      </c>
      <c r="I55" s="80" t="s">
        <v>1530</v>
      </c>
      <c r="J55" s="80" t="s">
        <v>1530</v>
      </c>
      <c r="K55" s="80" t="s">
        <v>3340</v>
      </c>
      <c r="L55" s="80" t="s">
        <v>353</v>
      </c>
      <c r="M55" s="80" t="s">
        <v>353</v>
      </c>
      <c r="N55" s="80" t="s">
        <v>353</v>
      </c>
      <c r="O55" s="80" t="s">
        <v>353</v>
      </c>
      <c r="P55" s="80" t="s">
        <v>353</v>
      </c>
      <c r="Q55" s="80" t="s">
        <v>353</v>
      </c>
      <c r="R55" s="80" t="s">
        <v>353</v>
      </c>
      <c r="S55" s="80" t="s">
        <v>353</v>
      </c>
      <c r="T55" s="80" t="s">
        <v>353</v>
      </c>
      <c r="U55" s="80" t="s">
        <v>353</v>
      </c>
      <c r="V55" s="80" t="s">
        <v>353</v>
      </c>
      <c r="W55" s="80" t="s">
        <v>353</v>
      </c>
      <c r="X55" s="80" t="s">
        <v>353</v>
      </c>
      <c r="Y55" s="80" t="s">
        <v>353</v>
      </c>
      <c r="Z55" s="80" t="s">
        <v>353</v>
      </c>
      <c r="AA55" s="80" t="s">
        <v>353</v>
      </c>
      <c r="AB55" s="80" t="s">
        <v>353</v>
      </c>
      <c r="AC55" s="80" t="s">
        <v>353</v>
      </c>
      <c r="AD55" s="80" t="s">
        <v>353</v>
      </c>
      <c r="AE55" s="80" t="s">
        <v>353</v>
      </c>
      <c r="AF55" s="80" t="s">
        <v>353</v>
      </c>
      <c r="AG55" s="80" t="s">
        <v>353</v>
      </c>
      <c r="AH55" s="80" t="s">
        <v>353</v>
      </c>
      <c r="AI55" s="80" t="s">
        <v>353</v>
      </c>
      <c r="AJ55" s="80" t="s">
        <v>353</v>
      </c>
      <c r="AK55" s="80" t="s">
        <v>353</v>
      </c>
      <c r="AL55" s="81">
        <f>IF(E55="Sí",1,IF(E55="Parcial",0.5,0))+IF(F55="Sí",1,IF(F55="Parcial",0.5,0))+IF(G55="Sí",1,IF(G55="Parcial",0.5,0))+IF(H55="Sí",1,IF(H55="Parcial",0.5,0))</f>
        <v>0</v>
      </c>
      <c r="AM55" s="82">
        <f>IF(I55="Sí",1,IF(I55="Parcial",0.5,0))+IF(J55="Sí",1,IF(J55="Parcial",0.5,0))+IF(K55="Sí",1,IF(K55="Parcial",0.5,0))</f>
        <v>2.5</v>
      </c>
      <c r="AN55" s="83">
        <f>IF(L55="Sí",1,IF(L55="Parcial",0.5,0))+IF(M55="Sí",1,IF(M55="Parcial",0.5,0))+IF(N55="Sí",1,IF(N55="Parcial",0.5,0))+IF(O55="Sí",1,IF(O55="Parcial",0.5,0))</f>
        <v>0</v>
      </c>
      <c r="AO55" s="84">
        <f>IF(P55="Sí",1,IF(P55="Parcial",0.5,0))+IF(Q55="Sí",1,IF(Q55="Parcial",0.5,0))+IF(R55="Sí",1,IF(R55="Parcial",0.5,0))+IF(S55="Sí",1,IF(S55="Parcial",0.5,0))+IF(T55="Sí",1,IF(T55="Parcial",0.5,0))+IF(U55="Sí",1,IF(U55="Parcial",0.5,0))</f>
        <v>0</v>
      </c>
      <c r="AP55" s="85">
        <f>IF(V55="Sí",1,IF(V55="Parcial",0.5,0))+IF(W55="Sí",1,IF(W55="Parcial",0.5,0))+IF(X55="Sí",1,IF(X55="Parcial",0.5,0))+IF(Y55="Sí",1,IF(Y55="Parcial",0.5,0))</f>
        <v>0</v>
      </c>
      <c r="AQ55" s="86">
        <f>IF(Z55="Sí",1,IF(Z55="Parcial",0.5,0))+IF(AA55="Sí",1,IF(AA55="Parcial",0.5,0))+IF(AB55="Sí",1,IF(AB55="Parcial",0.5,0))</f>
        <v>0</v>
      </c>
      <c r="AR55" s="87">
        <f>IF(AC55="Sí",1,IF(AC55="Parcial",0.5,0))+IF(AD55="Sí",1,IF(AD55="Parcial",0.5,0))+IF(AE55="Sí",1,IF(AE55="Parcial",0.5,0))</f>
        <v>0</v>
      </c>
      <c r="AS55" s="88">
        <f>IF(AF55="Sí",1,IF(AF55="Parcial",0.5,0))+IF(AG55="Sí",1,IF(AG55="Parcial",0.5,0))+IF(AH55="Sí",1,IF(AH55="Parcial",0.5,0))</f>
        <v>0</v>
      </c>
      <c r="AT55" s="89">
        <f>IF(AI55="Sí",1,IF(AI55="Parcial",0.5,0))+IF(AJ55="Sí",1,IF(AJ55="Parcial",0.5,0))+IF(AK55="Sí",1,IF(AK55="Parcial",0.5,0))</f>
        <v>0</v>
      </c>
      <c r="AU55" s="90">
        <f>SUM(AL55,AM55,AN55,AO55,AP55,AQ55,AR55,AS55,AT55)</f>
        <v>2.5</v>
      </c>
      <c r="AV55" s="225">
        <f>IFERROR(IF(OR(A55="",AU55=0),"",AU55/(IF(AL55&gt;0,1,0)+IF(AM55&gt;0,1,0)+IF(AN55&gt;0,1,0)+IF(AO55&gt;0,1,0)+IF(AP55&gt;0,1,0)+IF(AQ55&gt;0,1,0)+IF(AR55&gt;0,1,0)+IF(AS55&gt;0,1,0)+IF(AT55&gt;0,1,0))),"")</f>
        <v>2.5</v>
      </c>
      <c r="AW55" s="225">
        <f>IFERROR(IF(OR(A55="",AU55=""),"",IF(AND(MAX($AU$8:$AU$156)=0,MAX($AV$8:$AV$156)=0),"",0.5*(AU55/MAX($AU$8:$AU$156))+0.5*(AV55/MAX($AV$8:$AV$156)))),"")</f>
        <v>0.4513888888888889</v>
      </c>
      <c r="AX55" s="79" t="str">
        <f>IF(A55="","",IF((IF(AL55&gt;=1,1,0)+IF(AM55&gt;=1,1,0)+IF(AN55&gt;=1,1,0)+IF(AO55&gt;=1,1,0)+IF(AP55&gt;=1,1,0)+IF(AQ55&gt;=1,1,0)+IF(AR55&gt;=1,1,0)+IF(AS55&gt;=1,1,0)+IF(AT55&gt;=1,1,0))&gt;=5,"Diversificado (5+ verticales)",IF((IF(AL55&gt;=1,1,0)+IF(AM55&gt;=1,1,0)+IF(AN55&gt;=1,1,0)+IF(AO55&gt;=1,1,0)+IF(AP55&gt;=1,1,0)+IF(AQ55&gt;=1,1,0)+IF(AR55&gt;=1,1,0)+IF(AS55&gt;=1,1,0)+IF(AT55&gt;=1,1,0))&gt;=3,"Multi-capacidad (3-4 verticales)",IF((IF(AL55&gt;=1,1,0)+IF(AM55&gt;=1,1,0)+IF(AN55&gt;=1,1,0)+IF(AO55&gt;=1,1,0)+IF(AP55&gt;=1,1,0)+IF(AQ55&gt;=1,1,0)+IF(AR55&gt;=1,1,0)+IF(AS55&gt;=1,1,0)+IF(AT55&gt;=1,1,0))&gt;=1,"Especialista (1-2 verticales)","Sin función mapeada"))))</f>
        <v>Especialista (1-2 verticales)</v>
      </c>
    </row>
    <row r="56" spans="1:50" ht="24" customHeight="1" x14ac:dyDescent="0.2">
      <c r="A56" s="48" t="s">
        <v>1101</v>
      </c>
      <c r="B56" s="48" t="s">
        <v>1102</v>
      </c>
      <c r="C56" s="78" t="str">
        <f>IF(A56="","",IFERROR(INDEX('UNIVERSO MAESTRO'!$C$6:$C$497,MATCH(A56,'UNIVERSO MAESTRO'!$A$6:$A$497,0)),"⚠ ID no encontrado"))</f>
        <v>Neta Agencia Deportiva</v>
      </c>
      <c r="D56" s="79" t="str">
        <f>IF(A56="","",IFERROR(INDEX('UNIVERSO MAESTRO'!$D$6:$D$497,MATCH(A56,'UNIVERSO MAESTRO'!$A$6:$A$497,0)),""))</f>
        <v>V4</v>
      </c>
      <c r="E56" s="80" t="s">
        <v>353</v>
      </c>
      <c r="F56" s="80" t="s">
        <v>353</v>
      </c>
      <c r="G56" s="80" t="s">
        <v>353</v>
      </c>
      <c r="H56" s="80" t="s">
        <v>353</v>
      </c>
      <c r="I56" s="80" t="s">
        <v>353</v>
      </c>
      <c r="J56" s="80" t="s">
        <v>353</v>
      </c>
      <c r="K56" s="80" t="s">
        <v>353</v>
      </c>
      <c r="L56" s="80" t="s">
        <v>353</v>
      </c>
      <c r="M56" s="80" t="s">
        <v>353</v>
      </c>
      <c r="N56" s="80" t="s">
        <v>353</v>
      </c>
      <c r="O56" s="80" t="s">
        <v>353</v>
      </c>
      <c r="P56" s="80" t="s">
        <v>3340</v>
      </c>
      <c r="Q56" s="80" t="s">
        <v>353</v>
      </c>
      <c r="R56" s="80" t="s">
        <v>1530</v>
      </c>
      <c r="S56" s="80" t="s">
        <v>1530</v>
      </c>
      <c r="T56" s="80" t="s">
        <v>353</v>
      </c>
      <c r="U56" s="80" t="s">
        <v>353</v>
      </c>
      <c r="V56" s="80" t="s">
        <v>353</v>
      </c>
      <c r="W56" s="80" t="s">
        <v>353</v>
      </c>
      <c r="X56" s="80" t="s">
        <v>353</v>
      </c>
      <c r="Y56" s="80" t="s">
        <v>353</v>
      </c>
      <c r="Z56" s="80" t="s">
        <v>353</v>
      </c>
      <c r="AA56" s="80" t="s">
        <v>353</v>
      </c>
      <c r="AB56" s="80" t="s">
        <v>353</v>
      </c>
      <c r="AC56" s="80" t="s">
        <v>353</v>
      </c>
      <c r="AD56" s="80" t="s">
        <v>353</v>
      </c>
      <c r="AE56" s="80" t="s">
        <v>353</v>
      </c>
      <c r="AF56" s="80" t="s">
        <v>353</v>
      </c>
      <c r="AG56" s="80" t="s">
        <v>353</v>
      </c>
      <c r="AH56" s="80" t="s">
        <v>353</v>
      </c>
      <c r="AI56" s="80" t="s">
        <v>353</v>
      </c>
      <c r="AJ56" s="80" t="s">
        <v>353</v>
      </c>
      <c r="AK56" s="80" t="s">
        <v>353</v>
      </c>
      <c r="AL56" s="81">
        <f>IF(E56="Sí",1,IF(E56="Parcial",0.5,0))+IF(F56="Sí",1,IF(F56="Parcial",0.5,0))+IF(G56="Sí",1,IF(G56="Parcial",0.5,0))+IF(H56="Sí",1,IF(H56="Parcial",0.5,0))</f>
        <v>0</v>
      </c>
      <c r="AM56" s="82">
        <f>IF(I56="Sí",1,IF(I56="Parcial",0.5,0))+IF(J56="Sí",1,IF(J56="Parcial",0.5,0))+IF(K56="Sí",1,IF(K56="Parcial",0.5,0))</f>
        <v>0</v>
      </c>
      <c r="AN56" s="83">
        <f>IF(L56="Sí",1,IF(L56="Parcial",0.5,0))+IF(M56="Sí",1,IF(M56="Parcial",0.5,0))+IF(N56="Sí",1,IF(N56="Parcial",0.5,0))+IF(O56="Sí",1,IF(O56="Parcial",0.5,0))</f>
        <v>0</v>
      </c>
      <c r="AO56" s="84">
        <f>IF(P56="Sí",1,IF(P56="Parcial",0.5,0))+IF(Q56="Sí",1,IF(Q56="Parcial",0.5,0))+IF(R56="Sí",1,IF(R56="Parcial",0.5,0))+IF(S56="Sí",1,IF(S56="Parcial",0.5,0))+IF(T56="Sí",1,IF(T56="Parcial",0.5,0))+IF(U56="Sí",1,IF(U56="Parcial",0.5,0))</f>
        <v>2.5</v>
      </c>
      <c r="AP56" s="85">
        <f>IF(V56="Sí",1,IF(V56="Parcial",0.5,0))+IF(W56="Sí",1,IF(W56="Parcial",0.5,0))+IF(X56="Sí",1,IF(X56="Parcial",0.5,0))+IF(Y56="Sí",1,IF(Y56="Parcial",0.5,0))</f>
        <v>0</v>
      </c>
      <c r="AQ56" s="86">
        <f>IF(Z56="Sí",1,IF(Z56="Parcial",0.5,0))+IF(AA56="Sí",1,IF(AA56="Parcial",0.5,0))+IF(AB56="Sí",1,IF(AB56="Parcial",0.5,0))</f>
        <v>0</v>
      </c>
      <c r="AR56" s="87">
        <f>IF(AC56="Sí",1,IF(AC56="Parcial",0.5,0))+IF(AD56="Sí",1,IF(AD56="Parcial",0.5,0))+IF(AE56="Sí",1,IF(AE56="Parcial",0.5,0))</f>
        <v>0</v>
      </c>
      <c r="AS56" s="88">
        <f>IF(AF56="Sí",1,IF(AF56="Parcial",0.5,0))+IF(AG56="Sí",1,IF(AG56="Parcial",0.5,0))+IF(AH56="Sí",1,IF(AH56="Parcial",0.5,0))</f>
        <v>0</v>
      </c>
      <c r="AT56" s="89">
        <f>IF(AI56="Sí",1,IF(AI56="Parcial",0.5,0))+IF(AJ56="Sí",1,IF(AJ56="Parcial",0.5,0))+IF(AK56="Sí",1,IF(AK56="Parcial",0.5,0))</f>
        <v>0</v>
      </c>
      <c r="AU56" s="90">
        <f>SUM(AL56,AM56,AN56,AO56,AP56,AQ56,AR56,AS56,AT56)</f>
        <v>2.5</v>
      </c>
      <c r="AV56" s="225">
        <f>IFERROR(IF(OR(A56="",AU56=0),"",AU56/(IF(AL56&gt;0,1,0)+IF(AM56&gt;0,1,0)+IF(AN56&gt;0,1,0)+IF(AO56&gt;0,1,0)+IF(AP56&gt;0,1,0)+IF(AQ56&gt;0,1,0)+IF(AR56&gt;0,1,0)+IF(AS56&gt;0,1,0)+IF(AT56&gt;0,1,0))),"")</f>
        <v>2.5</v>
      </c>
      <c r="AW56" s="225">
        <f>IFERROR(IF(OR(A56="",AU56=""),"",IF(AND(MAX($AU$8:$AU$156)=0,MAX($AV$8:$AV$156)=0),"",0.5*(AU56/MAX($AU$8:$AU$156))+0.5*(AV56/MAX($AV$8:$AV$156)))),"")</f>
        <v>0.4513888888888889</v>
      </c>
      <c r="AX56" s="79" t="str">
        <f>IF(A56="","",IF((IF(AL56&gt;=1,1,0)+IF(AM56&gt;=1,1,0)+IF(AN56&gt;=1,1,0)+IF(AO56&gt;=1,1,0)+IF(AP56&gt;=1,1,0)+IF(AQ56&gt;=1,1,0)+IF(AR56&gt;=1,1,0)+IF(AS56&gt;=1,1,0)+IF(AT56&gt;=1,1,0))&gt;=5,"Diversificado (5+ verticales)",IF((IF(AL56&gt;=1,1,0)+IF(AM56&gt;=1,1,0)+IF(AN56&gt;=1,1,0)+IF(AO56&gt;=1,1,0)+IF(AP56&gt;=1,1,0)+IF(AQ56&gt;=1,1,0)+IF(AR56&gt;=1,1,0)+IF(AS56&gt;=1,1,0)+IF(AT56&gt;=1,1,0))&gt;=3,"Multi-capacidad (3-4 verticales)",IF((IF(AL56&gt;=1,1,0)+IF(AM56&gt;=1,1,0)+IF(AN56&gt;=1,1,0)+IF(AO56&gt;=1,1,0)+IF(AP56&gt;=1,1,0)+IF(AQ56&gt;=1,1,0)+IF(AR56&gt;=1,1,0)+IF(AS56&gt;=1,1,0)+IF(AT56&gt;=1,1,0))&gt;=1,"Especialista (1-2 verticales)","Sin función mapeada"))))</f>
        <v>Especialista (1-2 verticales)</v>
      </c>
    </row>
    <row r="57" spans="1:50" ht="24" customHeight="1" x14ac:dyDescent="0.2">
      <c r="A57" s="48" t="s">
        <v>1109</v>
      </c>
      <c r="B57" s="48" t="s">
        <v>1110</v>
      </c>
      <c r="C57" s="78" t="str">
        <f>IF(A57="","",IFERROR(INDEX('UNIVERSO MAESTRO'!$C$6:$C$497,MATCH(A57,'UNIVERSO MAESTRO'!$A$6:$A$497,0)),"⚠ ID no encontrado"))</f>
        <v>Netflix México</v>
      </c>
      <c r="D57" s="79" t="str">
        <f>IF(A57="","",IFERROR(INDEX('UNIVERSO MAESTRO'!$D$6:$D$497,MATCH(A57,'UNIVERSO MAESTRO'!$A$6:$A$497,0)),""))</f>
        <v>V2</v>
      </c>
      <c r="E57" s="80" t="s">
        <v>353</v>
      </c>
      <c r="F57" s="80" t="s">
        <v>353</v>
      </c>
      <c r="G57" s="80" t="s">
        <v>353</v>
      </c>
      <c r="H57" s="80" t="s">
        <v>353</v>
      </c>
      <c r="I57" s="80" t="s">
        <v>1530</v>
      </c>
      <c r="J57" s="80" t="s">
        <v>1530</v>
      </c>
      <c r="K57" s="80" t="s">
        <v>3340</v>
      </c>
      <c r="L57" s="80" t="s">
        <v>353</v>
      </c>
      <c r="M57" s="80" t="s">
        <v>353</v>
      </c>
      <c r="N57" s="80" t="s">
        <v>353</v>
      </c>
      <c r="O57" s="80" t="s">
        <v>353</v>
      </c>
      <c r="P57" s="80" t="s">
        <v>353</v>
      </c>
      <c r="Q57" s="80" t="s">
        <v>353</v>
      </c>
      <c r="R57" s="80" t="s">
        <v>353</v>
      </c>
      <c r="S57" s="80" t="s">
        <v>353</v>
      </c>
      <c r="T57" s="80" t="s">
        <v>353</v>
      </c>
      <c r="U57" s="80" t="s">
        <v>353</v>
      </c>
      <c r="V57" s="80" t="s">
        <v>353</v>
      </c>
      <c r="W57" s="80" t="s">
        <v>353</v>
      </c>
      <c r="X57" s="80" t="s">
        <v>353</v>
      </c>
      <c r="Y57" s="80" t="s">
        <v>353</v>
      </c>
      <c r="Z57" s="80" t="s">
        <v>353</v>
      </c>
      <c r="AA57" s="80" t="s">
        <v>353</v>
      </c>
      <c r="AB57" s="80" t="s">
        <v>353</v>
      </c>
      <c r="AC57" s="80" t="s">
        <v>353</v>
      </c>
      <c r="AD57" s="80" t="s">
        <v>353</v>
      </c>
      <c r="AE57" s="80" t="s">
        <v>353</v>
      </c>
      <c r="AF57" s="80" t="s">
        <v>353</v>
      </c>
      <c r="AG57" s="80" t="s">
        <v>353</v>
      </c>
      <c r="AH57" s="80" t="s">
        <v>353</v>
      </c>
      <c r="AI57" s="80" t="s">
        <v>353</v>
      </c>
      <c r="AJ57" s="80" t="s">
        <v>353</v>
      </c>
      <c r="AK57" s="80" t="s">
        <v>353</v>
      </c>
      <c r="AL57" s="81">
        <f>IF(E57="Sí",1,IF(E57="Parcial",0.5,0))+IF(F57="Sí",1,IF(F57="Parcial",0.5,0))+IF(G57="Sí",1,IF(G57="Parcial",0.5,0))+IF(H57="Sí",1,IF(H57="Parcial",0.5,0))</f>
        <v>0</v>
      </c>
      <c r="AM57" s="82">
        <f>IF(I57="Sí",1,IF(I57="Parcial",0.5,0))+IF(J57="Sí",1,IF(J57="Parcial",0.5,0))+IF(K57="Sí",1,IF(K57="Parcial",0.5,0))</f>
        <v>2.5</v>
      </c>
      <c r="AN57" s="83">
        <f>IF(L57="Sí",1,IF(L57="Parcial",0.5,0))+IF(M57="Sí",1,IF(M57="Parcial",0.5,0))+IF(N57="Sí",1,IF(N57="Parcial",0.5,0))+IF(O57="Sí",1,IF(O57="Parcial",0.5,0))</f>
        <v>0</v>
      </c>
      <c r="AO57" s="84">
        <f>IF(P57="Sí",1,IF(P57="Parcial",0.5,0))+IF(Q57="Sí",1,IF(Q57="Parcial",0.5,0))+IF(R57="Sí",1,IF(R57="Parcial",0.5,0))+IF(S57="Sí",1,IF(S57="Parcial",0.5,0))+IF(T57="Sí",1,IF(T57="Parcial",0.5,0))+IF(U57="Sí",1,IF(U57="Parcial",0.5,0))</f>
        <v>0</v>
      </c>
      <c r="AP57" s="85">
        <f>IF(V57="Sí",1,IF(V57="Parcial",0.5,0))+IF(W57="Sí",1,IF(W57="Parcial",0.5,0))+IF(X57="Sí",1,IF(X57="Parcial",0.5,0))+IF(Y57="Sí",1,IF(Y57="Parcial",0.5,0))</f>
        <v>0</v>
      </c>
      <c r="AQ57" s="86">
        <f>IF(Z57="Sí",1,IF(Z57="Parcial",0.5,0))+IF(AA57="Sí",1,IF(AA57="Parcial",0.5,0))+IF(AB57="Sí",1,IF(AB57="Parcial",0.5,0))</f>
        <v>0</v>
      </c>
      <c r="AR57" s="87">
        <f>IF(AC57="Sí",1,IF(AC57="Parcial",0.5,0))+IF(AD57="Sí",1,IF(AD57="Parcial",0.5,0))+IF(AE57="Sí",1,IF(AE57="Parcial",0.5,0))</f>
        <v>0</v>
      </c>
      <c r="AS57" s="88">
        <f>IF(AF57="Sí",1,IF(AF57="Parcial",0.5,0))+IF(AG57="Sí",1,IF(AG57="Parcial",0.5,0))+IF(AH57="Sí",1,IF(AH57="Parcial",0.5,0))</f>
        <v>0</v>
      </c>
      <c r="AT57" s="89">
        <f>IF(AI57="Sí",1,IF(AI57="Parcial",0.5,0))+IF(AJ57="Sí",1,IF(AJ57="Parcial",0.5,0))+IF(AK57="Sí",1,IF(AK57="Parcial",0.5,0))</f>
        <v>0</v>
      </c>
      <c r="AU57" s="90">
        <f>SUM(AL57,AM57,AN57,AO57,AP57,AQ57,AR57,AS57,AT57)</f>
        <v>2.5</v>
      </c>
      <c r="AV57" s="225">
        <f>IFERROR(IF(OR(A57="",AU57=0),"",AU57/(IF(AL57&gt;0,1,0)+IF(AM57&gt;0,1,0)+IF(AN57&gt;0,1,0)+IF(AO57&gt;0,1,0)+IF(AP57&gt;0,1,0)+IF(AQ57&gt;0,1,0)+IF(AR57&gt;0,1,0)+IF(AS57&gt;0,1,0)+IF(AT57&gt;0,1,0))),"")</f>
        <v>2.5</v>
      </c>
      <c r="AW57" s="225">
        <f>IFERROR(IF(OR(A57="",AU57=""),"",IF(AND(MAX($AU$8:$AU$156)=0,MAX($AV$8:$AV$156)=0),"",0.5*(AU57/MAX($AU$8:$AU$156))+0.5*(AV57/MAX($AV$8:$AV$156)))),"")</f>
        <v>0.4513888888888889</v>
      </c>
      <c r="AX57" s="79" t="str">
        <f>IF(A57="","",IF((IF(AL57&gt;=1,1,0)+IF(AM57&gt;=1,1,0)+IF(AN57&gt;=1,1,0)+IF(AO57&gt;=1,1,0)+IF(AP57&gt;=1,1,0)+IF(AQ57&gt;=1,1,0)+IF(AR57&gt;=1,1,0)+IF(AS57&gt;=1,1,0)+IF(AT57&gt;=1,1,0))&gt;=5,"Diversificado (5+ verticales)",IF((IF(AL57&gt;=1,1,0)+IF(AM57&gt;=1,1,0)+IF(AN57&gt;=1,1,0)+IF(AO57&gt;=1,1,0)+IF(AP57&gt;=1,1,0)+IF(AQ57&gt;=1,1,0)+IF(AR57&gt;=1,1,0)+IF(AS57&gt;=1,1,0)+IF(AT57&gt;=1,1,0))&gt;=3,"Multi-capacidad (3-4 verticales)",IF((IF(AL57&gt;=1,1,0)+IF(AM57&gt;=1,1,0)+IF(AN57&gt;=1,1,0)+IF(AO57&gt;=1,1,0)+IF(AP57&gt;=1,1,0)+IF(AQ57&gt;=1,1,0)+IF(AR57&gt;=1,1,0)+IF(AS57&gt;=1,1,0)+IF(AT57&gt;=1,1,0))&gt;=1,"Especialista (1-2 verticales)","Sin función mapeada"))))</f>
        <v>Especialista (1-2 verticales)</v>
      </c>
    </row>
    <row r="58" spans="1:50" ht="24" customHeight="1" x14ac:dyDescent="0.2">
      <c r="A58" s="48" t="s">
        <v>377</v>
      </c>
      <c r="B58" s="48" t="s">
        <v>378</v>
      </c>
      <c r="C58" s="78" t="str">
        <f>IF(A58="","",IFERROR(INDEX('UNIVERSO MAESTRO'!$C$6:$C$497,MATCH(A58,'UNIVERSO MAESTRO'!$A$6:$A$497,0)),"⚠ ID no encontrado"))</f>
        <v>CEMEX / Sinergia Deportiva</v>
      </c>
      <c r="D58" s="79" t="str">
        <f>IF(A58="","",IFERROR(INDEX('UNIVERSO MAESTRO'!$D$6:$D$497,MATCH(A58,'UNIVERSO MAESTRO'!$A$6:$A$497,0)),""))</f>
        <v>V9</v>
      </c>
      <c r="E58" s="80" t="s">
        <v>1530</v>
      </c>
      <c r="F58" s="80" t="s">
        <v>353</v>
      </c>
      <c r="G58" s="80" t="s">
        <v>1530</v>
      </c>
      <c r="H58" s="80" t="s">
        <v>353</v>
      </c>
      <c r="I58" s="80" t="s">
        <v>353</v>
      </c>
      <c r="J58" s="80" t="s">
        <v>353</v>
      </c>
      <c r="K58" s="80" t="s">
        <v>353</v>
      </c>
      <c r="L58" s="80" t="s">
        <v>353</v>
      </c>
      <c r="M58" s="80" t="s">
        <v>353</v>
      </c>
      <c r="N58" s="80" t="s">
        <v>353</v>
      </c>
      <c r="O58" s="80" t="s">
        <v>353</v>
      </c>
      <c r="P58" s="80" t="s">
        <v>353</v>
      </c>
      <c r="Q58" s="80" t="s">
        <v>353</v>
      </c>
      <c r="R58" s="80" t="s">
        <v>353</v>
      </c>
      <c r="S58" s="80" t="s">
        <v>353</v>
      </c>
      <c r="T58" s="80" t="s">
        <v>353</v>
      </c>
      <c r="U58" s="80" t="s">
        <v>353</v>
      </c>
      <c r="V58" s="80" t="s">
        <v>353</v>
      </c>
      <c r="W58" s="80" t="s">
        <v>353</v>
      </c>
      <c r="X58" s="80" t="s">
        <v>353</v>
      </c>
      <c r="Y58" s="80" t="s">
        <v>353</v>
      </c>
      <c r="Z58" s="80" t="s">
        <v>353</v>
      </c>
      <c r="AA58" s="80" t="s">
        <v>353</v>
      </c>
      <c r="AB58" s="80" t="s">
        <v>353</v>
      </c>
      <c r="AC58" s="80" t="s">
        <v>353</v>
      </c>
      <c r="AD58" s="80" t="s">
        <v>1530</v>
      </c>
      <c r="AE58" s="80" t="s">
        <v>3340</v>
      </c>
      <c r="AF58" s="80" t="s">
        <v>353</v>
      </c>
      <c r="AG58" s="80" t="s">
        <v>353</v>
      </c>
      <c r="AH58" s="80" t="s">
        <v>353</v>
      </c>
      <c r="AI58" s="80" t="s">
        <v>1530</v>
      </c>
      <c r="AJ58" s="80" t="s">
        <v>353</v>
      </c>
      <c r="AK58" s="80" t="s">
        <v>353</v>
      </c>
      <c r="AL58" s="81">
        <f>IF(E58="Sí",1,IF(E58="Parcial",0.5,0))+IF(F58="Sí",1,IF(F58="Parcial",0.5,0))+IF(G58="Sí",1,IF(G58="Parcial",0.5,0))+IF(H58="Sí",1,IF(H58="Parcial",0.5,0))</f>
        <v>2</v>
      </c>
      <c r="AM58" s="82">
        <f>IF(I58="Sí",1,IF(I58="Parcial",0.5,0))+IF(J58="Sí",1,IF(J58="Parcial",0.5,0))+IF(K58="Sí",1,IF(K58="Parcial",0.5,0))</f>
        <v>0</v>
      </c>
      <c r="AN58" s="83">
        <f>IF(L58="Sí",1,IF(L58="Parcial",0.5,0))+IF(M58="Sí",1,IF(M58="Parcial",0.5,0))+IF(N58="Sí",1,IF(N58="Parcial",0.5,0))+IF(O58="Sí",1,IF(O58="Parcial",0.5,0))</f>
        <v>0</v>
      </c>
      <c r="AO58" s="84">
        <f>IF(P58="Sí",1,IF(P58="Parcial",0.5,0))+IF(Q58="Sí",1,IF(Q58="Parcial",0.5,0))+IF(R58="Sí",1,IF(R58="Parcial",0.5,0))+IF(S58="Sí",1,IF(S58="Parcial",0.5,0))+IF(T58="Sí",1,IF(T58="Parcial",0.5,0))+IF(U58="Sí",1,IF(U58="Parcial",0.5,0))</f>
        <v>0</v>
      </c>
      <c r="AP58" s="85">
        <f>IF(V58="Sí",1,IF(V58="Parcial",0.5,0))+IF(W58="Sí",1,IF(W58="Parcial",0.5,0))+IF(X58="Sí",1,IF(X58="Parcial",0.5,0))+IF(Y58="Sí",1,IF(Y58="Parcial",0.5,0))</f>
        <v>0</v>
      </c>
      <c r="AQ58" s="86">
        <f>IF(Z58="Sí",1,IF(Z58="Parcial",0.5,0))+IF(AA58="Sí",1,IF(AA58="Parcial",0.5,0))+IF(AB58="Sí",1,IF(AB58="Parcial",0.5,0))</f>
        <v>0</v>
      </c>
      <c r="AR58" s="87">
        <f>IF(AC58="Sí",1,IF(AC58="Parcial",0.5,0))+IF(AD58="Sí",1,IF(AD58="Parcial",0.5,0))+IF(AE58="Sí",1,IF(AE58="Parcial",0.5,0))</f>
        <v>1.5</v>
      </c>
      <c r="AS58" s="88">
        <f>IF(AF58="Sí",1,IF(AF58="Parcial",0.5,0))+IF(AG58="Sí",1,IF(AG58="Parcial",0.5,0))+IF(AH58="Sí",1,IF(AH58="Parcial",0.5,0))</f>
        <v>0</v>
      </c>
      <c r="AT58" s="89">
        <f>IF(AI58="Sí",1,IF(AI58="Parcial",0.5,0))+IF(AJ58="Sí",1,IF(AJ58="Parcial",0.5,0))+IF(AK58="Sí",1,IF(AK58="Parcial",0.5,0))</f>
        <v>1</v>
      </c>
      <c r="AU58" s="90">
        <f>SUM(AL58,AM58,AN58,AO58,AP58,AQ58,AR58,AS58,AT58)</f>
        <v>4.5</v>
      </c>
      <c r="AV58" s="225">
        <f>IFERROR(IF(OR(A58="",AU58=0),"",AU58/(IF(AL58&gt;0,1,0)+IF(AM58&gt;0,1,0)+IF(AN58&gt;0,1,0)+IF(AO58&gt;0,1,0)+IF(AP58&gt;0,1,0)+IF(AQ58&gt;0,1,0)+IF(AR58&gt;0,1,0)+IF(AS58&gt;0,1,0)+IF(AT58&gt;0,1,0))),"")</f>
        <v>1.5</v>
      </c>
      <c r="AW58" s="225">
        <f>IFERROR(IF(OR(A58="",AU58=""),"",IF(AND(MAX($AU$8:$AU$156)=0,MAX($AV$8:$AV$156)=0),"",0.5*(AU58/MAX($AU$8:$AU$156))+0.5*(AV58/MAX($AV$8:$AV$156)))),"")</f>
        <v>0.4375</v>
      </c>
      <c r="AX58" s="79" t="str">
        <f>IF(A58="","",IF((IF(AL58&gt;=1,1,0)+IF(AM58&gt;=1,1,0)+IF(AN58&gt;=1,1,0)+IF(AO58&gt;=1,1,0)+IF(AP58&gt;=1,1,0)+IF(AQ58&gt;=1,1,0)+IF(AR58&gt;=1,1,0)+IF(AS58&gt;=1,1,0)+IF(AT58&gt;=1,1,0))&gt;=5,"Diversificado (5+ verticales)",IF((IF(AL58&gt;=1,1,0)+IF(AM58&gt;=1,1,0)+IF(AN58&gt;=1,1,0)+IF(AO58&gt;=1,1,0)+IF(AP58&gt;=1,1,0)+IF(AQ58&gt;=1,1,0)+IF(AR58&gt;=1,1,0)+IF(AS58&gt;=1,1,0)+IF(AT58&gt;=1,1,0))&gt;=3,"Multi-capacidad (3-4 verticales)",IF((IF(AL58&gt;=1,1,0)+IF(AM58&gt;=1,1,0)+IF(AN58&gt;=1,1,0)+IF(AO58&gt;=1,1,0)+IF(AP58&gt;=1,1,0)+IF(AQ58&gt;=1,1,0)+IF(AR58&gt;=1,1,0)+IF(AS58&gt;=1,1,0)+IF(AT58&gt;=1,1,0))&gt;=1,"Especialista (1-2 verticales)","Sin función mapeada"))))</f>
        <v>Multi-capacidad (3-4 verticales)</v>
      </c>
    </row>
    <row r="59" spans="1:50" ht="24" customHeight="1" x14ac:dyDescent="0.2">
      <c r="A59" s="48" t="s">
        <v>739</v>
      </c>
      <c r="B59" s="48" t="s">
        <v>740</v>
      </c>
      <c r="C59" s="78" t="str">
        <f>IF(A59="","",IFERROR(INDEX('UNIVERSO MAESTRO'!$C$6:$C$497,MATCH(A59,'UNIVERSO MAESTRO'!$A$6:$A$497,0)),"⚠ ID no encontrado"))</f>
        <v>Grupo Caliente / Corporación Caliente, S.A. de C.V.</v>
      </c>
      <c r="D59" s="79" t="str">
        <f>IF(A59="","",IFERROR(INDEX('UNIVERSO MAESTRO'!$D$6:$D$497,MATCH(A59,'UNIVERSO MAESTRO'!$A$6:$A$497,0)),""))</f>
        <v>V9</v>
      </c>
      <c r="E59" s="80" t="s">
        <v>1530</v>
      </c>
      <c r="F59" s="80" t="s">
        <v>353</v>
      </c>
      <c r="G59" s="80" t="s">
        <v>1530</v>
      </c>
      <c r="H59" s="80" t="s">
        <v>353</v>
      </c>
      <c r="I59" s="80" t="s">
        <v>353</v>
      </c>
      <c r="J59" s="80" t="s">
        <v>353</v>
      </c>
      <c r="K59" s="80" t="s">
        <v>353</v>
      </c>
      <c r="L59" s="80" t="s">
        <v>353</v>
      </c>
      <c r="M59" s="80" t="s">
        <v>1530</v>
      </c>
      <c r="N59" s="80" t="s">
        <v>353</v>
      </c>
      <c r="O59" s="80" t="s">
        <v>353</v>
      </c>
      <c r="P59" s="80" t="s">
        <v>353</v>
      </c>
      <c r="Q59" s="80" t="s">
        <v>353</v>
      </c>
      <c r="R59" s="80" t="s">
        <v>353</v>
      </c>
      <c r="S59" s="80" t="s">
        <v>353</v>
      </c>
      <c r="T59" s="80" t="s">
        <v>353</v>
      </c>
      <c r="U59" s="80" t="s">
        <v>353</v>
      </c>
      <c r="V59" s="80" t="s">
        <v>353</v>
      </c>
      <c r="W59" s="80" t="s">
        <v>353</v>
      </c>
      <c r="X59" s="80" t="s">
        <v>353</v>
      </c>
      <c r="Y59" s="80" t="s">
        <v>353</v>
      </c>
      <c r="Z59" s="80" t="s">
        <v>353</v>
      </c>
      <c r="AA59" s="80" t="s">
        <v>353</v>
      </c>
      <c r="AB59" s="80" t="s">
        <v>353</v>
      </c>
      <c r="AC59" s="80" t="s">
        <v>353</v>
      </c>
      <c r="AD59" s="80" t="s">
        <v>353</v>
      </c>
      <c r="AE59" s="80" t="s">
        <v>353</v>
      </c>
      <c r="AF59" s="80" t="s">
        <v>1530</v>
      </c>
      <c r="AG59" s="80" t="s">
        <v>353</v>
      </c>
      <c r="AH59" s="80" t="s">
        <v>353</v>
      </c>
      <c r="AI59" s="80" t="s">
        <v>1530</v>
      </c>
      <c r="AJ59" s="80" t="s">
        <v>353</v>
      </c>
      <c r="AK59" s="80" t="s">
        <v>353</v>
      </c>
      <c r="AL59" s="81">
        <f>IF(E59="Sí",1,IF(E59="Parcial",0.5,0))+IF(F59="Sí",1,IF(F59="Parcial",0.5,0))+IF(G59="Sí",1,IF(G59="Parcial",0.5,0))+IF(H59="Sí",1,IF(H59="Parcial",0.5,0))</f>
        <v>2</v>
      </c>
      <c r="AM59" s="82">
        <f>IF(I59="Sí",1,IF(I59="Parcial",0.5,0))+IF(J59="Sí",1,IF(J59="Parcial",0.5,0))+IF(K59="Sí",1,IF(K59="Parcial",0.5,0))</f>
        <v>0</v>
      </c>
      <c r="AN59" s="83">
        <f>IF(L59="Sí",1,IF(L59="Parcial",0.5,0))+IF(M59="Sí",1,IF(M59="Parcial",0.5,0))+IF(N59="Sí",1,IF(N59="Parcial",0.5,0))+IF(O59="Sí",1,IF(O59="Parcial",0.5,0))</f>
        <v>1</v>
      </c>
      <c r="AO59" s="84">
        <f>IF(P59="Sí",1,IF(P59="Parcial",0.5,0))+IF(Q59="Sí",1,IF(Q59="Parcial",0.5,0))+IF(R59="Sí",1,IF(R59="Parcial",0.5,0))+IF(S59="Sí",1,IF(S59="Parcial",0.5,0))+IF(T59="Sí",1,IF(T59="Parcial",0.5,0))+IF(U59="Sí",1,IF(U59="Parcial",0.5,0))</f>
        <v>0</v>
      </c>
      <c r="AP59" s="85">
        <f>IF(V59="Sí",1,IF(V59="Parcial",0.5,0))+IF(W59="Sí",1,IF(W59="Parcial",0.5,0))+IF(X59="Sí",1,IF(X59="Parcial",0.5,0))+IF(Y59="Sí",1,IF(Y59="Parcial",0.5,0))</f>
        <v>0</v>
      </c>
      <c r="AQ59" s="86">
        <f>IF(Z59="Sí",1,IF(Z59="Parcial",0.5,0))+IF(AA59="Sí",1,IF(AA59="Parcial",0.5,0))+IF(AB59="Sí",1,IF(AB59="Parcial",0.5,0))</f>
        <v>0</v>
      </c>
      <c r="AR59" s="87">
        <f>IF(AC59="Sí",1,IF(AC59="Parcial",0.5,0))+IF(AD59="Sí",1,IF(AD59="Parcial",0.5,0))+IF(AE59="Sí",1,IF(AE59="Parcial",0.5,0))</f>
        <v>0</v>
      </c>
      <c r="AS59" s="88">
        <f>IF(AF59="Sí",1,IF(AF59="Parcial",0.5,0))+IF(AG59="Sí",1,IF(AG59="Parcial",0.5,0))+IF(AH59="Sí",1,IF(AH59="Parcial",0.5,0))</f>
        <v>1</v>
      </c>
      <c r="AT59" s="89">
        <f>IF(AI59="Sí",1,IF(AI59="Parcial",0.5,0))+IF(AJ59="Sí",1,IF(AJ59="Parcial",0.5,0))+IF(AK59="Sí",1,IF(AK59="Parcial",0.5,0))</f>
        <v>1</v>
      </c>
      <c r="AU59" s="90">
        <f>SUM(AL59,AM59,AN59,AO59,AP59,AQ59,AR59,AS59,AT59)</f>
        <v>5</v>
      </c>
      <c r="AV59" s="225">
        <f>IFERROR(IF(OR(A59="",AU59=0),"",AU59/(IF(AL59&gt;0,1,0)+IF(AM59&gt;0,1,0)+IF(AN59&gt;0,1,0)+IF(AO59&gt;0,1,0)+IF(AP59&gt;0,1,0)+IF(AQ59&gt;0,1,0)+IF(AR59&gt;0,1,0)+IF(AS59&gt;0,1,0)+IF(AT59&gt;0,1,0))),"")</f>
        <v>1.25</v>
      </c>
      <c r="AW59" s="225">
        <f>IFERROR(IF(OR(A59="",AU59=""),"",IF(AND(MAX($AU$8:$AU$156)=0,MAX($AV$8:$AV$156)=0),"",0.5*(AU59/MAX($AU$8:$AU$156))+0.5*(AV59/MAX($AV$8:$AV$156)))),"")</f>
        <v>0.43402777777777779</v>
      </c>
      <c r="AX59" s="79" t="str">
        <f>IF(A59="","",IF((IF(AL59&gt;=1,1,0)+IF(AM59&gt;=1,1,0)+IF(AN59&gt;=1,1,0)+IF(AO59&gt;=1,1,0)+IF(AP59&gt;=1,1,0)+IF(AQ59&gt;=1,1,0)+IF(AR59&gt;=1,1,0)+IF(AS59&gt;=1,1,0)+IF(AT59&gt;=1,1,0))&gt;=5,"Diversificado (5+ verticales)",IF((IF(AL59&gt;=1,1,0)+IF(AM59&gt;=1,1,0)+IF(AN59&gt;=1,1,0)+IF(AO59&gt;=1,1,0)+IF(AP59&gt;=1,1,0)+IF(AQ59&gt;=1,1,0)+IF(AR59&gt;=1,1,0)+IF(AS59&gt;=1,1,0)+IF(AT59&gt;=1,1,0))&gt;=3,"Multi-capacidad (3-4 verticales)",IF((IF(AL59&gt;=1,1,0)+IF(AM59&gt;=1,1,0)+IF(AN59&gt;=1,1,0)+IF(AO59&gt;=1,1,0)+IF(AP59&gt;=1,1,0)+IF(AQ59&gt;=1,1,0)+IF(AR59&gt;=1,1,0)+IF(AS59&gt;=1,1,0)+IF(AT59&gt;=1,1,0))&gt;=1,"Especialista (1-2 verticales)","Sin función mapeada"))))</f>
        <v>Multi-capacidad (3-4 verticales)</v>
      </c>
    </row>
    <row r="60" spans="1:50" ht="24" customHeight="1" x14ac:dyDescent="0.2">
      <c r="A60" s="48" t="s">
        <v>592</v>
      </c>
      <c r="B60" s="48" t="s">
        <v>593</v>
      </c>
      <c r="C60" s="78" t="str">
        <f>IF(A60="","",IFERROR(INDEX('UNIVERSO MAESTRO'!$C$6:$C$497,MATCH(A60,'UNIVERSO MAESTRO'!$A$6:$A$497,0)),"⚠ ID no encontrado"))</f>
        <v>Familia Slim / Grupo Carso</v>
      </c>
      <c r="D60" s="79" t="str">
        <f>IF(A60="","",IFERROR(INDEX('UNIVERSO MAESTRO'!$D$6:$D$497,MATCH(A60,'UNIVERSO MAESTRO'!$A$6:$A$497,0)),""))</f>
        <v>V9</v>
      </c>
      <c r="E60" s="80" t="s">
        <v>353</v>
      </c>
      <c r="F60" s="80" t="s">
        <v>353</v>
      </c>
      <c r="G60" s="80" t="s">
        <v>353</v>
      </c>
      <c r="H60" s="80" t="s">
        <v>353</v>
      </c>
      <c r="I60" s="80" t="s">
        <v>1530</v>
      </c>
      <c r="J60" s="80" t="s">
        <v>1530</v>
      </c>
      <c r="K60" s="80" t="s">
        <v>1530</v>
      </c>
      <c r="L60" s="80" t="s">
        <v>353</v>
      </c>
      <c r="M60" s="80" t="s">
        <v>353</v>
      </c>
      <c r="N60" s="80" t="s">
        <v>353</v>
      </c>
      <c r="O60" s="80" t="s">
        <v>353</v>
      </c>
      <c r="P60" s="80" t="s">
        <v>353</v>
      </c>
      <c r="Q60" s="80" t="s">
        <v>353</v>
      </c>
      <c r="R60" s="80" t="s">
        <v>353</v>
      </c>
      <c r="S60" s="80" t="s">
        <v>353</v>
      </c>
      <c r="T60" s="80" t="s">
        <v>353</v>
      </c>
      <c r="U60" s="80" t="s">
        <v>353</v>
      </c>
      <c r="V60" s="80" t="s">
        <v>353</v>
      </c>
      <c r="W60" s="80" t="s">
        <v>353</v>
      </c>
      <c r="X60" s="80" t="s">
        <v>353</v>
      </c>
      <c r="Y60" s="80" t="s">
        <v>353</v>
      </c>
      <c r="Z60" s="80" t="s">
        <v>353</v>
      </c>
      <c r="AA60" s="80" t="s">
        <v>353</v>
      </c>
      <c r="AB60" s="80" t="s">
        <v>353</v>
      </c>
      <c r="AC60" s="80" t="s">
        <v>353</v>
      </c>
      <c r="AD60" s="80" t="s">
        <v>353</v>
      </c>
      <c r="AE60" s="80" t="s">
        <v>353</v>
      </c>
      <c r="AF60" s="80" t="s">
        <v>353</v>
      </c>
      <c r="AG60" s="80" t="s">
        <v>353</v>
      </c>
      <c r="AH60" s="80" t="s">
        <v>353</v>
      </c>
      <c r="AI60" s="80" t="s">
        <v>353</v>
      </c>
      <c r="AJ60" s="80" t="s">
        <v>3340</v>
      </c>
      <c r="AK60" s="80" t="s">
        <v>353</v>
      </c>
      <c r="AL60" s="81">
        <f>IF(E60="Sí",1,IF(E60="Parcial",0.5,0))+IF(F60="Sí",1,IF(F60="Parcial",0.5,0))+IF(G60="Sí",1,IF(G60="Parcial",0.5,0))+IF(H60="Sí",1,IF(H60="Parcial",0.5,0))</f>
        <v>0</v>
      </c>
      <c r="AM60" s="82">
        <f>IF(I60="Sí",1,IF(I60="Parcial",0.5,0))+IF(J60="Sí",1,IF(J60="Parcial",0.5,0))+IF(K60="Sí",1,IF(K60="Parcial",0.5,0))</f>
        <v>3</v>
      </c>
      <c r="AN60" s="83">
        <f>IF(L60="Sí",1,IF(L60="Parcial",0.5,0))+IF(M60="Sí",1,IF(M60="Parcial",0.5,0))+IF(N60="Sí",1,IF(N60="Parcial",0.5,0))+IF(O60="Sí",1,IF(O60="Parcial",0.5,0))</f>
        <v>0</v>
      </c>
      <c r="AO60" s="84">
        <f>IF(P60="Sí",1,IF(P60="Parcial",0.5,0))+IF(Q60="Sí",1,IF(Q60="Parcial",0.5,0))+IF(R60="Sí",1,IF(R60="Parcial",0.5,0))+IF(S60="Sí",1,IF(S60="Parcial",0.5,0))+IF(T60="Sí",1,IF(T60="Parcial",0.5,0))+IF(U60="Sí",1,IF(U60="Parcial",0.5,0))</f>
        <v>0</v>
      </c>
      <c r="AP60" s="85">
        <f>IF(V60="Sí",1,IF(V60="Parcial",0.5,0))+IF(W60="Sí",1,IF(W60="Parcial",0.5,0))+IF(X60="Sí",1,IF(X60="Parcial",0.5,0))+IF(Y60="Sí",1,IF(Y60="Parcial",0.5,0))</f>
        <v>0</v>
      </c>
      <c r="AQ60" s="86">
        <f>IF(Z60="Sí",1,IF(Z60="Parcial",0.5,0))+IF(AA60="Sí",1,IF(AA60="Parcial",0.5,0))+IF(AB60="Sí",1,IF(AB60="Parcial",0.5,0))</f>
        <v>0</v>
      </c>
      <c r="AR60" s="87">
        <f>IF(AC60="Sí",1,IF(AC60="Parcial",0.5,0))+IF(AD60="Sí",1,IF(AD60="Parcial",0.5,0))+IF(AE60="Sí",1,IF(AE60="Parcial",0.5,0))</f>
        <v>0</v>
      </c>
      <c r="AS60" s="88">
        <f>IF(AF60="Sí",1,IF(AF60="Parcial",0.5,0))+IF(AG60="Sí",1,IF(AG60="Parcial",0.5,0))+IF(AH60="Sí",1,IF(AH60="Parcial",0.5,0))</f>
        <v>0</v>
      </c>
      <c r="AT60" s="89">
        <f>IF(AI60="Sí",1,IF(AI60="Parcial",0.5,0))+IF(AJ60="Sí",1,IF(AJ60="Parcial",0.5,0))+IF(AK60="Sí",1,IF(AK60="Parcial",0.5,0))</f>
        <v>0.5</v>
      </c>
      <c r="AU60" s="90">
        <f>SUM(AL60,AM60,AN60,AO60,AP60,AQ60,AR60,AS60,AT60)</f>
        <v>3.5</v>
      </c>
      <c r="AV60" s="225">
        <f>IFERROR(IF(OR(A60="",AU60=0),"",AU60/(IF(AL60&gt;0,1,0)+IF(AM60&gt;0,1,0)+IF(AN60&gt;0,1,0)+IF(AO60&gt;0,1,0)+IF(AP60&gt;0,1,0)+IF(AQ60&gt;0,1,0)+IF(AR60&gt;0,1,0)+IF(AS60&gt;0,1,0)+IF(AT60&gt;0,1,0))),"")</f>
        <v>1.75</v>
      </c>
      <c r="AW60" s="225">
        <f>IFERROR(IF(OR(A60="",AU60=""),"",IF(AND(MAX($AU$8:$AU$156)=0,MAX($AV$8:$AV$156)=0),"",0.5*(AU60/MAX($AU$8:$AU$156))+0.5*(AV60/MAX($AV$8:$AV$156)))),"")</f>
        <v>0.41319444444444442</v>
      </c>
      <c r="AX60" s="79" t="str">
        <f>IF(A60="","",IF((IF(AL60&gt;=1,1,0)+IF(AM60&gt;=1,1,0)+IF(AN60&gt;=1,1,0)+IF(AO60&gt;=1,1,0)+IF(AP60&gt;=1,1,0)+IF(AQ60&gt;=1,1,0)+IF(AR60&gt;=1,1,0)+IF(AS60&gt;=1,1,0)+IF(AT60&gt;=1,1,0))&gt;=5,"Diversificado (5+ verticales)",IF((IF(AL60&gt;=1,1,0)+IF(AM60&gt;=1,1,0)+IF(AN60&gt;=1,1,0)+IF(AO60&gt;=1,1,0)+IF(AP60&gt;=1,1,0)+IF(AQ60&gt;=1,1,0)+IF(AR60&gt;=1,1,0)+IF(AS60&gt;=1,1,0)+IF(AT60&gt;=1,1,0))&gt;=3,"Multi-capacidad (3-4 verticales)",IF((IF(AL60&gt;=1,1,0)+IF(AM60&gt;=1,1,0)+IF(AN60&gt;=1,1,0)+IF(AO60&gt;=1,1,0)+IF(AP60&gt;=1,1,0)+IF(AQ60&gt;=1,1,0)+IF(AR60&gt;=1,1,0)+IF(AS60&gt;=1,1,0)+IF(AT60&gt;=1,1,0))&gt;=1,"Especialista (1-2 verticales)","Sin función mapeada"))))</f>
        <v>Especialista (1-2 verticales)</v>
      </c>
    </row>
    <row r="61" spans="1:50" ht="24" customHeight="1" x14ac:dyDescent="0.2">
      <c r="A61" s="48" t="s">
        <v>822</v>
      </c>
      <c r="B61" s="48" t="s">
        <v>823</v>
      </c>
      <c r="C61" s="78" t="str">
        <f>IF(A61="","",IFERROR(INDEX('UNIVERSO MAESTRO'!$C$6:$C$497,MATCH(A61,'UNIVERSO MAESTRO'!$A$6:$A$497,0)),"⚠ ID no encontrado"))</f>
        <v>Grupo Vidanta</v>
      </c>
      <c r="D61" s="79" t="str">
        <f>IF(A61="","",IFERROR(INDEX('UNIVERSO MAESTRO'!$D$6:$D$497,MATCH(A61,'UNIVERSO MAESTRO'!$A$6:$A$497,0)),""))</f>
        <v>V9</v>
      </c>
      <c r="E61" s="80" t="s">
        <v>353</v>
      </c>
      <c r="F61" s="80" t="s">
        <v>353</v>
      </c>
      <c r="G61" s="80" t="s">
        <v>353</v>
      </c>
      <c r="H61" s="80" t="s">
        <v>353</v>
      </c>
      <c r="I61" s="80" t="s">
        <v>353</v>
      </c>
      <c r="J61" s="80" t="s">
        <v>353</v>
      </c>
      <c r="K61" s="80" t="s">
        <v>353</v>
      </c>
      <c r="L61" s="80" t="s">
        <v>353</v>
      </c>
      <c r="M61" s="80" t="s">
        <v>353</v>
      </c>
      <c r="N61" s="80" t="s">
        <v>353</v>
      </c>
      <c r="O61" s="80" t="s">
        <v>353</v>
      </c>
      <c r="P61" s="80" t="s">
        <v>353</v>
      </c>
      <c r="Q61" s="80" t="s">
        <v>353</v>
      </c>
      <c r="R61" s="80" t="s">
        <v>353</v>
      </c>
      <c r="S61" s="80" t="s">
        <v>353</v>
      </c>
      <c r="T61" s="80" t="s">
        <v>353</v>
      </c>
      <c r="U61" s="80" t="s">
        <v>353</v>
      </c>
      <c r="V61" s="80" t="s">
        <v>353</v>
      </c>
      <c r="W61" s="80" t="s">
        <v>353</v>
      </c>
      <c r="X61" s="80" t="s">
        <v>353</v>
      </c>
      <c r="Y61" s="80" t="s">
        <v>353</v>
      </c>
      <c r="Z61" s="80" t="s">
        <v>353</v>
      </c>
      <c r="AA61" s="80" t="s">
        <v>353</v>
      </c>
      <c r="AB61" s="80" t="s">
        <v>353</v>
      </c>
      <c r="AC61" s="80" t="s">
        <v>1530</v>
      </c>
      <c r="AD61" s="80" t="s">
        <v>1530</v>
      </c>
      <c r="AE61" s="80" t="s">
        <v>3340</v>
      </c>
      <c r="AF61" s="80" t="s">
        <v>353</v>
      </c>
      <c r="AG61" s="80" t="s">
        <v>353</v>
      </c>
      <c r="AH61" s="80" t="s">
        <v>353</v>
      </c>
      <c r="AI61" s="80" t="s">
        <v>1530</v>
      </c>
      <c r="AJ61" s="80" t="s">
        <v>353</v>
      </c>
      <c r="AK61" s="80" t="s">
        <v>353</v>
      </c>
      <c r="AL61" s="81">
        <f>IF(E61="Sí",1,IF(E61="Parcial",0.5,0))+IF(F61="Sí",1,IF(F61="Parcial",0.5,0))+IF(G61="Sí",1,IF(G61="Parcial",0.5,0))+IF(H61="Sí",1,IF(H61="Parcial",0.5,0))</f>
        <v>0</v>
      </c>
      <c r="AM61" s="82">
        <f>IF(I61="Sí",1,IF(I61="Parcial",0.5,0))+IF(J61="Sí",1,IF(J61="Parcial",0.5,0))+IF(K61="Sí",1,IF(K61="Parcial",0.5,0))</f>
        <v>0</v>
      </c>
      <c r="AN61" s="83">
        <f>IF(L61="Sí",1,IF(L61="Parcial",0.5,0))+IF(M61="Sí",1,IF(M61="Parcial",0.5,0))+IF(N61="Sí",1,IF(N61="Parcial",0.5,0))+IF(O61="Sí",1,IF(O61="Parcial",0.5,0))</f>
        <v>0</v>
      </c>
      <c r="AO61" s="84">
        <f>IF(P61="Sí",1,IF(P61="Parcial",0.5,0))+IF(Q61="Sí",1,IF(Q61="Parcial",0.5,0))+IF(R61="Sí",1,IF(R61="Parcial",0.5,0))+IF(S61="Sí",1,IF(S61="Parcial",0.5,0))+IF(T61="Sí",1,IF(T61="Parcial",0.5,0))+IF(U61="Sí",1,IF(U61="Parcial",0.5,0))</f>
        <v>0</v>
      </c>
      <c r="AP61" s="85">
        <f>IF(V61="Sí",1,IF(V61="Parcial",0.5,0))+IF(W61="Sí",1,IF(W61="Parcial",0.5,0))+IF(X61="Sí",1,IF(X61="Parcial",0.5,0))+IF(Y61="Sí",1,IF(Y61="Parcial",0.5,0))</f>
        <v>0</v>
      </c>
      <c r="AQ61" s="86">
        <f>IF(Z61="Sí",1,IF(Z61="Parcial",0.5,0))+IF(AA61="Sí",1,IF(AA61="Parcial",0.5,0))+IF(AB61="Sí",1,IF(AB61="Parcial",0.5,0))</f>
        <v>0</v>
      </c>
      <c r="AR61" s="87">
        <f>IF(AC61="Sí",1,IF(AC61="Parcial",0.5,0))+IF(AD61="Sí",1,IF(AD61="Parcial",0.5,0))+IF(AE61="Sí",1,IF(AE61="Parcial",0.5,0))</f>
        <v>2.5</v>
      </c>
      <c r="AS61" s="88">
        <f>IF(AF61="Sí",1,IF(AF61="Parcial",0.5,0))+IF(AG61="Sí",1,IF(AG61="Parcial",0.5,0))+IF(AH61="Sí",1,IF(AH61="Parcial",0.5,0))</f>
        <v>0</v>
      </c>
      <c r="AT61" s="89">
        <f>IF(AI61="Sí",1,IF(AI61="Parcial",0.5,0))+IF(AJ61="Sí",1,IF(AJ61="Parcial",0.5,0))+IF(AK61="Sí",1,IF(AK61="Parcial",0.5,0))</f>
        <v>1</v>
      </c>
      <c r="AU61" s="90">
        <f>SUM(AL61,AM61,AN61,AO61,AP61,AQ61,AR61,AS61,AT61)</f>
        <v>3.5</v>
      </c>
      <c r="AV61" s="225">
        <f>IFERROR(IF(OR(A61="",AU61=0),"",AU61/(IF(AL61&gt;0,1,0)+IF(AM61&gt;0,1,0)+IF(AN61&gt;0,1,0)+IF(AO61&gt;0,1,0)+IF(AP61&gt;0,1,0)+IF(AQ61&gt;0,1,0)+IF(AR61&gt;0,1,0)+IF(AS61&gt;0,1,0)+IF(AT61&gt;0,1,0))),"")</f>
        <v>1.75</v>
      </c>
      <c r="AW61" s="225">
        <f>IFERROR(IF(OR(A61="",AU61=""),"",IF(AND(MAX($AU$8:$AU$156)=0,MAX($AV$8:$AV$156)=0),"",0.5*(AU61/MAX($AU$8:$AU$156))+0.5*(AV61/MAX($AV$8:$AV$156)))),"")</f>
        <v>0.41319444444444442</v>
      </c>
      <c r="AX61" s="79" t="str">
        <f>IF(A61="","",IF((IF(AL61&gt;=1,1,0)+IF(AM61&gt;=1,1,0)+IF(AN61&gt;=1,1,0)+IF(AO61&gt;=1,1,0)+IF(AP61&gt;=1,1,0)+IF(AQ61&gt;=1,1,0)+IF(AR61&gt;=1,1,0)+IF(AS61&gt;=1,1,0)+IF(AT61&gt;=1,1,0))&gt;=5,"Diversificado (5+ verticales)",IF((IF(AL61&gt;=1,1,0)+IF(AM61&gt;=1,1,0)+IF(AN61&gt;=1,1,0)+IF(AO61&gt;=1,1,0)+IF(AP61&gt;=1,1,0)+IF(AQ61&gt;=1,1,0)+IF(AR61&gt;=1,1,0)+IF(AS61&gt;=1,1,0)+IF(AT61&gt;=1,1,0))&gt;=3,"Multi-capacidad (3-4 verticales)",IF((IF(AL61&gt;=1,1,0)+IF(AM61&gt;=1,1,0)+IF(AN61&gt;=1,1,0)+IF(AO61&gt;=1,1,0)+IF(AP61&gt;=1,1,0)+IF(AQ61&gt;=1,1,0)+IF(AR61&gt;=1,1,0)+IF(AS61&gt;=1,1,0)+IF(AT61&gt;=1,1,0))&gt;=1,"Especialista (1-2 verticales)","Sin función mapeada"))))</f>
        <v>Especialista (1-2 verticales)</v>
      </c>
    </row>
    <row r="62" spans="1:50" ht="24" customHeight="1" x14ac:dyDescent="0.2">
      <c r="A62" s="48" t="s">
        <v>1519</v>
      </c>
      <c r="B62" s="48" t="s">
        <v>1520</v>
      </c>
      <c r="C62" s="78" t="s">
        <v>1521</v>
      </c>
      <c r="D62" s="79" t="s">
        <v>48</v>
      </c>
      <c r="E62" s="80" t="s">
        <v>353</v>
      </c>
      <c r="F62" s="80" t="s">
        <v>353</v>
      </c>
      <c r="G62" s="80" t="s">
        <v>353</v>
      </c>
      <c r="H62" s="80" t="s">
        <v>353</v>
      </c>
      <c r="I62" s="80" t="s">
        <v>353</v>
      </c>
      <c r="J62" s="80" t="s">
        <v>353</v>
      </c>
      <c r="K62" s="80" t="s">
        <v>353</v>
      </c>
      <c r="L62" s="80" t="s">
        <v>353</v>
      </c>
      <c r="M62" s="80" t="s">
        <v>353</v>
      </c>
      <c r="N62" s="80" t="s">
        <v>353</v>
      </c>
      <c r="O62" s="80" t="s">
        <v>353</v>
      </c>
      <c r="P62" s="80" t="s">
        <v>353</v>
      </c>
      <c r="Q62" s="80" t="s">
        <v>353</v>
      </c>
      <c r="R62" s="80" t="s">
        <v>353</v>
      </c>
      <c r="S62" s="80" t="s">
        <v>353</v>
      </c>
      <c r="T62" s="80" t="s">
        <v>353</v>
      </c>
      <c r="U62" s="80" t="s">
        <v>353</v>
      </c>
      <c r="V62" s="80" t="s">
        <v>353</v>
      </c>
      <c r="W62" s="80" t="s">
        <v>353</v>
      </c>
      <c r="X62" s="80" t="s">
        <v>353</v>
      </c>
      <c r="Y62" s="80" t="s">
        <v>1530</v>
      </c>
      <c r="Z62" s="80" t="s">
        <v>353</v>
      </c>
      <c r="AA62" s="80" t="s">
        <v>353</v>
      </c>
      <c r="AB62" s="80" t="s">
        <v>353</v>
      </c>
      <c r="AC62" s="80" t="s">
        <v>3340</v>
      </c>
      <c r="AD62" s="80" t="s">
        <v>1530</v>
      </c>
      <c r="AE62" s="80" t="s">
        <v>1530</v>
      </c>
      <c r="AF62" s="80" t="s">
        <v>353</v>
      </c>
      <c r="AG62" s="80" t="s">
        <v>353</v>
      </c>
      <c r="AH62" s="80" t="s">
        <v>353</v>
      </c>
      <c r="AI62" s="80" t="s">
        <v>353</v>
      </c>
      <c r="AJ62" s="80" t="s">
        <v>353</v>
      </c>
      <c r="AK62" s="80" t="s">
        <v>353</v>
      </c>
      <c r="AL62" s="81">
        <f>IF(E62="Sí",1,IF(E62="Parcial",0.5,0))+IF(F62="Sí",1,IF(F62="Parcial",0.5,0))+IF(G62="Sí",1,IF(G62="Parcial",0.5,0))+IF(H62="Sí",1,IF(H62="Parcial",0.5,0))</f>
        <v>0</v>
      </c>
      <c r="AM62" s="82">
        <f>IF(I62="Sí",1,IF(I62="Parcial",0.5,0))+IF(J62="Sí",1,IF(J62="Parcial",0.5,0))+IF(K62="Sí",1,IF(K62="Parcial",0.5,0))</f>
        <v>0</v>
      </c>
      <c r="AN62" s="83">
        <f>IF(L62="Sí",1,IF(L62="Parcial",0.5,0))+IF(M62="Sí",1,IF(M62="Parcial",0.5,0))+IF(N62="Sí",1,IF(N62="Parcial",0.5,0))+IF(O62="Sí",1,IF(O62="Parcial",0.5,0))</f>
        <v>0</v>
      </c>
      <c r="AO62" s="84">
        <f>IF(P62="Sí",1,IF(P62="Parcial",0.5,0))+IF(Q62="Sí",1,IF(Q62="Parcial",0.5,0))+IF(R62="Sí",1,IF(R62="Parcial",0.5,0))+IF(S62="Sí",1,IF(S62="Parcial",0.5,0))+IF(T62="Sí",1,IF(T62="Parcial",0.5,0))+IF(U62="Sí",1,IF(U62="Parcial",0.5,0))</f>
        <v>0</v>
      </c>
      <c r="AP62" s="85">
        <f>IF(V62="Sí",1,IF(V62="Parcial",0.5,0))+IF(W62="Sí",1,IF(W62="Parcial",0.5,0))+IF(X62="Sí",1,IF(X62="Parcial",0.5,0))+IF(Y62="Sí",1,IF(Y62="Parcial",0.5,0))</f>
        <v>1</v>
      </c>
      <c r="AQ62" s="86">
        <f>IF(Z62="Sí",1,IF(Z62="Parcial",0.5,0))+IF(AA62="Sí",1,IF(AA62="Parcial",0.5,0))+IF(AB62="Sí",1,IF(AB62="Parcial",0.5,0))</f>
        <v>0</v>
      </c>
      <c r="AR62" s="87">
        <f>IF(AC62="Sí",1,IF(AC62="Parcial",0.5,0))+IF(AD62="Sí",1,IF(AD62="Parcial",0.5,0))+IF(AE62="Sí",1,IF(AE62="Parcial",0.5,0))</f>
        <v>2.5</v>
      </c>
      <c r="AS62" s="88">
        <f>IF(AF62="Sí",1,IF(AF62="Parcial",0.5,0))+IF(AG62="Sí",1,IF(AG62="Parcial",0.5,0))+IF(AH62="Sí",1,IF(AH62="Parcial",0.5,0))</f>
        <v>0</v>
      </c>
      <c r="AT62" s="89">
        <f>IF(AI62="Sí",1,IF(AI62="Parcial",0.5,0))+IF(AJ62="Sí",1,IF(AJ62="Parcial",0.5,0))+IF(AK62="Sí",1,IF(AK62="Parcial",0.5,0))</f>
        <v>0</v>
      </c>
      <c r="AU62" s="90">
        <f>SUM(AL62,AM62,AN62,AO62,AP62,AQ62,AR62,AS62,AT62)</f>
        <v>3.5</v>
      </c>
      <c r="AV62" s="226">
        <f>IFERROR(IF(OR(A62="",AU62=0),"",AU62/(IF(AL62&gt;0,1,0)+IF(AM62&gt;0,1,0)+IF(AN62&gt;0,1,0)+IF(AO62&gt;0,1,0)+IF(AP62&gt;0,1,0)+IF(AQ62&gt;0,1,0)+IF(AR62&gt;0,1,0)+IF(AS62&gt;0,1,0)+IF(AT62&gt;0,1,0))),"")</f>
        <v>1.75</v>
      </c>
      <c r="AW62" s="226">
        <f>IFERROR(IF(OR(A62="",AU62=""),"",IF(AND(MAX($AU$8:$AU$156)=0,MAX($AV$8:$AV$156)=0),"",0.5*(AU62/MAX($AU$8:$AU$156))+0.5*(AV62/MAX($AV$8:$AV$156)))),"")</f>
        <v>0.41319444444444442</v>
      </c>
      <c r="AX62" s="79" t="str">
        <f>IF(A62="","",IF((IF(AL62&gt;=1,1,0)+IF(AM62&gt;=1,1,0)+IF(AN62&gt;=1,1,0)+IF(AO62&gt;=1,1,0)+IF(AP62&gt;=1,1,0)+IF(AQ62&gt;=1,1,0)+IF(AR62&gt;=1,1,0)+IF(AS62&gt;=1,1,0)+IF(AT62&gt;=1,1,0))&gt;=5,"Diversificado (5+ verticales)",IF((IF(AL62&gt;=1,1,0)+IF(AM62&gt;=1,1,0)+IF(AN62&gt;=1,1,0)+IF(AO62&gt;=1,1,0)+IF(AP62&gt;=1,1,0)+IF(AQ62&gt;=1,1,0)+IF(AR62&gt;=1,1,0)+IF(AS62&gt;=1,1,0)+IF(AT62&gt;=1,1,0))&gt;=3,"Multi-capacidad (3-4 verticales)",IF((IF(AL62&gt;=1,1,0)+IF(AM62&gt;=1,1,0)+IF(AN62&gt;=1,1,0)+IF(AO62&gt;=1,1,0)+IF(AP62&gt;=1,1,0)+IF(AQ62&gt;=1,1,0)+IF(AR62&gt;=1,1,0)+IF(AS62&gt;=1,1,0)+IF(AT62&gt;=1,1,0))&gt;=1,"Especialista (1-2 verticales)","Sin función mapeada"))))</f>
        <v>Especialista (1-2 verticales)</v>
      </c>
    </row>
    <row r="63" spans="1:50" ht="24" customHeight="1" x14ac:dyDescent="0.2">
      <c r="A63" s="48" t="s">
        <v>200</v>
      </c>
      <c r="B63" s="48" t="s">
        <v>201</v>
      </c>
      <c r="C63" s="78" t="str">
        <f>IF(A63="","",IFERROR(INDEX('UNIVERSO MAESTRO'!$C$6:$C$497,MATCH(A63,'UNIVERSO MAESTRO'!$A$6:$A$497,0)),"⚠ ID no encontrado"))</f>
        <v>adidas</v>
      </c>
      <c r="D63" s="79" t="str">
        <f>IF(A63="","",IFERROR(INDEX('UNIVERSO MAESTRO'!$D$6:$D$497,MATCH(A63,'UNIVERSO MAESTRO'!$A$6:$A$497,0)),""))</f>
        <v>V3</v>
      </c>
      <c r="E63" s="80" t="s">
        <v>353</v>
      </c>
      <c r="F63" s="80" t="s">
        <v>353</v>
      </c>
      <c r="G63" s="80" t="s">
        <v>353</v>
      </c>
      <c r="H63" s="80" t="s">
        <v>353</v>
      </c>
      <c r="I63" s="80" t="s">
        <v>353</v>
      </c>
      <c r="J63" s="80" t="s">
        <v>353</v>
      </c>
      <c r="K63" s="80" t="s">
        <v>353</v>
      </c>
      <c r="L63" s="80" t="s">
        <v>1530</v>
      </c>
      <c r="M63" s="80" t="s">
        <v>1530</v>
      </c>
      <c r="N63" s="80" t="s">
        <v>353</v>
      </c>
      <c r="O63" s="80" t="s">
        <v>353</v>
      </c>
      <c r="P63" s="80" t="s">
        <v>353</v>
      </c>
      <c r="Q63" s="80" t="s">
        <v>353</v>
      </c>
      <c r="R63" s="80" t="s">
        <v>353</v>
      </c>
      <c r="S63" s="80" t="s">
        <v>353</v>
      </c>
      <c r="T63" s="80" t="s">
        <v>353</v>
      </c>
      <c r="U63" s="80" t="s">
        <v>353</v>
      </c>
      <c r="V63" s="80" t="s">
        <v>353</v>
      </c>
      <c r="W63" s="80" t="s">
        <v>353</v>
      </c>
      <c r="X63" s="80" t="s">
        <v>353</v>
      </c>
      <c r="Y63" s="80" t="s">
        <v>353</v>
      </c>
      <c r="Z63" s="80" t="s">
        <v>353</v>
      </c>
      <c r="AA63" s="80" t="s">
        <v>353</v>
      </c>
      <c r="AB63" s="80" t="s">
        <v>353</v>
      </c>
      <c r="AC63" s="80" t="s">
        <v>353</v>
      </c>
      <c r="AD63" s="80" t="s">
        <v>353</v>
      </c>
      <c r="AE63" s="80" t="s">
        <v>353</v>
      </c>
      <c r="AF63" s="80" t="s">
        <v>353</v>
      </c>
      <c r="AG63" s="80" t="s">
        <v>353</v>
      </c>
      <c r="AH63" s="80" t="s">
        <v>353</v>
      </c>
      <c r="AI63" s="80" t="s">
        <v>353</v>
      </c>
      <c r="AJ63" s="80" t="s">
        <v>353</v>
      </c>
      <c r="AK63" s="80" t="s">
        <v>353</v>
      </c>
      <c r="AL63" s="81">
        <f>IF(E63="Sí",1,IF(E63="Parcial",0.5,0))+IF(F63="Sí",1,IF(F63="Parcial",0.5,0))+IF(G63="Sí",1,IF(G63="Parcial",0.5,0))+IF(H63="Sí",1,IF(H63="Parcial",0.5,0))</f>
        <v>0</v>
      </c>
      <c r="AM63" s="82">
        <f>IF(I63="Sí",1,IF(I63="Parcial",0.5,0))+IF(J63="Sí",1,IF(J63="Parcial",0.5,0))+IF(K63="Sí",1,IF(K63="Parcial",0.5,0))</f>
        <v>0</v>
      </c>
      <c r="AN63" s="83">
        <f>IF(L63="Sí",1,IF(L63="Parcial",0.5,0))+IF(M63="Sí",1,IF(M63="Parcial",0.5,0))+IF(N63="Sí",1,IF(N63="Parcial",0.5,0))+IF(O63="Sí",1,IF(O63="Parcial",0.5,0))</f>
        <v>2</v>
      </c>
      <c r="AO63" s="84">
        <f>IF(P63="Sí",1,IF(P63="Parcial",0.5,0))+IF(Q63="Sí",1,IF(Q63="Parcial",0.5,0))+IF(R63="Sí",1,IF(R63="Parcial",0.5,0))+IF(S63="Sí",1,IF(S63="Parcial",0.5,0))+IF(T63="Sí",1,IF(T63="Parcial",0.5,0))+IF(U63="Sí",1,IF(U63="Parcial",0.5,0))</f>
        <v>0</v>
      </c>
      <c r="AP63" s="85">
        <f>IF(V63="Sí",1,IF(V63="Parcial",0.5,0))+IF(W63="Sí",1,IF(W63="Parcial",0.5,0))+IF(X63="Sí",1,IF(X63="Parcial",0.5,0))+IF(Y63="Sí",1,IF(Y63="Parcial",0.5,0))</f>
        <v>0</v>
      </c>
      <c r="AQ63" s="86">
        <f>IF(Z63="Sí",1,IF(Z63="Parcial",0.5,0))+IF(AA63="Sí",1,IF(AA63="Parcial",0.5,0))+IF(AB63="Sí",1,IF(AB63="Parcial",0.5,0))</f>
        <v>0</v>
      </c>
      <c r="AR63" s="87">
        <f>IF(AC63="Sí",1,IF(AC63="Parcial",0.5,0))+IF(AD63="Sí",1,IF(AD63="Parcial",0.5,0))+IF(AE63="Sí",1,IF(AE63="Parcial",0.5,0))</f>
        <v>0</v>
      </c>
      <c r="AS63" s="88">
        <f>IF(AF63="Sí",1,IF(AF63="Parcial",0.5,0))+IF(AG63="Sí",1,IF(AG63="Parcial",0.5,0))+IF(AH63="Sí",1,IF(AH63="Parcial",0.5,0))</f>
        <v>0</v>
      </c>
      <c r="AT63" s="89">
        <f>IF(AI63="Sí",1,IF(AI63="Parcial",0.5,0))+IF(AJ63="Sí",1,IF(AJ63="Parcial",0.5,0))+IF(AK63="Sí",1,IF(AK63="Parcial",0.5,0))</f>
        <v>0</v>
      </c>
      <c r="AU63" s="90">
        <f>SUM(AL63,AM63,AN63,AO63,AP63,AQ63,AR63,AS63,AT63)</f>
        <v>2</v>
      </c>
      <c r="AV63" s="225">
        <f>IFERROR(IF(OR(A63="",AU63=0),"",AU63/(IF(AL63&gt;0,1,0)+IF(AM63&gt;0,1,0)+IF(AN63&gt;0,1,0)+IF(AO63&gt;0,1,0)+IF(AP63&gt;0,1,0)+IF(AQ63&gt;0,1,0)+IF(AR63&gt;0,1,0)+IF(AS63&gt;0,1,0)+IF(AT63&gt;0,1,0))),"")</f>
        <v>2</v>
      </c>
      <c r="AW63" s="225">
        <f>IFERROR(IF(OR(A63="",AU63=""),"",IF(AND(MAX($AU$8:$AU$156)=0,MAX($AV$8:$AV$156)=0),"",0.5*(AU63/MAX($AU$8:$AU$156))+0.5*(AV63/MAX($AV$8:$AV$156)))),"")</f>
        <v>0.3611111111111111</v>
      </c>
      <c r="AX63" s="79" t="str">
        <f>IF(A63="","",IF((IF(AL63&gt;=1,1,0)+IF(AM63&gt;=1,1,0)+IF(AN63&gt;=1,1,0)+IF(AO63&gt;=1,1,0)+IF(AP63&gt;=1,1,0)+IF(AQ63&gt;=1,1,0)+IF(AR63&gt;=1,1,0)+IF(AS63&gt;=1,1,0)+IF(AT63&gt;=1,1,0))&gt;=5,"Diversificado (5+ verticales)",IF((IF(AL63&gt;=1,1,0)+IF(AM63&gt;=1,1,0)+IF(AN63&gt;=1,1,0)+IF(AO63&gt;=1,1,0)+IF(AP63&gt;=1,1,0)+IF(AQ63&gt;=1,1,0)+IF(AR63&gt;=1,1,0)+IF(AS63&gt;=1,1,0)+IF(AT63&gt;=1,1,0))&gt;=3,"Multi-capacidad (3-4 verticales)",IF((IF(AL63&gt;=1,1,0)+IF(AM63&gt;=1,1,0)+IF(AN63&gt;=1,1,0)+IF(AO63&gt;=1,1,0)+IF(AP63&gt;=1,1,0)+IF(AQ63&gt;=1,1,0)+IF(AR63&gt;=1,1,0)+IF(AS63&gt;=1,1,0)+IF(AT63&gt;=1,1,0))&gt;=1,"Especialista (1-2 verticales)","Sin función mapeada"))))</f>
        <v>Especialista (1-2 verticales)</v>
      </c>
    </row>
    <row r="64" spans="1:50" ht="24" customHeight="1" x14ac:dyDescent="0.2">
      <c r="A64" s="48" t="s">
        <v>255</v>
      </c>
      <c r="B64" s="48" t="s">
        <v>256</v>
      </c>
      <c r="C64" s="78" t="str">
        <f>IF(A64="","",IFERROR(INDEX('UNIVERSO MAESTRO'!$C$6:$C$497,MATCH(A64,'UNIVERSO MAESTRO'!$A$6:$A$497,0)),"⚠ ID no encontrado"))</f>
        <v>Apple TV (Leagues Cup MLS-Liga MX)</v>
      </c>
      <c r="D64" s="79" t="str">
        <f>IF(A64="","",IFERROR(INDEX('UNIVERSO MAESTRO'!$D$6:$D$497,MATCH(A64,'UNIVERSO MAESTRO'!$A$6:$A$497,0)),""))</f>
        <v>V2</v>
      </c>
      <c r="E64" s="80" t="s">
        <v>353</v>
      </c>
      <c r="F64" s="80" t="s">
        <v>353</v>
      </c>
      <c r="G64" s="80" t="s">
        <v>353</v>
      </c>
      <c r="H64" s="80" t="s">
        <v>353</v>
      </c>
      <c r="I64" s="80" t="s">
        <v>1530</v>
      </c>
      <c r="J64" s="80" t="s">
        <v>1530</v>
      </c>
      <c r="K64" s="80" t="s">
        <v>353</v>
      </c>
      <c r="L64" s="80" t="s">
        <v>353</v>
      </c>
      <c r="M64" s="80" t="s">
        <v>353</v>
      </c>
      <c r="N64" s="80" t="s">
        <v>353</v>
      </c>
      <c r="O64" s="80" t="s">
        <v>353</v>
      </c>
      <c r="P64" s="80" t="s">
        <v>353</v>
      </c>
      <c r="Q64" s="80" t="s">
        <v>353</v>
      </c>
      <c r="R64" s="80" t="s">
        <v>353</v>
      </c>
      <c r="S64" s="80" t="s">
        <v>353</v>
      </c>
      <c r="T64" s="80" t="s">
        <v>353</v>
      </c>
      <c r="U64" s="80" t="s">
        <v>353</v>
      </c>
      <c r="V64" s="80" t="s">
        <v>353</v>
      </c>
      <c r="W64" s="80" t="s">
        <v>353</v>
      </c>
      <c r="X64" s="80" t="s">
        <v>353</v>
      </c>
      <c r="Y64" s="80" t="s">
        <v>353</v>
      </c>
      <c r="Z64" s="80" t="s">
        <v>353</v>
      </c>
      <c r="AA64" s="80" t="s">
        <v>353</v>
      </c>
      <c r="AB64" s="80" t="s">
        <v>353</v>
      </c>
      <c r="AC64" s="80" t="s">
        <v>353</v>
      </c>
      <c r="AD64" s="80" t="s">
        <v>353</v>
      </c>
      <c r="AE64" s="80" t="s">
        <v>353</v>
      </c>
      <c r="AF64" s="80" t="s">
        <v>353</v>
      </c>
      <c r="AG64" s="80" t="s">
        <v>353</v>
      </c>
      <c r="AH64" s="80" t="s">
        <v>353</v>
      </c>
      <c r="AI64" s="80" t="s">
        <v>353</v>
      </c>
      <c r="AJ64" s="80" t="s">
        <v>353</v>
      </c>
      <c r="AK64" s="80" t="s">
        <v>353</v>
      </c>
      <c r="AL64" s="81">
        <f>IF(E64="Sí",1,IF(E64="Parcial",0.5,0))+IF(F64="Sí",1,IF(F64="Parcial",0.5,0))+IF(G64="Sí",1,IF(G64="Parcial",0.5,0))+IF(H64="Sí",1,IF(H64="Parcial",0.5,0))</f>
        <v>0</v>
      </c>
      <c r="AM64" s="82">
        <f>IF(I64="Sí",1,IF(I64="Parcial",0.5,0))+IF(J64="Sí",1,IF(J64="Parcial",0.5,0))+IF(K64="Sí",1,IF(K64="Parcial",0.5,0))</f>
        <v>2</v>
      </c>
      <c r="AN64" s="83">
        <f>IF(L64="Sí",1,IF(L64="Parcial",0.5,0))+IF(M64="Sí",1,IF(M64="Parcial",0.5,0))+IF(N64="Sí",1,IF(N64="Parcial",0.5,0))+IF(O64="Sí",1,IF(O64="Parcial",0.5,0))</f>
        <v>0</v>
      </c>
      <c r="AO64" s="84">
        <f>IF(P64="Sí",1,IF(P64="Parcial",0.5,0))+IF(Q64="Sí",1,IF(Q64="Parcial",0.5,0))+IF(R64="Sí",1,IF(R64="Parcial",0.5,0))+IF(S64="Sí",1,IF(S64="Parcial",0.5,0))+IF(T64="Sí",1,IF(T64="Parcial",0.5,0))+IF(U64="Sí",1,IF(U64="Parcial",0.5,0))</f>
        <v>0</v>
      </c>
      <c r="AP64" s="85">
        <f>IF(V64="Sí",1,IF(V64="Parcial",0.5,0))+IF(W64="Sí",1,IF(W64="Parcial",0.5,0))+IF(X64="Sí",1,IF(X64="Parcial",0.5,0))+IF(Y64="Sí",1,IF(Y64="Parcial",0.5,0))</f>
        <v>0</v>
      </c>
      <c r="AQ64" s="86">
        <f>IF(Z64="Sí",1,IF(Z64="Parcial",0.5,0))+IF(AA64="Sí",1,IF(AA64="Parcial",0.5,0))+IF(AB64="Sí",1,IF(AB64="Parcial",0.5,0))</f>
        <v>0</v>
      </c>
      <c r="AR64" s="87">
        <f>IF(AC64="Sí",1,IF(AC64="Parcial",0.5,0))+IF(AD64="Sí",1,IF(AD64="Parcial",0.5,0))+IF(AE64="Sí",1,IF(AE64="Parcial",0.5,0))</f>
        <v>0</v>
      </c>
      <c r="AS64" s="88">
        <f>IF(AF64="Sí",1,IF(AF64="Parcial",0.5,0))+IF(AG64="Sí",1,IF(AG64="Parcial",0.5,0))+IF(AH64="Sí",1,IF(AH64="Parcial",0.5,0))</f>
        <v>0</v>
      </c>
      <c r="AT64" s="89">
        <f>IF(AI64="Sí",1,IF(AI64="Parcial",0.5,0))+IF(AJ64="Sí",1,IF(AJ64="Parcial",0.5,0))+IF(AK64="Sí",1,IF(AK64="Parcial",0.5,0))</f>
        <v>0</v>
      </c>
      <c r="AU64" s="90">
        <f>SUM(AL64,AM64,AN64,AO64,AP64,AQ64,AR64,AS64,AT64)</f>
        <v>2</v>
      </c>
      <c r="AV64" s="225">
        <f>IFERROR(IF(OR(A64="",AU64=0),"",AU64/(IF(AL64&gt;0,1,0)+IF(AM64&gt;0,1,0)+IF(AN64&gt;0,1,0)+IF(AO64&gt;0,1,0)+IF(AP64&gt;0,1,0)+IF(AQ64&gt;0,1,0)+IF(AR64&gt;0,1,0)+IF(AS64&gt;0,1,0)+IF(AT64&gt;0,1,0))),"")</f>
        <v>2</v>
      </c>
      <c r="AW64" s="225">
        <f>IFERROR(IF(OR(A64="",AU64=""),"",IF(AND(MAX($AU$8:$AU$156)=0,MAX($AV$8:$AV$156)=0),"",0.5*(AU64/MAX($AU$8:$AU$156))+0.5*(AV64/MAX($AV$8:$AV$156)))),"")</f>
        <v>0.3611111111111111</v>
      </c>
      <c r="AX64" s="79" t="str">
        <f>IF(A64="","",IF((IF(AL64&gt;=1,1,0)+IF(AM64&gt;=1,1,0)+IF(AN64&gt;=1,1,0)+IF(AO64&gt;=1,1,0)+IF(AP64&gt;=1,1,0)+IF(AQ64&gt;=1,1,0)+IF(AR64&gt;=1,1,0)+IF(AS64&gt;=1,1,0)+IF(AT64&gt;=1,1,0))&gt;=5,"Diversificado (5+ verticales)",IF((IF(AL64&gt;=1,1,0)+IF(AM64&gt;=1,1,0)+IF(AN64&gt;=1,1,0)+IF(AO64&gt;=1,1,0)+IF(AP64&gt;=1,1,0)+IF(AQ64&gt;=1,1,0)+IF(AR64&gt;=1,1,0)+IF(AS64&gt;=1,1,0)+IF(AT64&gt;=1,1,0))&gt;=3,"Multi-capacidad (3-4 verticales)",IF((IF(AL64&gt;=1,1,0)+IF(AM64&gt;=1,1,0)+IF(AN64&gt;=1,1,0)+IF(AO64&gt;=1,1,0)+IF(AP64&gt;=1,1,0)+IF(AQ64&gt;=1,1,0)+IF(AR64&gt;=1,1,0)+IF(AS64&gt;=1,1,0)+IF(AT64&gt;=1,1,0))&gt;=1,"Especialista (1-2 verticales)","Sin función mapeada"))))</f>
        <v>Especialista (1-2 verticales)</v>
      </c>
    </row>
    <row r="65" spans="1:50" ht="24" customHeight="1" x14ac:dyDescent="0.2">
      <c r="A65" s="48" t="s">
        <v>288</v>
      </c>
      <c r="B65" s="48" t="s">
        <v>289</v>
      </c>
      <c r="C65" s="78" t="str">
        <f>IF(A65="","",IFERROR(INDEX('UNIVERSO MAESTRO'!$C$6:$C$497,MATCH(A65,'UNIVERSO MAESTRO'!$A$6:$A$497,0)),"⚠ ID no encontrado"))</f>
        <v>Banorte / Grupo Financiero Banorte</v>
      </c>
      <c r="D65" s="79" t="str">
        <f>IF(A65="","",IFERROR(INDEX('UNIVERSO MAESTRO'!$D$6:$D$497,MATCH(A65,'UNIVERSO MAESTRO'!$A$6:$A$497,0)),""))</f>
        <v>V3</v>
      </c>
      <c r="E65" s="80" t="s">
        <v>353</v>
      </c>
      <c r="F65" s="80" t="s">
        <v>353</v>
      </c>
      <c r="G65" s="80" t="s">
        <v>353</v>
      </c>
      <c r="H65" s="80" t="s">
        <v>353</v>
      </c>
      <c r="I65" s="80" t="s">
        <v>353</v>
      </c>
      <c r="J65" s="80" t="s">
        <v>353</v>
      </c>
      <c r="K65" s="80" t="s">
        <v>353</v>
      </c>
      <c r="L65" s="80" t="s">
        <v>1530</v>
      </c>
      <c r="M65" s="80" t="s">
        <v>353</v>
      </c>
      <c r="N65" s="80" t="s">
        <v>1530</v>
      </c>
      <c r="O65" s="80" t="s">
        <v>353</v>
      </c>
      <c r="P65" s="80" t="s">
        <v>353</v>
      </c>
      <c r="Q65" s="80" t="s">
        <v>353</v>
      </c>
      <c r="R65" s="80" t="s">
        <v>353</v>
      </c>
      <c r="S65" s="80" t="s">
        <v>353</v>
      </c>
      <c r="T65" s="80" t="s">
        <v>353</v>
      </c>
      <c r="U65" s="80" t="s">
        <v>353</v>
      </c>
      <c r="V65" s="80" t="s">
        <v>353</v>
      </c>
      <c r="W65" s="80" t="s">
        <v>353</v>
      </c>
      <c r="X65" s="80" t="s">
        <v>353</v>
      </c>
      <c r="Y65" s="80" t="s">
        <v>353</v>
      </c>
      <c r="Z65" s="80" t="s">
        <v>353</v>
      </c>
      <c r="AA65" s="80" t="s">
        <v>353</v>
      </c>
      <c r="AB65" s="80" t="s">
        <v>353</v>
      </c>
      <c r="AC65" s="80" t="s">
        <v>353</v>
      </c>
      <c r="AD65" s="80" t="s">
        <v>353</v>
      </c>
      <c r="AE65" s="80" t="s">
        <v>353</v>
      </c>
      <c r="AF65" s="80" t="s">
        <v>353</v>
      </c>
      <c r="AG65" s="80" t="s">
        <v>353</v>
      </c>
      <c r="AH65" s="80" t="s">
        <v>353</v>
      </c>
      <c r="AI65" s="80" t="s">
        <v>353</v>
      </c>
      <c r="AJ65" s="80" t="s">
        <v>353</v>
      </c>
      <c r="AK65" s="80" t="s">
        <v>353</v>
      </c>
      <c r="AL65" s="81">
        <f>IF(E65="Sí",1,IF(E65="Parcial",0.5,0))+IF(F65="Sí",1,IF(F65="Parcial",0.5,0))+IF(G65="Sí",1,IF(G65="Parcial",0.5,0))+IF(H65="Sí",1,IF(H65="Parcial",0.5,0))</f>
        <v>0</v>
      </c>
      <c r="AM65" s="82">
        <f>IF(I65="Sí",1,IF(I65="Parcial",0.5,0))+IF(J65="Sí",1,IF(J65="Parcial",0.5,0))+IF(K65="Sí",1,IF(K65="Parcial",0.5,0))</f>
        <v>0</v>
      </c>
      <c r="AN65" s="83">
        <f>IF(L65="Sí",1,IF(L65="Parcial",0.5,0))+IF(M65="Sí",1,IF(M65="Parcial",0.5,0))+IF(N65="Sí",1,IF(N65="Parcial",0.5,0))+IF(O65="Sí",1,IF(O65="Parcial",0.5,0))</f>
        <v>2</v>
      </c>
      <c r="AO65" s="84">
        <f>IF(P65="Sí",1,IF(P65="Parcial",0.5,0))+IF(Q65="Sí",1,IF(Q65="Parcial",0.5,0))+IF(R65="Sí",1,IF(R65="Parcial",0.5,0))+IF(S65="Sí",1,IF(S65="Parcial",0.5,0))+IF(T65="Sí",1,IF(T65="Parcial",0.5,0))+IF(U65="Sí",1,IF(U65="Parcial",0.5,0))</f>
        <v>0</v>
      </c>
      <c r="AP65" s="85">
        <f>IF(V65="Sí",1,IF(V65="Parcial",0.5,0))+IF(W65="Sí",1,IF(W65="Parcial",0.5,0))+IF(X65="Sí",1,IF(X65="Parcial",0.5,0))+IF(Y65="Sí",1,IF(Y65="Parcial",0.5,0))</f>
        <v>0</v>
      </c>
      <c r="AQ65" s="86">
        <f>IF(Z65="Sí",1,IF(Z65="Parcial",0.5,0))+IF(AA65="Sí",1,IF(AA65="Parcial",0.5,0))+IF(AB65="Sí",1,IF(AB65="Parcial",0.5,0))</f>
        <v>0</v>
      </c>
      <c r="AR65" s="87">
        <f>IF(AC65="Sí",1,IF(AC65="Parcial",0.5,0))+IF(AD65="Sí",1,IF(AD65="Parcial",0.5,0))+IF(AE65="Sí",1,IF(AE65="Parcial",0.5,0))</f>
        <v>0</v>
      </c>
      <c r="AS65" s="88">
        <f>IF(AF65="Sí",1,IF(AF65="Parcial",0.5,0))+IF(AG65="Sí",1,IF(AG65="Parcial",0.5,0))+IF(AH65="Sí",1,IF(AH65="Parcial",0.5,0))</f>
        <v>0</v>
      </c>
      <c r="AT65" s="89">
        <f>IF(AI65="Sí",1,IF(AI65="Parcial",0.5,0))+IF(AJ65="Sí",1,IF(AJ65="Parcial",0.5,0))+IF(AK65="Sí",1,IF(AK65="Parcial",0.5,0))</f>
        <v>0</v>
      </c>
      <c r="AU65" s="90">
        <f>SUM(AL65,AM65,AN65,AO65,AP65,AQ65,AR65,AS65,AT65)</f>
        <v>2</v>
      </c>
      <c r="AV65" s="225">
        <f>IFERROR(IF(OR(A65="",AU65=0),"",AU65/(IF(AL65&gt;0,1,0)+IF(AM65&gt;0,1,0)+IF(AN65&gt;0,1,0)+IF(AO65&gt;0,1,0)+IF(AP65&gt;0,1,0)+IF(AQ65&gt;0,1,0)+IF(AR65&gt;0,1,0)+IF(AS65&gt;0,1,0)+IF(AT65&gt;0,1,0))),"")</f>
        <v>2</v>
      </c>
      <c r="AW65" s="225">
        <f>IFERROR(IF(OR(A65="",AU65=""),"",IF(AND(MAX($AU$8:$AU$156)=0,MAX($AV$8:$AV$156)=0),"",0.5*(AU65/MAX($AU$8:$AU$156))+0.5*(AV65/MAX($AV$8:$AV$156)))),"")</f>
        <v>0.3611111111111111</v>
      </c>
      <c r="AX65" s="79" t="str">
        <f>IF(A65="","",IF((IF(AL65&gt;=1,1,0)+IF(AM65&gt;=1,1,0)+IF(AN65&gt;=1,1,0)+IF(AO65&gt;=1,1,0)+IF(AP65&gt;=1,1,0)+IF(AQ65&gt;=1,1,0)+IF(AR65&gt;=1,1,0)+IF(AS65&gt;=1,1,0)+IF(AT65&gt;=1,1,0))&gt;=5,"Diversificado (5+ verticales)",IF((IF(AL65&gt;=1,1,0)+IF(AM65&gt;=1,1,0)+IF(AN65&gt;=1,1,0)+IF(AO65&gt;=1,1,0)+IF(AP65&gt;=1,1,0)+IF(AQ65&gt;=1,1,0)+IF(AR65&gt;=1,1,0)+IF(AS65&gt;=1,1,0)+IF(AT65&gt;=1,1,0))&gt;=3,"Multi-capacidad (3-4 verticales)",IF((IF(AL65&gt;=1,1,0)+IF(AM65&gt;=1,1,0)+IF(AN65&gt;=1,1,0)+IF(AO65&gt;=1,1,0)+IF(AP65&gt;=1,1,0)+IF(AQ65&gt;=1,1,0)+IF(AR65&gt;=1,1,0)+IF(AS65&gt;=1,1,0)+IF(AT65&gt;=1,1,0))&gt;=1,"Especialista (1-2 verticales)","Sin función mapeada"))))</f>
        <v>Especialista (1-2 verticales)</v>
      </c>
    </row>
    <row r="66" spans="1:50" ht="24" customHeight="1" x14ac:dyDescent="0.2">
      <c r="A66" s="48" t="s">
        <v>308</v>
      </c>
      <c r="B66" s="48" t="s">
        <v>309</v>
      </c>
      <c r="C66" s="78" t="str">
        <f>IF(A66="","",IFERROR(INDEX('UNIVERSO MAESTRO'!$C$6:$C$497,MATCH(A66,'UNIVERSO MAESTRO'!$A$6:$A$497,0)),"⚠ ID no encontrado"))</f>
        <v>Better Collective / Futbol Sites / Bolavip</v>
      </c>
      <c r="D66" s="79" t="str">
        <f>IF(A66="","",IFERROR(INDEX('UNIVERSO MAESTRO'!$D$6:$D$497,MATCH(A66,'UNIVERSO MAESTRO'!$A$6:$A$497,0)),""))</f>
        <v>V2</v>
      </c>
      <c r="E66" s="80" t="s">
        <v>353</v>
      </c>
      <c r="F66" s="80" t="s">
        <v>353</v>
      </c>
      <c r="G66" s="80" t="s">
        <v>353</v>
      </c>
      <c r="H66" s="80" t="s">
        <v>353</v>
      </c>
      <c r="I66" s="80" t="s">
        <v>353</v>
      </c>
      <c r="J66" s="80" t="s">
        <v>1530</v>
      </c>
      <c r="K66" s="80" t="s">
        <v>1530</v>
      </c>
      <c r="L66" s="80" t="s">
        <v>353</v>
      </c>
      <c r="M66" s="80" t="s">
        <v>353</v>
      </c>
      <c r="N66" s="80" t="s">
        <v>353</v>
      </c>
      <c r="O66" s="80" t="s">
        <v>353</v>
      </c>
      <c r="P66" s="80" t="s">
        <v>353</v>
      </c>
      <c r="Q66" s="80" t="s">
        <v>353</v>
      </c>
      <c r="R66" s="80" t="s">
        <v>353</v>
      </c>
      <c r="S66" s="80" t="s">
        <v>353</v>
      </c>
      <c r="T66" s="80" t="s">
        <v>353</v>
      </c>
      <c r="U66" s="80" t="s">
        <v>353</v>
      </c>
      <c r="V66" s="80" t="s">
        <v>353</v>
      </c>
      <c r="W66" s="80" t="s">
        <v>353</v>
      </c>
      <c r="X66" s="80" t="s">
        <v>353</v>
      </c>
      <c r="Y66" s="80" t="s">
        <v>353</v>
      </c>
      <c r="Z66" s="80" t="s">
        <v>353</v>
      </c>
      <c r="AA66" s="80" t="s">
        <v>353</v>
      </c>
      <c r="AB66" s="80" t="s">
        <v>353</v>
      </c>
      <c r="AC66" s="80" t="s">
        <v>353</v>
      </c>
      <c r="AD66" s="80" t="s">
        <v>353</v>
      </c>
      <c r="AE66" s="80" t="s">
        <v>353</v>
      </c>
      <c r="AF66" s="80" t="s">
        <v>353</v>
      </c>
      <c r="AG66" s="80" t="s">
        <v>353</v>
      </c>
      <c r="AH66" s="80" t="s">
        <v>353</v>
      </c>
      <c r="AI66" s="80" t="s">
        <v>353</v>
      </c>
      <c r="AJ66" s="80" t="s">
        <v>353</v>
      </c>
      <c r="AK66" s="80" t="s">
        <v>353</v>
      </c>
      <c r="AL66" s="81">
        <f>IF(E66="Sí",1,IF(E66="Parcial",0.5,0))+IF(F66="Sí",1,IF(F66="Parcial",0.5,0))+IF(G66="Sí",1,IF(G66="Parcial",0.5,0))+IF(H66="Sí",1,IF(H66="Parcial",0.5,0))</f>
        <v>0</v>
      </c>
      <c r="AM66" s="82">
        <f>IF(I66="Sí",1,IF(I66="Parcial",0.5,0))+IF(J66="Sí",1,IF(J66="Parcial",0.5,0))+IF(K66="Sí",1,IF(K66="Parcial",0.5,0))</f>
        <v>2</v>
      </c>
      <c r="AN66" s="83">
        <f>IF(L66="Sí",1,IF(L66="Parcial",0.5,0))+IF(M66="Sí",1,IF(M66="Parcial",0.5,0))+IF(N66="Sí",1,IF(N66="Parcial",0.5,0))+IF(O66="Sí",1,IF(O66="Parcial",0.5,0))</f>
        <v>0</v>
      </c>
      <c r="AO66" s="84">
        <f>IF(P66="Sí",1,IF(P66="Parcial",0.5,0))+IF(Q66="Sí",1,IF(Q66="Parcial",0.5,0))+IF(R66="Sí",1,IF(R66="Parcial",0.5,0))+IF(S66="Sí",1,IF(S66="Parcial",0.5,0))+IF(T66="Sí",1,IF(T66="Parcial",0.5,0))+IF(U66="Sí",1,IF(U66="Parcial",0.5,0))</f>
        <v>0</v>
      </c>
      <c r="AP66" s="85">
        <f>IF(V66="Sí",1,IF(V66="Parcial",0.5,0))+IF(W66="Sí",1,IF(W66="Parcial",0.5,0))+IF(X66="Sí",1,IF(X66="Parcial",0.5,0))+IF(Y66="Sí",1,IF(Y66="Parcial",0.5,0))</f>
        <v>0</v>
      </c>
      <c r="AQ66" s="86">
        <f>IF(Z66="Sí",1,IF(Z66="Parcial",0.5,0))+IF(AA66="Sí",1,IF(AA66="Parcial",0.5,0))+IF(AB66="Sí",1,IF(AB66="Parcial",0.5,0))</f>
        <v>0</v>
      </c>
      <c r="AR66" s="87">
        <f>IF(AC66="Sí",1,IF(AC66="Parcial",0.5,0))+IF(AD66="Sí",1,IF(AD66="Parcial",0.5,0))+IF(AE66="Sí",1,IF(AE66="Parcial",0.5,0))</f>
        <v>0</v>
      </c>
      <c r="AS66" s="88">
        <f>IF(AF66="Sí",1,IF(AF66="Parcial",0.5,0))+IF(AG66="Sí",1,IF(AG66="Parcial",0.5,0))+IF(AH66="Sí",1,IF(AH66="Parcial",0.5,0))</f>
        <v>0</v>
      </c>
      <c r="AT66" s="89">
        <f>IF(AI66="Sí",1,IF(AI66="Parcial",0.5,0))+IF(AJ66="Sí",1,IF(AJ66="Parcial",0.5,0))+IF(AK66="Sí",1,IF(AK66="Parcial",0.5,0))</f>
        <v>0</v>
      </c>
      <c r="AU66" s="90">
        <f>SUM(AL66,AM66,AN66,AO66,AP66,AQ66,AR66,AS66,AT66)</f>
        <v>2</v>
      </c>
      <c r="AV66" s="225">
        <f>IFERROR(IF(OR(A66="",AU66=0),"",AU66/(IF(AL66&gt;0,1,0)+IF(AM66&gt;0,1,0)+IF(AN66&gt;0,1,0)+IF(AO66&gt;0,1,0)+IF(AP66&gt;0,1,0)+IF(AQ66&gt;0,1,0)+IF(AR66&gt;0,1,0)+IF(AS66&gt;0,1,0)+IF(AT66&gt;0,1,0))),"")</f>
        <v>2</v>
      </c>
      <c r="AW66" s="225">
        <f>IFERROR(IF(OR(A66="",AU66=""),"",IF(AND(MAX($AU$8:$AU$156)=0,MAX($AV$8:$AV$156)=0),"",0.5*(AU66/MAX($AU$8:$AU$156))+0.5*(AV66/MAX($AV$8:$AV$156)))),"")</f>
        <v>0.3611111111111111</v>
      </c>
      <c r="AX66" s="79" t="str">
        <f>IF(A66="","",IF((IF(AL66&gt;=1,1,0)+IF(AM66&gt;=1,1,0)+IF(AN66&gt;=1,1,0)+IF(AO66&gt;=1,1,0)+IF(AP66&gt;=1,1,0)+IF(AQ66&gt;=1,1,0)+IF(AR66&gt;=1,1,0)+IF(AS66&gt;=1,1,0)+IF(AT66&gt;=1,1,0))&gt;=5,"Diversificado (5+ verticales)",IF((IF(AL66&gt;=1,1,0)+IF(AM66&gt;=1,1,0)+IF(AN66&gt;=1,1,0)+IF(AO66&gt;=1,1,0)+IF(AP66&gt;=1,1,0)+IF(AQ66&gt;=1,1,0)+IF(AR66&gt;=1,1,0)+IF(AS66&gt;=1,1,0)+IF(AT66&gt;=1,1,0))&gt;=3,"Multi-capacidad (3-4 verticales)",IF((IF(AL66&gt;=1,1,0)+IF(AM66&gt;=1,1,0)+IF(AN66&gt;=1,1,0)+IF(AO66&gt;=1,1,0)+IF(AP66&gt;=1,1,0)+IF(AQ66&gt;=1,1,0)+IF(AR66&gt;=1,1,0)+IF(AS66&gt;=1,1,0)+IF(AT66&gt;=1,1,0))&gt;=1,"Especialista (1-2 verticales)","Sin función mapeada"))))</f>
        <v>Especialista (1-2 verticales)</v>
      </c>
    </row>
    <row r="67" spans="1:50" ht="24" customHeight="1" x14ac:dyDescent="0.2">
      <c r="A67" s="48" t="s">
        <v>326</v>
      </c>
      <c r="B67" s="48" t="s">
        <v>327</v>
      </c>
      <c r="C67" s="78" t="str">
        <f>IF(A67="","",IFERROR(INDEX('UNIVERSO MAESTRO'!$C$6:$C$497,MATCH(A67,'UNIVERSO MAESTRO'!$A$6:$A$497,0)),"⚠ ID no encontrado"))</f>
        <v>Boletomóvil</v>
      </c>
      <c r="D67" s="79" t="str">
        <f>IF(A67="","",IFERROR(INDEX('UNIVERSO MAESTRO'!$D$6:$D$497,MATCH(A67,'UNIVERSO MAESTRO'!$A$6:$A$497,0)),""))</f>
        <v>V6</v>
      </c>
      <c r="E67" s="80" t="s">
        <v>353</v>
      </c>
      <c r="F67" s="80" t="s">
        <v>353</v>
      </c>
      <c r="G67" s="80" t="s">
        <v>353</v>
      </c>
      <c r="H67" s="80" t="s">
        <v>353</v>
      </c>
      <c r="I67" s="80" t="s">
        <v>353</v>
      </c>
      <c r="J67" s="80" t="s">
        <v>353</v>
      </c>
      <c r="K67" s="80" t="s">
        <v>353</v>
      </c>
      <c r="L67" s="80" t="s">
        <v>353</v>
      </c>
      <c r="M67" s="80" t="s">
        <v>353</v>
      </c>
      <c r="N67" s="80" t="s">
        <v>353</v>
      </c>
      <c r="O67" s="80" t="s">
        <v>353</v>
      </c>
      <c r="P67" s="80" t="s">
        <v>353</v>
      </c>
      <c r="Q67" s="80" t="s">
        <v>353</v>
      </c>
      <c r="R67" s="80" t="s">
        <v>353</v>
      </c>
      <c r="S67" s="80" t="s">
        <v>353</v>
      </c>
      <c r="T67" s="80" t="s">
        <v>353</v>
      </c>
      <c r="U67" s="80" t="s">
        <v>353</v>
      </c>
      <c r="V67" s="80" t="s">
        <v>353</v>
      </c>
      <c r="W67" s="80" t="s">
        <v>353</v>
      </c>
      <c r="X67" s="80" t="s">
        <v>353</v>
      </c>
      <c r="Y67" s="80" t="s">
        <v>353</v>
      </c>
      <c r="Z67" s="80" t="s">
        <v>1530</v>
      </c>
      <c r="AA67" s="80" t="s">
        <v>1530</v>
      </c>
      <c r="AB67" s="80" t="s">
        <v>353</v>
      </c>
      <c r="AC67" s="80" t="s">
        <v>353</v>
      </c>
      <c r="AD67" s="80" t="s">
        <v>353</v>
      </c>
      <c r="AE67" s="80" t="s">
        <v>353</v>
      </c>
      <c r="AF67" s="80" t="s">
        <v>353</v>
      </c>
      <c r="AG67" s="80" t="s">
        <v>353</v>
      </c>
      <c r="AH67" s="80" t="s">
        <v>353</v>
      </c>
      <c r="AI67" s="80" t="s">
        <v>353</v>
      </c>
      <c r="AJ67" s="80" t="s">
        <v>353</v>
      </c>
      <c r="AK67" s="80" t="s">
        <v>353</v>
      </c>
      <c r="AL67" s="81">
        <f>IF(E67="Sí",1,IF(E67="Parcial",0.5,0))+IF(F67="Sí",1,IF(F67="Parcial",0.5,0))+IF(G67="Sí",1,IF(G67="Parcial",0.5,0))+IF(H67="Sí",1,IF(H67="Parcial",0.5,0))</f>
        <v>0</v>
      </c>
      <c r="AM67" s="82">
        <f>IF(I67="Sí",1,IF(I67="Parcial",0.5,0))+IF(J67="Sí",1,IF(J67="Parcial",0.5,0))+IF(K67="Sí",1,IF(K67="Parcial",0.5,0))</f>
        <v>0</v>
      </c>
      <c r="AN67" s="83">
        <f>IF(L67="Sí",1,IF(L67="Parcial",0.5,0))+IF(M67="Sí",1,IF(M67="Parcial",0.5,0))+IF(N67="Sí",1,IF(N67="Parcial",0.5,0))+IF(O67="Sí",1,IF(O67="Parcial",0.5,0))</f>
        <v>0</v>
      </c>
      <c r="AO67" s="84">
        <f>IF(P67="Sí",1,IF(P67="Parcial",0.5,0))+IF(Q67="Sí",1,IF(Q67="Parcial",0.5,0))+IF(R67="Sí",1,IF(R67="Parcial",0.5,0))+IF(S67="Sí",1,IF(S67="Parcial",0.5,0))+IF(T67="Sí",1,IF(T67="Parcial",0.5,0))+IF(U67="Sí",1,IF(U67="Parcial",0.5,0))</f>
        <v>0</v>
      </c>
      <c r="AP67" s="85">
        <f>IF(V67="Sí",1,IF(V67="Parcial",0.5,0))+IF(W67="Sí",1,IF(W67="Parcial",0.5,0))+IF(X67="Sí",1,IF(X67="Parcial",0.5,0))+IF(Y67="Sí",1,IF(Y67="Parcial",0.5,0))</f>
        <v>0</v>
      </c>
      <c r="AQ67" s="86">
        <f>IF(Z67="Sí",1,IF(Z67="Parcial",0.5,0))+IF(AA67="Sí",1,IF(AA67="Parcial",0.5,0))+IF(AB67="Sí",1,IF(AB67="Parcial",0.5,0))</f>
        <v>2</v>
      </c>
      <c r="AR67" s="87">
        <f>IF(AC67="Sí",1,IF(AC67="Parcial",0.5,0))+IF(AD67="Sí",1,IF(AD67="Parcial",0.5,0))+IF(AE67="Sí",1,IF(AE67="Parcial",0.5,0))</f>
        <v>0</v>
      </c>
      <c r="AS67" s="88">
        <f>IF(AF67="Sí",1,IF(AF67="Parcial",0.5,0))+IF(AG67="Sí",1,IF(AG67="Parcial",0.5,0))+IF(AH67="Sí",1,IF(AH67="Parcial",0.5,0))</f>
        <v>0</v>
      </c>
      <c r="AT67" s="89">
        <f>IF(AI67="Sí",1,IF(AI67="Parcial",0.5,0))+IF(AJ67="Sí",1,IF(AJ67="Parcial",0.5,0))+IF(AK67="Sí",1,IF(AK67="Parcial",0.5,0))</f>
        <v>0</v>
      </c>
      <c r="AU67" s="90">
        <f>SUM(AL67,AM67,AN67,AO67,AP67,AQ67,AR67,AS67,AT67)</f>
        <v>2</v>
      </c>
      <c r="AV67" s="225">
        <f>IFERROR(IF(OR(A67="",AU67=0),"",AU67/(IF(AL67&gt;0,1,0)+IF(AM67&gt;0,1,0)+IF(AN67&gt;0,1,0)+IF(AO67&gt;0,1,0)+IF(AP67&gt;0,1,0)+IF(AQ67&gt;0,1,0)+IF(AR67&gt;0,1,0)+IF(AS67&gt;0,1,0)+IF(AT67&gt;0,1,0))),"")</f>
        <v>2</v>
      </c>
      <c r="AW67" s="225">
        <f>IFERROR(IF(OR(A67="",AU67=""),"",IF(AND(MAX($AU$8:$AU$156)=0,MAX($AV$8:$AV$156)=0),"",0.5*(AU67/MAX($AU$8:$AU$156))+0.5*(AV67/MAX($AV$8:$AV$156)))),"")</f>
        <v>0.3611111111111111</v>
      </c>
      <c r="AX67" s="79" t="str">
        <f>IF(A67="","",IF((IF(AL67&gt;=1,1,0)+IF(AM67&gt;=1,1,0)+IF(AN67&gt;=1,1,0)+IF(AO67&gt;=1,1,0)+IF(AP67&gt;=1,1,0)+IF(AQ67&gt;=1,1,0)+IF(AR67&gt;=1,1,0)+IF(AS67&gt;=1,1,0)+IF(AT67&gt;=1,1,0))&gt;=5,"Diversificado (5+ verticales)",IF((IF(AL67&gt;=1,1,0)+IF(AM67&gt;=1,1,0)+IF(AN67&gt;=1,1,0)+IF(AO67&gt;=1,1,0)+IF(AP67&gt;=1,1,0)+IF(AQ67&gt;=1,1,0)+IF(AR67&gt;=1,1,0)+IF(AS67&gt;=1,1,0)+IF(AT67&gt;=1,1,0))&gt;=3,"Multi-capacidad (3-4 verticales)",IF((IF(AL67&gt;=1,1,0)+IF(AM67&gt;=1,1,0)+IF(AN67&gt;=1,1,0)+IF(AO67&gt;=1,1,0)+IF(AP67&gt;=1,1,0)+IF(AQ67&gt;=1,1,0)+IF(AR67&gt;=1,1,0)+IF(AS67&gt;=1,1,0)+IF(AT67&gt;=1,1,0))&gt;=1,"Especialista (1-2 verticales)","Sin función mapeada"))))</f>
        <v>Especialista (1-2 verticales)</v>
      </c>
    </row>
    <row r="68" spans="1:50" ht="24" customHeight="1" x14ac:dyDescent="0.2">
      <c r="A68" s="48" t="s">
        <v>433</v>
      </c>
      <c r="B68" s="48" t="s">
        <v>434</v>
      </c>
      <c r="C68" s="78" t="str">
        <f>IF(A68="","",IFERROR(INDEX('UNIVERSO MAESTRO'!$C$6:$C$497,MATCH(A68,'UNIVERSO MAESTRO'!$A$6:$A$497,0)),"⚠ ID no encontrado"))</f>
        <v>Coca-Cola México / Coca-Cola FEMSA</v>
      </c>
      <c r="D68" s="79" t="str">
        <f>IF(A68="","",IFERROR(INDEX('UNIVERSO MAESTRO'!$D$6:$D$497,MATCH(A68,'UNIVERSO MAESTRO'!$A$6:$A$497,0)),""))</f>
        <v>V3</v>
      </c>
      <c r="E68" s="80" t="s">
        <v>353</v>
      </c>
      <c r="F68" s="80" t="s">
        <v>353</v>
      </c>
      <c r="G68" s="80" t="s">
        <v>353</v>
      </c>
      <c r="H68" s="80" t="s">
        <v>353</v>
      </c>
      <c r="I68" s="80" t="s">
        <v>353</v>
      </c>
      <c r="J68" s="80" t="s">
        <v>353</v>
      </c>
      <c r="K68" s="80" t="s">
        <v>353</v>
      </c>
      <c r="L68" s="80" t="s">
        <v>1530</v>
      </c>
      <c r="M68" s="80" t="s">
        <v>1530</v>
      </c>
      <c r="N68" s="80" t="s">
        <v>353</v>
      </c>
      <c r="O68" s="80" t="s">
        <v>353</v>
      </c>
      <c r="P68" s="80" t="s">
        <v>353</v>
      </c>
      <c r="Q68" s="80" t="s">
        <v>353</v>
      </c>
      <c r="R68" s="80" t="s">
        <v>353</v>
      </c>
      <c r="S68" s="80" t="s">
        <v>353</v>
      </c>
      <c r="T68" s="80" t="s">
        <v>353</v>
      </c>
      <c r="U68" s="80" t="s">
        <v>353</v>
      </c>
      <c r="V68" s="80" t="s">
        <v>353</v>
      </c>
      <c r="W68" s="80" t="s">
        <v>353</v>
      </c>
      <c r="X68" s="80" t="s">
        <v>353</v>
      </c>
      <c r="Y68" s="80" t="s">
        <v>353</v>
      </c>
      <c r="Z68" s="80" t="s">
        <v>353</v>
      </c>
      <c r="AA68" s="80" t="s">
        <v>353</v>
      </c>
      <c r="AB68" s="80" t="s">
        <v>353</v>
      </c>
      <c r="AC68" s="80" t="s">
        <v>353</v>
      </c>
      <c r="AD68" s="80" t="s">
        <v>353</v>
      </c>
      <c r="AE68" s="80" t="s">
        <v>353</v>
      </c>
      <c r="AF68" s="80" t="s">
        <v>353</v>
      </c>
      <c r="AG68" s="80" t="s">
        <v>353</v>
      </c>
      <c r="AH68" s="80" t="s">
        <v>353</v>
      </c>
      <c r="AI68" s="80" t="s">
        <v>353</v>
      </c>
      <c r="AJ68" s="80" t="s">
        <v>353</v>
      </c>
      <c r="AK68" s="80" t="s">
        <v>353</v>
      </c>
      <c r="AL68" s="81">
        <f>IF(E68="Sí",1,IF(E68="Parcial",0.5,0))+IF(F68="Sí",1,IF(F68="Parcial",0.5,0))+IF(G68="Sí",1,IF(G68="Parcial",0.5,0))+IF(H68="Sí",1,IF(H68="Parcial",0.5,0))</f>
        <v>0</v>
      </c>
      <c r="AM68" s="82">
        <f>IF(I68="Sí",1,IF(I68="Parcial",0.5,0))+IF(J68="Sí",1,IF(J68="Parcial",0.5,0))+IF(K68="Sí",1,IF(K68="Parcial",0.5,0))</f>
        <v>0</v>
      </c>
      <c r="AN68" s="83">
        <f>IF(L68="Sí",1,IF(L68="Parcial",0.5,0))+IF(M68="Sí",1,IF(M68="Parcial",0.5,0))+IF(N68="Sí",1,IF(N68="Parcial",0.5,0))+IF(O68="Sí",1,IF(O68="Parcial",0.5,0))</f>
        <v>2</v>
      </c>
      <c r="AO68" s="84">
        <f>IF(P68="Sí",1,IF(P68="Parcial",0.5,0))+IF(Q68="Sí",1,IF(Q68="Parcial",0.5,0))+IF(R68="Sí",1,IF(R68="Parcial",0.5,0))+IF(S68="Sí",1,IF(S68="Parcial",0.5,0))+IF(T68="Sí",1,IF(T68="Parcial",0.5,0))+IF(U68="Sí",1,IF(U68="Parcial",0.5,0))</f>
        <v>0</v>
      </c>
      <c r="AP68" s="85">
        <f>IF(V68="Sí",1,IF(V68="Parcial",0.5,0))+IF(W68="Sí",1,IF(W68="Parcial",0.5,0))+IF(X68="Sí",1,IF(X68="Parcial",0.5,0))+IF(Y68="Sí",1,IF(Y68="Parcial",0.5,0))</f>
        <v>0</v>
      </c>
      <c r="AQ68" s="86">
        <f>IF(Z68="Sí",1,IF(Z68="Parcial",0.5,0))+IF(AA68="Sí",1,IF(AA68="Parcial",0.5,0))+IF(AB68="Sí",1,IF(AB68="Parcial",0.5,0))</f>
        <v>0</v>
      </c>
      <c r="AR68" s="87">
        <f>IF(AC68="Sí",1,IF(AC68="Parcial",0.5,0))+IF(AD68="Sí",1,IF(AD68="Parcial",0.5,0))+IF(AE68="Sí",1,IF(AE68="Parcial",0.5,0))</f>
        <v>0</v>
      </c>
      <c r="AS68" s="88">
        <f>IF(AF68="Sí",1,IF(AF68="Parcial",0.5,0))+IF(AG68="Sí",1,IF(AG68="Parcial",0.5,0))+IF(AH68="Sí",1,IF(AH68="Parcial",0.5,0))</f>
        <v>0</v>
      </c>
      <c r="AT68" s="89">
        <f>IF(AI68="Sí",1,IF(AI68="Parcial",0.5,0))+IF(AJ68="Sí",1,IF(AJ68="Parcial",0.5,0))+IF(AK68="Sí",1,IF(AK68="Parcial",0.5,0))</f>
        <v>0</v>
      </c>
      <c r="AU68" s="90">
        <f>SUM(AL68,AM68,AN68,AO68,AP68,AQ68,AR68,AS68,AT68)</f>
        <v>2</v>
      </c>
      <c r="AV68" s="225">
        <f>IFERROR(IF(OR(A68="",AU68=0),"",AU68/(IF(AL68&gt;0,1,0)+IF(AM68&gt;0,1,0)+IF(AN68&gt;0,1,0)+IF(AO68&gt;0,1,0)+IF(AP68&gt;0,1,0)+IF(AQ68&gt;0,1,0)+IF(AR68&gt;0,1,0)+IF(AS68&gt;0,1,0)+IF(AT68&gt;0,1,0))),"")</f>
        <v>2</v>
      </c>
      <c r="AW68" s="225">
        <f>IFERROR(IF(OR(A68="",AU68=""),"",IF(AND(MAX($AU$8:$AU$156)=0,MAX($AV$8:$AV$156)=0),"",0.5*(AU68/MAX($AU$8:$AU$156))+0.5*(AV68/MAX($AV$8:$AV$156)))),"")</f>
        <v>0.3611111111111111</v>
      </c>
      <c r="AX68" s="79" t="str">
        <f>IF(A68="","",IF((IF(AL68&gt;=1,1,0)+IF(AM68&gt;=1,1,0)+IF(AN68&gt;=1,1,0)+IF(AO68&gt;=1,1,0)+IF(AP68&gt;=1,1,0)+IF(AQ68&gt;=1,1,0)+IF(AR68&gt;=1,1,0)+IF(AS68&gt;=1,1,0)+IF(AT68&gt;=1,1,0))&gt;=5,"Diversificado (5+ verticales)",IF((IF(AL68&gt;=1,1,0)+IF(AM68&gt;=1,1,0)+IF(AN68&gt;=1,1,0)+IF(AO68&gt;=1,1,0)+IF(AP68&gt;=1,1,0)+IF(AQ68&gt;=1,1,0)+IF(AR68&gt;=1,1,0)+IF(AS68&gt;=1,1,0)+IF(AT68&gt;=1,1,0))&gt;=3,"Multi-capacidad (3-4 verticales)",IF((IF(AL68&gt;=1,1,0)+IF(AM68&gt;=1,1,0)+IF(AN68&gt;=1,1,0)+IF(AO68&gt;=1,1,0)+IF(AP68&gt;=1,1,0)+IF(AQ68&gt;=1,1,0)+IF(AR68&gt;=1,1,0)+IF(AS68&gt;=1,1,0)+IF(AT68&gt;=1,1,0))&gt;=1,"Especialista (1-2 verticales)","Sin función mapeada"))))</f>
        <v>Especialista (1-2 verticales)</v>
      </c>
    </row>
    <row r="69" spans="1:50" ht="24" customHeight="1" x14ac:dyDescent="0.2">
      <c r="A69" s="48" t="s">
        <v>568</v>
      </c>
      <c r="B69" s="48" t="s">
        <v>569</v>
      </c>
      <c r="C69" s="78" t="str">
        <f>IF(A69="","",IFERROR(INDEX('UNIVERSO MAESTRO'!$C$6:$C$497,MATCH(A69,'UNIVERSO MAESTRO'!$A$6:$A$497,0)),"⚠ ID no encontrado"))</f>
        <v>Estadio Jalisco</v>
      </c>
      <c r="D69" s="79" t="str">
        <f>IF(A69="","",IFERROR(INDEX('UNIVERSO MAESTRO'!$D$6:$D$497,MATCH(A69,'UNIVERSO MAESTRO'!$A$6:$A$497,0)),""))</f>
        <v>V7</v>
      </c>
      <c r="E69" s="80" t="s">
        <v>353</v>
      </c>
      <c r="F69" s="80" t="s">
        <v>353</v>
      </c>
      <c r="G69" s="80" t="s">
        <v>353</v>
      </c>
      <c r="H69" s="80" t="s">
        <v>353</v>
      </c>
      <c r="I69" s="80" t="s">
        <v>353</v>
      </c>
      <c r="J69" s="80" t="s">
        <v>353</v>
      </c>
      <c r="K69" s="80" t="s">
        <v>353</v>
      </c>
      <c r="L69" s="80" t="s">
        <v>353</v>
      </c>
      <c r="M69" s="80" t="s">
        <v>353</v>
      </c>
      <c r="N69" s="80" t="s">
        <v>353</v>
      </c>
      <c r="O69" s="80" t="s">
        <v>353</v>
      </c>
      <c r="P69" s="80" t="s">
        <v>353</v>
      </c>
      <c r="Q69" s="80" t="s">
        <v>353</v>
      </c>
      <c r="R69" s="80" t="s">
        <v>353</v>
      </c>
      <c r="S69" s="80" t="s">
        <v>353</v>
      </c>
      <c r="T69" s="80" t="s">
        <v>353</v>
      </c>
      <c r="U69" s="80" t="s">
        <v>353</v>
      </c>
      <c r="V69" s="80" t="s">
        <v>353</v>
      </c>
      <c r="W69" s="80" t="s">
        <v>353</v>
      </c>
      <c r="X69" s="80" t="s">
        <v>353</v>
      </c>
      <c r="Y69" s="80" t="s">
        <v>353</v>
      </c>
      <c r="Z69" s="80" t="s">
        <v>353</v>
      </c>
      <c r="AA69" s="80" t="s">
        <v>353</v>
      </c>
      <c r="AB69" s="80" t="s">
        <v>353</v>
      </c>
      <c r="AC69" s="80" t="s">
        <v>1530</v>
      </c>
      <c r="AD69" s="80" t="s">
        <v>1530</v>
      </c>
      <c r="AE69" s="80" t="s">
        <v>353</v>
      </c>
      <c r="AF69" s="80" t="s">
        <v>353</v>
      </c>
      <c r="AG69" s="80" t="s">
        <v>353</v>
      </c>
      <c r="AH69" s="80" t="s">
        <v>353</v>
      </c>
      <c r="AI69" s="80" t="s">
        <v>353</v>
      </c>
      <c r="AJ69" s="80" t="s">
        <v>353</v>
      </c>
      <c r="AK69" s="80" t="s">
        <v>353</v>
      </c>
      <c r="AL69" s="81">
        <f>IF(E69="Sí",1,IF(E69="Parcial",0.5,0))+IF(F69="Sí",1,IF(F69="Parcial",0.5,0))+IF(G69="Sí",1,IF(G69="Parcial",0.5,0))+IF(H69="Sí",1,IF(H69="Parcial",0.5,0))</f>
        <v>0</v>
      </c>
      <c r="AM69" s="82">
        <f>IF(I69="Sí",1,IF(I69="Parcial",0.5,0))+IF(J69="Sí",1,IF(J69="Parcial",0.5,0))+IF(K69="Sí",1,IF(K69="Parcial",0.5,0))</f>
        <v>0</v>
      </c>
      <c r="AN69" s="83">
        <f>IF(L69="Sí",1,IF(L69="Parcial",0.5,0))+IF(M69="Sí",1,IF(M69="Parcial",0.5,0))+IF(N69="Sí",1,IF(N69="Parcial",0.5,0))+IF(O69="Sí",1,IF(O69="Parcial",0.5,0))</f>
        <v>0</v>
      </c>
      <c r="AO69" s="84">
        <f>IF(P69="Sí",1,IF(P69="Parcial",0.5,0))+IF(Q69="Sí",1,IF(Q69="Parcial",0.5,0))+IF(R69="Sí",1,IF(R69="Parcial",0.5,0))+IF(S69="Sí",1,IF(S69="Parcial",0.5,0))+IF(T69="Sí",1,IF(T69="Parcial",0.5,0))+IF(U69="Sí",1,IF(U69="Parcial",0.5,0))</f>
        <v>0</v>
      </c>
      <c r="AP69" s="85">
        <f>IF(V69="Sí",1,IF(V69="Parcial",0.5,0))+IF(W69="Sí",1,IF(W69="Parcial",0.5,0))+IF(X69="Sí",1,IF(X69="Parcial",0.5,0))+IF(Y69="Sí",1,IF(Y69="Parcial",0.5,0))</f>
        <v>0</v>
      </c>
      <c r="AQ69" s="86">
        <f>IF(Z69="Sí",1,IF(Z69="Parcial",0.5,0))+IF(AA69="Sí",1,IF(AA69="Parcial",0.5,0))+IF(AB69="Sí",1,IF(AB69="Parcial",0.5,0))</f>
        <v>0</v>
      </c>
      <c r="AR69" s="87">
        <f>IF(AC69="Sí",1,IF(AC69="Parcial",0.5,0))+IF(AD69="Sí",1,IF(AD69="Parcial",0.5,0))+IF(AE69="Sí",1,IF(AE69="Parcial",0.5,0))</f>
        <v>2</v>
      </c>
      <c r="AS69" s="88">
        <f>IF(AF69="Sí",1,IF(AF69="Parcial",0.5,0))+IF(AG69="Sí",1,IF(AG69="Parcial",0.5,0))+IF(AH69="Sí",1,IF(AH69="Parcial",0.5,0))</f>
        <v>0</v>
      </c>
      <c r="AT69" s="89">
        <f>IF(AI69="Sí",1,IF(AI69="Parcial",0.5,0))+IF(AJ69="Sí",1,IF(AJ69="Parcial",0.5,0))+IF(AK69="Sí",1,IF(AK69="Parcial",0.5,0))</f>
        <v>0</v>
      </c>
      <c r="AU69" s="90">
        <f>SUM(AL69,AM69,AN69,AO69,AP69,AQ69,AR69,AS69,AT69)</f>
        <v>2</v>
      </c>
      <c r="AV69" s="225">
        <f>IFERROR(IF(OR(A69="",AU69=0),"",AU69/(IF(AL69&gt;0,1,0)+IF(AM69&gt;0,1,0)+IF(AN69&gt;0,1,0)+IF(AO69&gt;0,1,0)+IF(AP69&gt;0,1,0)+IF(AQ69&gt;0,1,0)+IF(AR69&gt;0,1,0)+IF(AS69&gt;0,1,0)+IF(AT69&gt;0,1,0))),"")</f>
        <v>2</v>
      </c>
      <c r="AW69" s="225">
        <f>IFERROR(IF(OR(A69="",AU69=""),"",IF(AND(MAX($AU$8:$AU$156)=0,MAX($AV$8:$AV$156)=0),"",0.5*(AU69/MAX($AU$8:$AU$156))+0.5*(AV69/MAX($AV$8:$AV$156)))),"")</f>
        <v>0.3611111111111111</v>
      </c>
      <c r="AX69" s="79" t="str">
        <f>IF(A69="","",IF((IF(AL69&gt;=1,1,0)+IF(AM69&gt;=1,1,0)+IF(AN69&gt;=1,1,0)+IF(AO69&gt;=1,1,0)+IF(AP69&gt;=1,1,0)+IF(AQ69&gt;=1,1,0)+IF(AR69&gt;=1,1,0)+IF(AS69&gt;=1,1,0)+IF(AT69&gt;=1,1,0))&gt;=5,"Diversificado (5+ verticales)",IF((IF(AL69&gt;=1,1,0)+IF(AM69&gt;=1,1,0)+IF(AN69&gt;=1,1,0)+IF(AO69&gt;=1,1,0)+IF(AP69&gt;=1,1,0)+IF(AQ69&gt;=1,1,0)+IF(AR69&gt;=1,1,0)+IF(AS69&gt;=1,1,0)+IF(AT69&gt;=1,1,0))&gt;=3,"Multi-capacidad (3-4 verticales)",IF((IF(AL69&gt;=1,1,0)+IF(AM69&gt;=1,1,0)+IF(AN69&gt;=1,1,0)+IF(AO69&gt;=1,1,0)+IF(AP69&gt;=1,1,0)+IF(AQ69&gt;=1,1,0)+IF(AR69&gt;=1,1,0)+IF(AS69&gt;=1,1,0)+IF(AT69&gt;=1,1,0))&gt;=1,"Especialista (1-2 verticales)","Sin función mapeada"))))</f>
        <v>Especialista (1-2 verticales)</v>
      </c>
    </row>
    <row r="70" spans="1:50" ht="24" customHeight="1" x14ac:dyDescent="0.2">
      <c r="A70" s="48" t="s">
        <v>574</v>
      </c>
      <c r="B70" s="48" t="s">
        <v>575</v>
      </c>
      <c r="C70" s="78" t="str">
        <f>IF(A70="","",IFERROR(INDEX('UNIVERSO MAESTRO'!$C$6:$C$497,MATCH(A70,'UNIVERSO MAESTRO'!$A$6:$A$497,0)),"⚠ ID no encontrado"))</f>
        <v>Estadio Olímpico Universitario</v>
      </c>
      <c r="D70" s="79" t="str">
        <f>IF(A70="","",IFERROR(INDEX('UNIVERSO MAESTRO'!$D$6:$D$497,MATCH(A70,'UNIVERSO MAESTRO'!$A$6:$A$497,0)),""))</f>
        <v>V7</v>
      </c>
      <c r="E70" s="80" t="s">
        <v>353</v>
      </c>
      <c r="F70" s="80" t="s">
        <v>353</v>
      </c>
      <c r="G70" s="80" t="s">
        <v>353</v>
      </c>
      <c r="H70" s="80" t="s">
        <v>353</v>
      </c>
      <c r="I70" s="80" t="s">
        <v>353</v>
      </c>
      <c r="J70" s="80" t="s">
        <v>353</v>
      </c>
      <c r="K70" s="80" t="s">
        <v>353</v>
      </c>
      <c r="L70" s="80" t="s">
        <v>353</v>
      </c>
      <c r="M70" s="80" t="s">
        <v>353</v>
      </c>
      <c r="N70" s="80" t="s">
        <v>353</v>
      </c>
      <c r="O70" s="80" t="s">
        <v>353</v>
      </c>
      <c r="P70" s="80" t="s">
        <v>353</v>
      </c>
      <c r="Q70" s="80" t="s">
        <v>353</v>
      </c>
      <c r="R70" s="80" t="s">
        <v>353</v>
      </c>
      <c r="S70" s="80" t="s">
        <v>353</v>
      </c>
      <c r="T70" s="80" t="s">
        <v>353</v>
      </c>
      <c r="U70" s="80" t="s">
        <v>353</v>
      </c>
      <c r="V70" s="80" t="s">
        <v>353</v>
      </c>
      <c r="W70" s="80" t="s">
        <v>353</v>
      </c>
      <c r="X70" s="80" t="s">
        <v>353</v>
      </c>
      <c r="Y70" s="80" t="s">
        <v>353</v>
      </c>
      <c r="Z70" s="80" t="s">
        <v>353</v>
      </c>
      <c r="AA70" s="80" t="s">
        <v>353</v>
      </c>
      <c r="AB70" s="80" t="s">
        <v>353</v>
      </c>
      <c r="AC70" s="80" t="s">
        <v>1530</v>
      </c>
      <c r="AD70" s="80" t="s">
        <v>1530</v>
      </c>
      <c r="AE70" s="80" t="s">
        <v>353</v>
      </c>
      <c r="AF70" s="80" t="s">
        <v>353</v>
      </c>
      <c r="AG70" s="80" t="s">
        <v>353</v>
      </c>
      <c r="AH70" s="80" t="s">
        <v>353</v>
      </c>
      <c r="AI70" s="80" t="s">
        <v>353</v>
      </c>
      <c r="AJ70" s="80" t="s">
        <v>353</v>
      </c>
      <c r="AK70" s="80" t="s">
        <v>353</v>
      </c>
      <c r="AL70" s="81">
        <f>IF(E70="Sí",1,IF(E70="Parcial",0.5,0))+IF(F70="Sí",1,IF(F70="Parcial",0.5,0))+IF(G70="Sí",1,IF(G70="Parcial",0.5,0))+IF(H70="Sí",1,IF(H70="Parcial",0.5,0))</f>
        <v>0</v>
      </c>
      <c r="AM70" s="82">
        <f>IF(I70="Sí",1,IF(I70="Parcial",0.5,0))+IF(J70="Sí",1,IF(J70="Parcial",0.5,0))+IF(K70="Sí",1,IF(K70="Parcial",0.5,0))</f>
        <v>0</v>
      </c>
      <c r="AN70" s="83">
        <f>IF(L70="Sí",1,IF(L70="Parcial",0.5,0))+IF(M70="Sí",1,IF(M70="Parcial",0.5,0))+IF(N70="Sí",1,IF(N70="Parcial",0.5,0))+IF(O70="Sí",1,IF(O70="Parcial",0.5,0))</f>
        <v>0</v>
      </c>
      <c r="AO70" s="84">
        <f>IF(P70="Sí",1,IF(P70="Parcial",0.5,0))+IF(Q70="Sí",1,IF(Q70="Parcial",0.5,0))+IF(R70="Sí",1,IF(R70="Parcial",0.5,0))+IF(S70="Sí",1,IF(S70="Parcial",0.5,0))+IF(T70="Sí",1,IF(T70="Parcial",0.5,0))+IF(U70="Sí",1,IF(U70="Parcial",0.5,0))</f>
        <v>0</v>
      </c>
      <c r="AP70" s="85">
        <f>IF(V70="Sí",1,IF(V70="Parcial",0.5,0))+IF(W70="Sí",1,IF(W70="Parcial",0.5,0))+IF(X70="Sí",1,IF(X70="Parcial",0.5,0))+IF(Y70="Sí",1,IF(Y70="Parcial",0.5,0))</f>
        <v>0</v>
      </c>
      <c r="AQ70" s="86">
        <f>IF(Z70="Sí",1,IF(Z70="Parcial",0.5,0))+IF(AA70="Sí",1,IF(AA70="Parcial",0.5,0))+IF(AB70="Sí",1,IF(AB70="Parcial",0.5,0))</f>
        <v>0</v>
      </c>
      <c r="AR70" s="87">
        <f>IF(AC70="Sí",1,IF(AC70="Parcial",0.5,0))+IF(AD70="Sí",1,IF(AD70="Parcial",0.5,0))+IF(AE70="Sí",1,IF(AE70="Parcial",0.5,0))</f>
        <v>2</v>
      </c>
      <c r="AS70" s="88">
        <f>IF(AF70="Sí",1,IF(AF70="Parcial",0.5,0))+IF(AG70="Sí",1,IF(AG70="Parcial",0.5,0))+IF(AH70="Sí",1,IF(AH70="Parcial",0.5,0))</f>
        <v>0</v>
      </c>
      <c r="AT70" s="89">
        <f>IF(AI70="Sí",1,IF(AI70="Parcial",0.5,0))+IF(AJ70="Sí",1,IF(AJ70="Parcial",0.5,0))+IF(AK70="Sí",1,IF(AK70="Parcial",0.5,0))</f>
        <v>0</v>
      </c>
      <c r="AU70" s="90">
        <f>SUM(AL70,AM70,AN70,AO70,AP70,AQ70,AR70,AS70,AT70)</f>
        <v>2</v>
      </c>
      <c r="AV70" s="225">
        <f>IFERROR(IF(OR(A70="",AU70=0),"",AU70/(IF(AL70&gt;0,1,0)+IF(AM70&gt;0,1,0)+IF(AN70&gt;0,1,0)+IF(AO70&gt;0,1,0)+IF(AP70&gt;0,1,0)+IF(AQ70&gt;0,1,0)+IF(AR70&gt;0,1,0)+IF(AS70&gt;0,1,0)+IF(AT70&gt;0,1,0))),"")</f>
        <v>2</v>
      </c>
      <c r="AW70" s="225">
        <f>IFERROR(IF(OR(A70="",AU70=""),"",IF(AND(MAX($AU$8:$AU$156)=0,MAX($AV$8:$AV$156)=0),"",0.5*(AU70/MAX($AU$8:$AU$156))+0.5*(AV70/MAX($AV$8:$AV$156)))),"")</f>
        <v>0.3611111111111111</v>
      </c>
      <c r="AX70" s="79" t="str">
        <f>IF(A70="","",IF((IF(AL70&gt;=1,1,0)+IF(AM70&gt;=1,1,0)+IF(AN70&gt;=1,1,0)+IF(AO70&gt;=1,1,0)+IF(AP70&gt;=1,1,0)+IF(AQ70&gt;=1,1,0)+IF(AR70&gt;=1,1,0)+IF(AS70&gt;=1,1,0)+IF(AT70&gt;=1,1,0))&gt;=5,"Diversificado (5+ verticales)",IF((IF(AL70&gt;=1,1,0)+IF(AM70&gt;=1,1,0)+IF(AN70&gt;=1,1,0)+IF(AO70&gt;=1,1,0)+IF(AP70&gt;=1,1,0)+IF(AQ70&gt;=1,1,0)+IF(AR70&gt;=1,1,0)+IF(AS70&gt;=1,1,0)+IF(AT70&gt;=1,1,0))&gt;=3,"Multi-capacidad (3-4 verticales)",IF((IF(AL70&gt;=1,1,0)+IF(AM70&gt;=1,1,0)+IF(AN70&gt;=1,1,0)+IF(AO70&gt;=1,1,0)+IF(AP70&gt;=1,1,0)+IF(AQ70&gt;=1,1,0)+IF(AR70&gt;=1,1,0)+IF(AS70&gt;=1,1,0)+IF(AT70&gt;=1,1,0))&gt;=1,"Especialista (1-2 verticales)","Sin función mapeada"))))</f>
        <v>Especialista (1-2 verticales)</v>
      </c>
    </row>
    <row r="71" spans="1:50" ht="24" customHeight="1" x14ac:dyDescent="0.2">
      <c r="A71" s="48" t="s">
        <v>602</v>
      </c>
      <c r="B71" s="48" t="s">
        <v>603</v>
      </c>
      <c r="C71" s="78" t="str">
        <f>IF(A71="","",IFERROR(INDEX('UNIVERSO MAESTRO'!$C$6:$C$497,MATCH(A71,'UNIVERSO MAESTRO'!$A$6:$A$497,0)),"⚠ ID no encontrado"))</f>
        <v>FANKI (Bitsports S.A.S.)</v>
      </c>
      <c r="D71" s="79" t="str">
        <f>IF(A71="","",IFERROR(INDEX('UNIVERSO MAESTRO'!$D$6:$D$497,MATCH(A71,'UNIVERSO MAESTRO'!$A$6:$A$497,0)),""))</f>
        <v>V6</v>
      </c>
      <c r="E71" s="80" t="s">
        <v>353</v>
      </c>
      <c r="F71" s="80" t="s">
        <v>353</v>
      </c>
      <c r="G71" s="80" t="s">
        <v>353</v>
      </c>
      <c r="H71" s="80" t="s">
        <v>353</v>
      </c>
      <c r="I71" s="80" t="s">
        <v>353</v>
      </c>
      <c r="J71" s="80" t="s">
        <v>353</v>
      </c>
      <c r="K71" s="80" t="s">
        <v>353</v>
      </c>
      <c r="L71" s="80" t="s">
        <v>353</v>
      </c>
      <c r="M71" s="80" t="s">
        <v>353</v>
      </c>
      <c r="N71" s="80" t="s">
        <v>353</v>
      </c>
      <c r="O71" s="80" t="s">
        <v>353</v>
      </c>
      <c r="P71" s="80" t="s">
        <v>353</v>
      </c>
      <c r="Q71" s="80" t="s">
        <v>353</v>
      </c>
      <c r="R71" s="80" t="s">
        <v>353</v>
      </c>
      <c r="S71" s="80" t="s">
        <v>353</v>
      </c>
      <c r="T71" s="80" t="s">
        <v>353</v>
      </c>
      <c r="U71" s="80" t="s">
        <v>353</v>
      </c>
      <c r="V71" s="80" t="s">
        <v>353</v>
      </c>
      <c r="W71" s="80" t="s">
        <v>353</v>
      </c>
      <c r="X71" s="80" t="s">
        <v>353</v>
      </c>
      <c r="Y71" s="80" t="s">
        <v>353</v>
      </c>
      <c r="Z71" s="80" t="s">
        <v>1530</v>
      </c>
      <c r="AA71" s="80" t="s">
        <v>353</v>
      </c>
      <c r="AB71" s="80" t="s">
        <v>1530</v>
      </c>
      <c r="AC71" s="80" t="s">
        <v>353</v>
      </c>
      <c r="AD71" s="80" t="s">
        <v>353</v>
      </c>
      <c r="AE71" s="80" t="s">
        <v>353</v>
      </c>
      <c r="AF71" s="80" t="s">
        <v>353</v>
      </c>
      <c r="AG71" s="80" t="s">
        <v>353</v>
      </c>
      <c r="AH71" s="80" t="s">
        <v>353</v>
      </c>
      <c r="AI71" s="80" t="s">
        <v>353</v>
      </c>
      <c r="AJ71" s="80" t="s">
        <v>353</v>
      </c>
      <c r="AK71" s="80" t="s">
        <v>353</v>
      </c>
      <c r="AL71" s="81">
        <f>IF(E71="Sí",1,IF(E71="Parcial",0.5,0))+IF(F71="Sí",1,IF(F71="Parcial",0.5,0))+IF(G71="Sí",1,IF(G71="Parcial",0.5,0))+IF(H71="Sí",1,IF(H71="Parcial",0.5,0))</f>
        <v>0</v>
      </c>
      <c r="AM71" s="82">
        <f>IF(I71="Sí",1,IF(I71="Parcial",0.5,0))+IF(J71="Sí",1,IF(J71="Parcial",0.5,0))+IF(K71="Sí",1,IF(K71="Parcial",0.5,0))</f>
        <v>0</v>
      </c>
      <c r="AN71" s="83">
        <f>IF(L71="Sí",1,IF(L71="Parcial",0.5,0))+IF(M71="Sí",1,IF(M71="Parcial",0.5,0))+IF(N71="Sí",1,IF(N71="Parcial",0.5,0))+IF(O71="Sí",1,IF(O71="Parcial",0.5,0))</f>
        <v>0</v>
      </c>
      <c r="AO71" s="84">
        <f>IF(P71="Sí",1,IF(P71="Parcial",0.5,0))+IF(Q71="Sí",1,IF(Q71="Parcial",0.5,0))+IF(R71="Sí",1,IF(R71="Parcial",0.5,0))+IF(S71="Sí",1,IF(S71="Parcial",0.5,0))+IF(T71="Sí",1,IF(T71="Parcial",0.5,0))+IF(U71="Sí",1,IF(U71="Parcial",0.5,0))</f>
        <v>0</v>
      </c>
      <c r="AP71" s="85">
        <f>IF(V71="Sí",1,IF(V71="Parcial",0.5,0))+IF(W71="Sí",1,IF(W71="Parcial",0.5,0))+IF(X71="Sí",1,IF(X71="Parcial",0.5,0))+IF(Y71="Sí",1,IF(Y71="Parcial",0.5,0))</f>
        <v>0</v>
      </c>
      <c r="AQ71" s="86">
        <f>IF(Z71="Sí",1,IF(Z71="Parcial",0.5,0))+IF(AA71="Sí",1,IF(AA71="Parcial",0.5,0))+IF(AB71="Sí",1,IF(AB71="Parcial",0.5,0))</f>
        <v>2</v>
      </c>
      <c r="AR71" s="87">
        <f>IF(AC71="Sí",1,IF(AC71="Parcial",0.5,0))+IF(AD71="Sí",1,IF(AD71="Parcial",0.5,0))+IF(AE71="Sí",1,IF(AE71="Parcial",0.5,0))</f>
        <v>0</v>
      </c>
      <c r="AS71" s="88">
        <f>IF(AF71="Sí",1,IF(AF71="Parcial",0.5,0))+IF(AG71="Sí",1,IF(AG71="Parcial",0.5,0))+IF(AH71="Sí",1,IF(AH71="Parcial",0.5,0))</f>
        <v>0</v>
      </c>
      <c r="AT71" s="89">
        <f>IF(AI71="Sí",1,IF(AI71="Parcial",0.5,0))+IF(AJ71="Sí",1,IF(AJ71="Parcial",0.5,0))+IF(AK71="Sí",1,IF(AK71="Parcial",0.5,0))</f>
        <v>0</v>
      </c>
      <c r="AU71" s="90">
        <f>SUM(AL71,AM71,AN71,AO71,AP71,AQ71,AR71,AS71,AT71)</f>
        <v>2</v>
      </c>
      <c r="AV71" s="225">
        <f>IFERROR(IF(OR(A71="",AU71=0),"",AU71/(IF(AL71&gt;0,1,0)+IF(AM71&gt;0,1,0)+IF(AN71&gt;0,1,0)+IF(AO71&gt;0,1,0)+IF(AP71&gt;0,1,0)+IF(AQ71&gt;0,1,0)+IF(AR71&gt;0,1,0)+IF(AS71&gt;0,1,0)+IF(AT71&gt;0,1,0))),"")</f>
        <v>2</v>
      </c>
      <c r="AW71" s="225">
        <f>IFERROR(IF(OR(A71="",AU71=""),"",IF(AND(MAX($AU$8:$AU$156)=0,MAX($AV$8:$AV$156)=0),"",0.5*(AU71/MAX($AU$8:$AU$156))+0.5*(AV71/MAX($AV$8:$AV$156)))),"")</f>
        <v>0.3611111111111111</v>
      </c>
      <c r="AX71" s="79" t="str">
        <f>IF(A71="","",IF((IF(AL71&gt;=1,1,0)+IF(AM71&gt;=1,1,0)+IF(AN71&gt;=1,1,0)+IF(AO71&gt;=1,1,0)+IF(AP71&gt;=1,1,0)+IF(AQ71&gt;=1,1,0)+IF(AR71&gt;=1,1,0)+IF(AS71&gt;=1,1,0)+IF(AT71&gt;=1,1,0))&gt;=5,"Diversificado (5+ verticales)",IF((IF(AL71&gt;=1,1,0)+IF(AM71&gt;=1,1,0)+IF(AN71&gt;=1,1,0)+IF(AO71&gt;=1,1,0)+IF(AP71&gt;=1,1,0)+IF(AQ71&gt;=1,1,0)+IF(AR71&gt;=1,1,0)+IF(AS71&gt;=1,1,0)+IF(AT71&gt;=1,1,0))&gt;=3,"Multi-capacidad (3-4 verticales)",IF((IF(AL71&gt;=1,1,0)+IF(AM71&gt;=1,1,0)+IF(AN71&gt;=1,1,0)+IF(AO71&gt;=1,1,0)+IF(AP71&gt;=1,1,0)+IF(AQ71&gt;=1,1,0)+IF(AR71&gt;=1,1,0)+IF(AS71&gt;=1,1,0)+IF(AT71&gt;=1,1,0))&gt;=1,"Especialista (1-2 verticales)","Sin función mapeada"))))</f>
        <v>Especialista (1-2 verticales)</v>
      </c>
    </row>
    <row r="72" spans="1:50" ht="24" customHeight="1" x14ac:dyDescent="0.2">
      <c r="A72" s="48" t="s">
        <v>640</v>
      </c>
      <c r="B72" s="48" t="s">
        <v>641</v>
      </c>
      <c r="C72" s="78" t="str">
        <f>IF(A72="","",IFERROR(INDEX('UNIVERSO MAESTRO'!$C$6:$C$497,MATCH(A72,'UNIVERSO MAESTRO'!$A$6:$A$497,0)),"⚠ ID no encontrado"))</f>
        <v>Fillip Holdings</v>
      </c>
      <c r="D72" s="79" t="str">
        <f>IF(A72="","",IFERROR(INDEX('UNIVERSO MAESTRO'!$D$6:$D$497,MATCH(A72,'UNIVERSO MAESTRO'!$A$6:$A$497,0)),""))</f>
        <v>V9</v>
      </c>
      <c r="E72" s="80" t="s">
        <v>353</v>
      </c>
      <c r="F72" s="80" t="s">
        <v>353</v>
      </c>
      <c r="G72" s="80" t="s">
        <v>353</v>
      </c>
      <c r="H72" s="80" t="s">
        <v>353</v>
      </c>
      <c r="I72" s="80" t="s">
        <v>353</v>
      </c>
      <c r="J72" s="80" t="s">
        <v>353</v>
      </c>
      <c r="K72" s="80" t="s">
        <v>353</v>
      </c>
      <c r="L72" s="80" t="s">
        <v>353</v>
      </c>
      <c r="M72" s="80" t="s">
        <v>353</v>
      </c>
      <c r="N72" s="80" t="s">
        <v>353</v>
      </c>
      <c r="O72" s="80" t="s">
        <v>353</v>
      </c>
      <c r="P72" s="80" t="s">
        <v>353</v>
      </c>
      <c r="Q72" s="80" t="s">
        <v>353</v>
      </c>
      <c r="R72" s="80" t="s">
        <v>353</v>
      </c>
      <c r="S72" s="80" t="s">
        <v>353</v>
      </c>
      <c r="T72" s="80" t="s">
        <v>353</v>
      </c>
      <c r="U72" s="80" t="s">
        <v>353</v>
      </c>
      <c r="V72" s="80" t="s">
        <v>353</v>
      </c>
      <c r="W72" s="80" t="s">
        <v>353</v>
      </c>
      <c r="X72" s="80" t="s">
        <v>353</v>
      </c>
      <c r="Y72" s="80" t="s">
        <v>353</v>
      </c>
      <c r="Z72" s="80" t="s">
        <v>353</v>
      </c>
      <c r="AA72" s="80" t="s">
        <v>353</v>
      </c>
      <c r="AB72" s="80" t="s">
        <v>353</v>
      </c>
      <c r="AC72" s="80" t="s">
        <v>353</v>
      </c>
      <c r="AD72" s="80" t="s">
        <v>353</v>
      </c>
      <c r="AE72" s="80" t="s">
        <v>353</v>
      </c>
      <c r="AF72" s="80" t="s">
        <v>353</v>
      </c>
      <c r="AG72" s="80" t="s">
        <v>353</v>
      </c>
      <c r="AH72" s="80" t="s">
        <v>353</v>
      </c>
      <c r="AI72" s="80" t="s">
        <v>353</v>
      </c>
      <c r="AJ72" s="80" t="s">
        <v>1530</v>
      </c>
      <c r="AK72" s="80" t="s">
        <v>1530</v>
      </c>
      <c r="AL72" s="81">
        <f>IF(E72="Sí",1,IF(E72="Parcial",0.5,0))+IF(F72="Sí",1,IF(F72="Parcial",0.5,0))+IF(G72="Sí",1,IF(G72="Parcial",0.5,0))+IF(H72="Sí",1,IF(H72="Parcial",0.5,0))</f>
        <v>0</v>
      </c>
      <c r="AM72" s="82">
        <f>IF(I72="Sí",1,IF(I72="Parcial",0.5,0))+IF(J72="Sí",1,IF(J72="Parcial",0.5,0))+IF(K72="Sí",1,IF(K72="Parcial",0.5,0))</f>
        <v>0</v>
      </c>
      <c r="AN72" s="83">
        <f>IF(L72="Sí",1,IF(L72="Parcial",0.5,0))+IF(M72="Sí",1,IF(M72="Parcial",0.5,0))+IF(N72="Sí",1,IF(N72="Parcial",0.5,0))+IF(O72="Sí",1,IF(O72="Parcial",0.5,0))</f>
        <v>0</v>
      </c>
      <c r="AO72" s="84">
        <f>IF(P72="Sí",1,IF(P72="Parcial",0.5,0))+IF(Q72="Sí",1,IF(Q72="Parcial",0.5,0))+IF(R72="Sí",1,IF(R72="Parcial",0.5,0))+IF(S72="Sí",1,IF(S72="Parcial",0.5,0))+IF(T72="Sí",1,IF(T72="Parcial",0.5,0))+IF(U72="Sí",1,IF(U72="Parcial",0.5,0))</f>
        <v>0</v>
      </c>
      <c r="AP72" s="85">
        <f>IF(V72="Sí",1,IF(V72="Parcial",0.5,0))+IF(W72="Sí",1,IF(W72="Parcial",0.5,0))+IF(X72="Sí",1,IF(X72="Parcial",0.5,0))+IF(Y72="Sí",1,IF(Y72="Parcial",0.5,0))</f>
        <v>0</v>
      </c>
      <c r="AQ72" s="86">
        <f>IF(Z72="Sí",1,IF(Z72="Parcial",0.5,0))+IF(AA72="Sí",1,IF(AA72="Parcial",0.5,0))+IF(AB72="Sí",1,IF(AB72="Parcial",0.5,0))</f>
        <v>0</v>
      </c>
      <c r="AR72" s="87">
        <f>IF(AC72="Sí",1,IF(AC72="Parcial",0.5,0))+IF(AD72="Sí",1,IF(AD72="Parcial",0.5,0))+IF(AE72="Sí",1,IF(AE72="Parcial",0.5,0))</f>
        <v>0</v>
      </c>
      <c r="AS72" s="88">
        <f>IF(AF72="Sí",1,IF(AF72="Parcial",0.5,0))+IF(AG72="Sí",1,IF(AG72="Parcial",0.5,0))+IF(AH72="Sí",1,IF(AH72="Parcial",0.5,0))</f>
        <v>0</v>
      </c>
      <c r="AT72" s="89">
        <f>IF(AI72="Sí",1,IF(AI72="Parcial",0.5,0))+IF(AJ72="Sí",1,IF(AJ72="Parcial",0.5,0))+IF(AK72="Sí",1,IF(AK72="Parcial",0.5,0))</f>
        <v>2</v>
      </c>
      <c r="AU72" s="90">
        <f>SUM(AL72,AM72,AN72,AO72,AP72,AQ72,AR72,AS72,AT72)</f>
        <v>2</v>
      </c>
      <c r="AV72" s="225">
        <f>IFERROR(IF(OR(A72="",AU72=0),"",AU72/(IF(AL72&gt;0,1,0)+IF(AM72&gt;0,1,0)+IF(AN72&gt;0,1,0)+IF(AO72&gt;0,1,0)+IF(AP72&gt;0,1,0)+IF(AQ72&gt;0,1,0)+IF(AR72&gt;0,1,0)+IF(AS72&gt;0,1,0)+IF(AT72&gt;0,1,0))),"")</f>
        <v>2</v>
      </c>
      <c r="AW72" s="225">
        <f>IFERROR(IF(OR(A72="",AU72=""),"",IF(AND(MAX($AU$8:$AU$156)=0,MAX($AV$8:$AV$156)=0),"",0.5*(AU72/MAX($AU$8:$AU$156))+0.5*(AV72/MAX($AV$8:$AV$156)))),"")</f>
        <v>0.3611111111111111</v>
      </c>
      <c r="AX72" s="79" t="str">
        <f>IF(A72="","",IF((IF(AL72&gt;=1,1,0)+IF(AM72&gt;=1,1,0)+IF(AN72&gt;=1,1,0)+IF(AO72&gt;=1,1,0)+IF(AP72&gt;=1,1,0)+IF(AQ72&gt;=1,1,0)+IF(AR72&gt;=1,1,0)+IF(AS72&gt;=1,1,0)+IF(AT72&gt;=1,1,0))&gt;=5,"Diversificado (5+ verticales)",IF((IF(AL72&gt;=1,1,0)+IF(AM72&gt;=1,1,0)+IF(AN72&gt;=1,1,0)+IF(AO72&gt;=1,1,0)+IF(AP72&gt;=1,1,0)+IF(AQ72&gt;=1,1,0)+IF(AR72&gt;=1,1,0)+IF(AS72&gt;=1,1,0)+IF(AT72&gt;=1,1,0))&gt;=3,"Multi-capacidad (3-4 verticales)",IF((IF(AL72&gt;=1,1,0)+IF(AM72&gt;=1,1,0)+IF(AN72&gt;=1,1,0)+IF(AO72&gt;=1,1,0)+IF(AP72&gt;=1,1,0)+IF(AQ72&gt;=1,1,0)+IF(AR72&gt;=1,1,0)+IF(AS72&gt;=1,1,0)+IF(AT72&gt;=1,1,0))&gt;=1,"Especialista (1-2 verticales)","Sin función mapeada"))))</f>
        <v>Especialista (1-2 verticales)</v>
      </c>
    </row>
    <row r="73" spans="1:50" ht="24" customHeight="1" x14ac:dyDescent="0.2">
      <c r="A73" s="48" t="s">
        <v>671</v>
      </c>
      <c r="B73" s="48" t="s">
        <v>672</v>
      </c>
      <c r="C73" s="78" t="str">
        <f>IF(A73="","",IFERROR(INDEX('UNIVERSO MAESTRO'!$C$6:$C$497,MATCH(A73,'UNIVERSO MAESTRO'!$A$6:$A$497,0)),"⚠ ID no encontrado"))</f>
        <v>General Atlantic</v>
      </c>
      <c r="D73" s="79" t="str">
        <f>IF(A73="","",IFERROR(INDEX('UNIVERSO MAESTRO'!$D$6:$D$497,MATCH(A73,'UNIVERSO MAESTRO'!$A$6:$A$497,0)),""))</f>
        <v>V9</v>
      </c>
      <c r="E73" s="80" t="s">
        <v>353</v>
      </c>
      <c r="F73" s="80" t="s">
        <v>353</v>
      </c>
      <c r="G73" s="80" t="s">
        <v>353</v>
      </c>
      <c r="H73" s="80" t="s">
        <v>353</v>
      </c>
      <c r="I73" s="80" t="s">
        <v>353</v>
      </c>
      <c r="J73" s="80" t="s">
        <v>353</v>
      </c>
      <c r="K73" s="80" t="s">
        <v>353</v>
      </c>
      <c r="L73" s="80" t="s">
        <v>353</v>
      </c>
      <c r="M73" s="80" t="s">
        <v>353</v>
      </c>
      <c r="N73" s="80" t="s">
        <v>353</v>
      </c>
      <c r="O73" s="80" t="s">
        <v>353</v>
      </c>
      <c r="P73" s="80" t="s">
        <v>353</v>
      </c>
      <c r="Q73" s="80" t="s">
        <v>353</v>
      </c>
      <c r="R73" s="80" t="s">
        <v>353</v>
      </c>
      <c r="S73" s="80" t="s">
        <v>353</v>
      </c>
      <c r="T73" s="80" t="s">
        <v>353</v>
      </c>
      <c r="U73" s="80" t="s">
        <v>353</v>
      </c>
      <c r="V73" s="80" t="s">
        <v>353</v>
      </c>
      <c r="W73" s="80" t="s">
        <v>353</v>
      </c>
      <c r="X73" s="80" t="s">
        <v>353</v>
      </c>
      <c r="Y73" s="80" t="s">
        <v>353</v>
      </c>
      <c r="Z73" s="80" t="s">
        <v>353</v>
      </c>
      <c r="AA73" s="80" t="s">
        <v>353</v>
      </c>
      <c r="AB73" s="80" t="s">
        <v>353</v>
      </c>
      <c r="AC73" s="80" t="s">
        <v>353</v>
      </c>
      <c r="AD73" s="80" t="s">
        <v>353</v>
      </c>
      <c r="AE73" s="80" t="s">
        <v>353</v>
      </c>
      <c r="AF73" s="80" t="s">
        <v>353</v>
      </c>
      <c r="AG73" s="80" t="s">
        <v>353</v>
      </c>
      <c r="AH73" s="80" t="s">
        <v>353</v>
      </c>
      <c r="AI73" s="80" t="s">
        <v>353</v>
      </c>
      <c r="AJ73" s="80" t="s">
        <v>1530</v>
      </c>
      <c r="AK73" s="80" t="s">
        <v>1530</v>
      </c>
      <c r="AL73" s="81">
        <f>IF(E73="Sí",1,IF(E73="Parcial",0.5,0))+IF(F73="Sí",1,IF(F73="Parcial",0.5,0))+IF(G73="Sí",1,IF(G73="Parcial",0.5,0))+IF(H73="Sí",1,IF(H73="Parcial",0.5,0))</f>
        <v>0</v>
      </c>
      <c r="AM73" s="82">
        <f>IF(I73="Sí",1,IF(I73="Parcial",0.5,0))+IF(J73="Sí",1,IF(J73="Parcial",0.5,0))+IF(K73="Sí",1,IF(K73="Parcial",0.5,0))</f>
        <v>0</v>
      </c>
      <c r="AN73" s="83">
        <f>IF(L73="Sí",1,IF(L73="Parcial",0.5,0))+IF(M73="Sí",1,IF(M73="Parcial",0.5,0))+IF(N73="Sí",1,IF(N73="Parcial",0.5,0))+IF(O73="Sí",1,IF(O73="Parcial",0.5,0))</f>
        <v>0</v>
      </c>
      <c r="AO73" s="84">
        <f>IF(P73="Sí",1,IF(P73="Parcial",0.5,0))+IF(Q73="Sí",1,IF(Q73="Parcial",0.5,0))+IF(R73="Sí",1,IF(R73="Parcial",0.5,0))+IF(S73="Sí",1,IF(S73="Parcial",0.5,0))+IF(T73="Sí",1,IF(T73="Parcial",0.5,0))+IF(U73="Sí",1,IF(U73="Parcial",0.5,0))</f>
        <v>0</v>
      </c>
      <c r="AP73" s="85">
        <f>IF(V73="Sí",1,IF(V73="Parcial",0.5,0))+IF(W73="Sí",1,IF(W73="Parcial",0.5,0))+IF(X73="Sí",1,IF(X73="Parcial",0.5,0))+IF(Y73="Sí",1,IF(Y73="Parcial",0.5,0))</f>
        <v>0</v>
      </c>
      <c r="AQ73" s="86">
        <f>IF(Z73="Sí",1,IF(Z73="Parcial",0.5,0))+IF(AA73="Sí",1,IF(AA73="Parcial",0.5,0))+IF(AB73="Sí",1,IF(AB73="Parcial",0.5,0))</f>
        <v>0</v>
      </c>
      <c r="AR73" s="87">
        <f>IF(AC73="Sí",1,IF(AC73="Parcial",0.5,0))+IF(AD73="Sí",1,IF(AD73="Parcial",0.5,0))+IF(AE73="Sí",1,IF(AE73="Parcial",0.5,0))</f>
        <v>0</v>
      </c>
      <c r="AS73" s="88">
        <f>IF(AF73="Sí",1,IF(AF73="Parcial",0.5,0))+IF(AG73="Sí",1,IF(AG73="Parcial",0.5,0))+IF(AH73="Sí",1,IF(AH73="Parcial",0.5,0))</f>
        <v>0</v>
      </c>
      <c r="AT73" s="89">
        <f>IF(AI73="Sí",1,IF(AI73="Parcial",0.5,0))+IF(AJ73="Sí",1,IF(AJ73="Parcial",0.5,0))+IF(AK73="Sí",1,IF(AK73="Parcial",0.5,0))</f>
        <v>2</v>
      </c>
      <c r="AU73" s="90">
        <f>SUM(AL73,AM73,AN73,AO73,AP73,AQ73,AR73,AS73,AT73)</f>
        <v>2</v>
      </c>
      <c r="AV73" s="225">
        <f>IFERROR(IF(OR(A73="",AU73=0),"",AU73/(IF(AL73&gt;0,1,0)+IF(AM73&gt;0,1,0)+IF(AN73&gt;0,1,0)+IF(AO73&gt;0,1,0)+IF(AP73&gt;0,1,0)+IF(AQ73&gt;0,1,0)+IF(AR73&gt;0,1,0)+IF(AS73&gt;0,1,0)+IF(AT73&gt;0,1,0))),"")</f>
        <v>2</v>
      </c>
      <c r="AW73" s="225">
        <f>IFERROR(IF(OR(A73="",AU73=""),"",IF(AND(MAX($AU$8:$AU$156)=0,MAX($AV$8:$AV$156)=0),"",0.5*(AU73/MAX($AU$8:$AU$156))+0.5*(AV73/MAX($AV$8:$AV$156)))),"")</f>
        <v>0.3611111111111111</v>
      </c>
      <c r="AX73" s="79" t="str">
        <f>IF(A73="","",IF((IF(AL73&gt;=1,1,0)+IF(AM73&gt;=1,1,0)+IF(AN73&gt;=1,1,0)+IF(AO73&gt;=1,1,0)+IF(AP73&gt;=1,1,0)+IF(AQ73&gt;=1,1,0)+IF(AR73&gt;=1,1,0)+IF(AS73&gt;=1,1,0)+IF(AT73&gt;=1,1,0))&gt;=5,"Diversificado (5+ verticales)",IF((IF(AL73&gt;=1,1,0)+IF(AM73&gt;=1,1,0)+IF(AN73&gt;=1,1,0)+IF(AO73&gt;=1,1,0)+IF(AP73&gt;=1,1,0)+IF(AQ73&gt;=1,1,0)+IF(AR73&gt;=1,1,0)+IF(AS73&gt;=1,1,0)+IF(AT73&gt;=1,1,0))&gt;=3,"Multi-capacidad (3-4 verticales)",IF((IF(AL73&gt;=1,1,0)+IF(AM73&gt;=1,1,0)+IF(AN73&gt;=1,1,0)+IF(AO73&gt;=1,1,0)+IF(AP73&gt;=1,1,0)+IF(AQ73&gt;=1,1,0)+IF(AR73&gt;=1,1,0)+IF(AS73&gt;=1,1,0)+IF(AT73&gt;=1,1,0))&gt;=1,"Especialista (1-2 verticales)","Sin función mapeada"))))</f>
        <v>Especialista (1-2 verticales)</v>
      </c>
    </row>
    <row r="74" spans="1:50" ht="24" customHeight="1" x14ac:dyDescent="0.2">
      <c r="A74" s="48" t="s">
        <v>680</v>
      </c>
      <c r="B74" s="48" t="s">
        <v>681</v>
      </c>
      <c r="C74" s="78" t="str">
        <f>IF(A74="","",IFERROR(INDEX('UNIVERSO MAESTRO'!$C$6:$C$497,MATCH(A74,'UNIVERSO MAESTRO'!$A$6:$A$497,0)),"⚠ ID no encontrado"))</f>
        <v>Genius Sports</v>
      </c>
      <c r="D74" s="79" t="str">
        <f>IF(A74="","",IFERROR(INDEX('UNIVERSO MAESTRO'!$D$6:$D$497,MATCH(A74,'UNIVERSO MAESTRO'!$A$6:$A$497,0)),""))</f>
        <v>V8</v>
      </c>
      <c r="E74" s="80" t="s">
        <v>353</v>
      </c>
      <c r="F74" s="80" t="s">
        <v>353</v>
      </c>
      <c r="G74" s="80" t="s">
        <v>353</v>
      </c>
      <c r="H74" s="80" t="s">
        <v>353</v>
      </c>
      <c r="I74" s="80" t="s">
        <v>353</v>
      </c>
      <c r="J74" s="80" t="s">
        <v>353</v>
      </c>
      <c r="K74" s="80" t="s">
        <v>353</v>
      </c>
      <c r="L74" s="80" t="s">
        <v>353</v>
      </c>
      <c r="M74" s="80" t="s">
        <v>353</v>
      </c>
      <c r="N74" s="80" t="s">
        <v>353</v>
      </c>
      <c r="O74" s="80" t="s">
        <v>353</v>
      </c>
      <c r="P74" s="80" t="s">
        <v>353</v>
      </c>
      <c r="Q74" s="80" t="s">
        <v>353</v>
      </c>
      <c r="R74" s="80" t="s">
        <v>353</v>
      </c>
      <c r="S74" s="80" t="s">
        <v>353</v>
      </c>
      <c r="T74" s="80" t="s">
        <v>353</v>
      </c>
      <c r="U74" s="80" t="s">
        <v>353</v>
      </c>
      <c r="V74" s="80" t="s">
        <v>353</v>
      </c>
      <c r="W74" s="80" t="s">
        <v>353</v>
      </c>
      <c r="X74" s="80" t="s">
        <v>353</v>
      </c>
      <c r="Y74" s="80" t="s">
        <v>353</v>
      </c>
      <c r="Z74" s="80" t="s">
        <v>353</v>
      </c>
      <c r="AA74" s="80" t="s">
        <v>353</v>
      </c>
      <c r="AB74" s="80" t="s">
        <v>353</v>
      </c>
      <c r="AC74" s="80" t="s">
        <v>353</v>
      </c>
      <c r="AD74" s="80" t="s">
        <v>353</v>
      </c>
      <c r="AE74" s="80" t="s">
        <v>353</v>
      </c>
      <c r="AF74" s="80" t="s">
        <v>353</v>
      </c>
      <c r="AG74" s="80" t="s">
        <v>1530</v>
      </c>
      <c r="AH74" s="80" t="s">
        <v>1530</v>
      </c>
      <c r="AI74" s="80" t="s">
        <v>353</v>
      </c>
      <c r="AJ74" s="80" t="s">
        <v>353</v>
      </c>
      <c r="AK74" s="80" t="s">
        <v>353</v>
      </c>
      <c r="AL74" s="81">
        <f>IF(E74="Sí",1,IF(E74="Parcial",0.5,0))+IF(F74="Sí",1,IF(F74="Parcial",0.5,0))+IF(G74="Sí",1,IF(G74="Parcial",0.5,0))+IF(H74="Sí",1,IF(H74="Parcial",0.5,0))</f>
        <v>0</v>
      </c>
      <c r="AM74" s="82">
        <f>IF(I74="Sí",1,IF(I74="Parcial",0.5,0))+IF(J74="Sí",1,IF(J74="Parcial",0.5,0))+IF(K74="Sí",1,IF(K74="Parcial",0.5,0))</f>
        <v>0</v>
      </c>
      <c r="AN74" s="83">
        <f>IF(L74="Sí",1,IF(L74="Parcial",0.5,0))+IF(M74="Sí",1,IF(M74="Parcial",0.5,0))+IF(N74="Sí",1,IF(N74="Parcial",0.5,0))+IF(O74="Sí",1,IF(O74="Parcial",0.5,0))</f>
        <v>0</v>
      </c>
      <c r="AO74" s="84">
        <f>IF(P74="Sí",1,IF(P74="Parcial",0.5,0))+IF(Q74="Sí",1,IF(Q74="Parcial",0.5,0))+IF(R74="Sí",1,IF(R74="Parcial",0.5,0))+IF(S74="Sí",1,IF(S74="Parcial",0.5,0))+IF(T74="Sí",1,IF(T74="Parcial",0.5,0))+IF(U74="Sí",1,IF(U74="Parcial",0.5,0))</f>
        <v>0</v>
      </c>
      <c r="AP74" s="85">
        <f>IF(V74="Sí",1,IF(V74="Parcial",0.5,0))+IF(W74="Sí",1,IF(W74="Parcial",0.5,0))+IF(X74="Sí",1,IF(X74="Parcial",0.5,0))+IF(Y74="Sí",1,IF(Y74="Parcial",0.5,0))</f>
        <v>0</v>
      </c>
      <c r="AQ74" s="86">
        <f>IF(Z74="Sí",1,IF(Z74="Parcial",0.5,0))+IF(AA74="Sí",1,IF(AA74="Parcial",0.5,0))+IF(AB74="Sí",1,IF(AB74="Parcial",0.5,0))</f>
        <v>0</v>
      </c>
      <c r="AR74" s="87">
        <f>IF(AC74="Sí",1,IF(AC74="Parcial",0.5,0))+IF(AD74="Sí",1,IF(AD74="Parcial",0.5,0))+IF(AE74="Sí",1,IF(AE74="Parcial",0.5,0))</f>
        <v>0</v>
      </c>
      <c r="AS74" s="88">
        <f>IF(AF74="Sí",1,IF(AF74="Parcial",0.5,0))+IF(AG74="Sí",1,IF(AG74="Parcial",0.5,0))+IF(AH74="Sí",1,IF(AH74="Parcial",0.5,0))</f>
        <v>2</v>
      </c>
      <c r="AT74" s="89">
        <f>IF(AI74="Sí",1,IF(AI74="Parcial",0.5,0))+IF(AJ74="Sí",1,IF(AJ74="Parcial",0.5,0))+IF(AK74="Sí",1,IF(AK74="Parcial",0.5,0))</f>
        <v>0</v>
      </c>
      <c r="AU74" s="90">
        <f>SUM(AL74,AM74,AN74,AO74,AP74,AQ74,AR74,AS74,AT74)</f>
        <v>2</v>
      </c>
      <c r="AV74" s="225">
        <f>IFERROR(IF(OR(A74="",AU74=0),"",AU74/(IF(AL74&gt;0,1,0)+IF(AM74&gt;0,1,0)+IF(AN74&gt;0,1,0)+IF(AO74&gt;0,1,0)+IF(AP74&gt;0,1,0)+IF(AQ74&gt;0,1,0)+IF(AR74&gt;0,1,0)+IF(AS74&gt;0,1,0)+IF(AT74&gt;0,1,0))),"")</f>
        <v>2</v>
      </c>
      <c r="AW74" s="225">
        <f>IFERROR(IF(OR(A74="",AU74=""),"",IF(AND(MAX($AU$8:$AU$156)=0,MAX($AV$8:$AV$156)=0),"",0.5*(AU74/MAX($AU$8:$AU$156))+0.5*(AV74/MAX($AV$8:$AV$156)))),"")</f>
        <v>0.3611111111111111</v>
      </c>
      <c r="AX74" s="79" t="str">
        <f>IF(A74="","",IF((IF(AL74&gt;=1,1,0)+IF(AM74&gt;=1,1,0)+IF(AN74&gt;=1,1,0)+IF(AO74&gt;=1,1,0)+IF(AP74&gt;=1,1,0)+IF(AQ74&gt;=1,1,0)+IF(AR74&gt;=1,1,0)+IF(AS74&gt;=1,1,0)+IF(AT74&gt;=1,1,0))&gt;=5,"Diversificado (5+ verticales)",IF((IF(AL74&gt;=1,1,0)+IF(AM74&gt;=1,1,0)+IF(AN74&gt;=1,1,0)+IF(AO74&gt;=1,1,0)+IF(AP74&gt;=1,1,0)+IF(AQ74&gt;=1,1,0)+IF(AR74&gt;=1,1,0)+IF(AS74&gt;=1,1,0)+IF(AT74&gt;=1,1,0))&gt;=3,"Multi-capacidad (3-4 verticales)",IF((IF(AL74&gt;=1,1,0)+IF(AM74&gt;=1,1,0)+IF(AN74&gt;=1,1,0)+IF(AO74&gt;=1,1,0)+IF(AP74&gt;=1,1,0)+IF(AQ74&gt;=1,1,0)+IF(AR74&gt;=1,1,0)+IF(AS74&gt;=1,1,0)+IF(AT74&gt;=1,1,0))&gt;=1,"Especialista (1-2 verticales)","Sin función mapeada"))))</f>
        <v>Especialista (1-2 verticales)</v>
      </c>
    </row>
    <row r="75" spans="1:50" ht="24" customHeight="1" x14ac:dyDescent="0.2">
      <c r="A75" s="48" t="s">
        <v>855</v>
      </c>
      <c r="B75" s="48" t="s">
        <v>856</v>
      </c>
      <c r="C75" s="78" t="str">
        <f>IF(A75="","",IFERROR(INDEX('UNIVERSO MAESTRO'!$C$6:$C$497,MATCH(A75,'UNIVERSO MAESTRO'!$A$6:$A$497,0)),"⚠ ID no encontrado"))</f>
        <v>Heineken México</v>
      </c>
      <c r="D75" s="79" t="str">
        <f>IF(A75="","",IFERROR(INDEX('UNIVERSO MAESTRO'!$D$6:$D$497,MATCH(A75,'UNIVERSO MAESTRO'!$A$6:$A$497,0)),""))</f>
        <v>V3</v>
      </c>
      <c r="E75" s="80" t="s">
        <v>353</v>
      </c>
      <c r="F75" s="80" t="s">
        <v>353</v>
      </c>
      <c r="G75" s="80" t="s">
        <v>353</v>
      </c>
      <c r="H75" s="80" t="s">
        <v>353</v>
      </c>
      <c r="I75" s="80" t="s">
        <v>353</v>
      </c>
      <c r="J75" s="80" t="s">
        <v>353</v>
      </c>
      <c r="K75" s="80" t="s">
        <v>353</v>
      </c>
      <c r="L75" s="80" t="s">
        <v>353</v>
      </c>
      <c r="M75" s="80" t="s">
        <v>1530</v>
      </c>
      <c r="N75" s="80" t="s">
        <v>1530</v>
      </c>
      <c r="O75" s="80" t="s">
        <v>353</v>
      </c>
      <c r="P75" s="80" t="s">
        <v>353</v>
      </c>
      <c r="Q75" s="80" t="s">
        <v>353</v>
      </c>
      <c r="R75" s="80" t="s">
        <v>353</v>
      </c>
      <c r="S75" s="80" t="s">
        <v>353</v>
      </c>
      <c r="T75" s="80" t="s">
        <v>353</v>
      </c>
      <c r="U75" s="80" t="s">
        <v>353</v>
      </c>
      <c r="V75" s="80" t="s">
        <v>353</v>
      </c>
      <c r="W75" s="80" t="s">
        <v>353</v>
      </c>
      <c r="X75" s="80" t="s">
        <v>353</v>
      </c>
      <c r="Y75" s="80" t="s">
        <v>353</v>
      </c>
      <c r="Z75" s="80" t="s">
        <v>353</v>
      </c>
      <c r="AA75" s="80" t="s">
        <v>353</v>
      </c>
      <c r="AB75" s="80" t="s">
        <v>353</v>
      </c>
      <c r="AC75" s="80" t="s">
        <v>353</v>
      </c>
      <c r="AD75" s="80" t="s">
        <v>353</v>
      </c>
      <c r="AE75" s="80" t="s">
        <v>353</v>
      </c>
      <c r="AF75" s="80" t="s">
        <v>353</v>
      </c>
      <c r="AG75" s="80" t="s">
        <v>353</v>
      </c>
      <c r="AH75" s="80" t="s">
        <v>353</v>
      </c>
      <c r="AI75" s="80" t="s">
        <v>353</v>
      </c>
      <c r="AJ75" s="80" t="s">
        <v>353</v>
      </c>
      <c r="AK75" s="80" t="s">
        <v>353</v>
      </c>
      <c r="AL75" s="81">
        <f>IF(E75="Sí",1,IF(E75="Parcial",0.5,0))+IF(F75="Sí",1,IF(F75="Parcial",0.5,0))+IF(G75="Sí",1,IF(G75="Parcial",0.5,0))+IF(H75="Sí",1,IF(H75="Parcial",0.5,0))</f>
        <v>0</v>
      </c>
      <c r="AM75" s="82">
        <f>IF(I75="Sí",1,IF(I75="Parcial",0.5,0))+IF(J75="Sí",1,IF(J75="Parcial",0.5,0))+IF(K75="Sí",1,IF(K75="Parcial",0.5,0))</f>
        <v>0</v>
      </c>
      <c r="AN75" s="83">
        <f>IF(L75="Sí",1,IF(L75="Parcial",0.5,0))+IF(M75="Sí",1,IF(M75="Parcial",0.5,0))+IF(N75="Sí",1,IF(N75="Parcial",0.5,0))+IF(O75="Sí",1,IF(O75="Parcial",0.5,0))</f>
        <v>2</v>
      </c>
      <c r="AO75" s="84">
        <f>IF(P75="Sí",1,IF(P75="Parcial",0.5,0))+IF(Q75="Sí",1,IF(Q75="Parcial",0.5,0))+IF(R75="Sí",1,IF(R75="Parcial",0.5,0))+IF(S75="Sí",1,IF(S75="Parcial",0.5,0))+IF(T75="Sí",1,IF(T75="Parcial",0.5,0))+IF(U75="Sí",1,IF(U75="Parcial",0.5,0))</f>
        <v>0</v>
      </c>
      <c r="AP75" s="85">
        <f>IF(V75="Sí",1,IF(V75="Parcial",0.5,0))+IF(W75="Sí",1,IF(W75="Parcial",0.5,0))+IF(X75="Sí",1,IF(X75="Parcial",0.5,0))+IF(Y75="Sí",1,IF(Y75="Parcial",0.5,0))</f>
        <v>0</v>
      </c>
      <c r="AQ75" s="86">
        <f>IF(Z75="Sí",1,IF(Z75="Parcial",0.5,0))+IF(AA75="Sí",1,IF(AA75="Parcial",0.5,0))+IF(AB75="Sí",1,IF(AB75="Parcial",0.5,0))</f>
        <v>0</v>
      </c>
      <c r="AR75" s="87">
        <f>IF(AC75="Sí",1,IF(AC75="Parcial",0.5,0))+IF(AD75="Sí",1,IF(AD75="Parcial",0.5,0))+IF(AE75="Sí",1,IF(AE75="Parcial",0.5,0))</f>
        <v>0</v>
      </c>
      <c r="AS75" s="88">
        <f>IF(AF75="Sí",1,IF(AF75="Parcial",0.5,0))+IF(AG75="Sí",1,IF(AG75="Parcial",0.5,0))+IF(AH75="Sí",1,IF(AH75="Parcial",0.5,0))</f>
        <v>0</v>
      </c>
      <c r="AT75" s="89">
        <f>IF(AI75="Sí",1,IF(AI75="Parcial",0.5,0))+IF(AJ75="Sí",1,IF(AJ75="Parcial",0.5,0))+IF(AK75="Sí",1,IF(AK75="Parcial",0.5,0))</f>
        <v>0</v>
      </c>
      <c r="AU75" s="90">
        <f>SUM(AL75,AM75,AN75,AO75,AP75,AQ75,AR75,AS75,AT75)</f>
        <v>2</v>
      </c>
      <c r="AV75" s="225">
        <f>IFERROR(IF(OR(A75="",AU75=0),"",AU75/(IF(AL75&gt;0,1,0)+IF(AM75&gt;0,1,0)+IF(AN75&gt;0,1,0)+IF(AO75&gt;0,1,0)+IF(AP75&gt;0,1,0)+IF(AQ75&gt;0,1,0)+IF(AR75&gt;0,1,0)+IF(AS75&gt;0,1,0)+IF(AT75&gt;0,1,0))),"")</f>
        <v>2</v>
      </c>
      <c r="AW75" s="225">
        <f>IFERROR(IF(OR(A75="",AU75=""),"",IF(AND(MAX($AU$8:$AU$156)=0,MAX($AV$8:$AV$156)=0),"",0.5*(AU75/MAX($AU$8:$AU$156))+0.5*(AV75/MAX($AV$8:$AV$156)))),"")</f>
        <v>0.3611111111111111</v>
      </c>
      <c r="AX75" s="79" t="str">
        <f>IF(A75="","",IF((IF(AL75&gt;=1,1,0)+IF(AM75&gt;=1,1,0)+IF(AN75&gt;=1,1,0)+IF(AO75&gt;=1,1,0)+IF(AP75&gt;=1,1,0)+IF(AQ75&gt;=1,1,0)+IF(AR75&gt;=1,1,0)+IF(AS75&gt;=1,1,0)+IF(AT75&gt;=1,1,0))&gt;=5,"Diversificado (5+ verticales)",IF((IF(AL75&gt;=1,1,0)+IF(AM75&gt;=1,1,0)+IF(AN75&gt;=1,1,0)+IF(AO75&gt;=1,1,0)+IF(AP75&gt;=1,1,0)+IF(AQ75&gt;=1,1,0)+IF(AR75&gt;=1,1,0)+IF(AS75&gt;=1,1,0)+IF(AT75&gt;=1,1,0))&gt;=3,"Multi-capacidad (3-4 verticales)",IF((IF(AL75&gt;=1,1,0)+IF(AM75&gt;=1,1,0)+IF(AN75&gt;=1,1,0)+IF(AO75&gt;=1,1,0)+IF(AP75&gt;=1,1,0)+IF(AQ75&gt;=1,1,0)+IF(AR75&gt;=1,1,0)+IF(AS75&gt;=1,1,0)+IF(AT75&gt;=1,1,0))&gt;=1,"Especialista (1-2 verticales)","Sin función mapeada"))))</f>
        <v>Especialista (1-2 verticales)</v>
      </c>
    </row>
    <row r="76" spans="1:50" ht="24" customHeight="1" x14ac:dyDescent="0.2">
      <c r="A76" s="48" t="s">
        <v>912</v>
      </c>
      <c r="B76" s="48" t="s">
        <v>913</v>
      </c>
      <c r="C76" s="78" t="str">
        <f>IF(A76="","",IFERROR(INDEX('UNIVERSO MAESTRO'!$C$6:$C$497,MATCH(A76,'UNIVERSO MAESTRO'!$A$6:$A$497,0)),"⚠ ID no encontrado"))</f>
        <v>Jump SMS (Jump Sportainment Solutions)</v>
      </c>
      <c r="D76" s="79" t="str">
        <f>IF(A76="","",IFERROR(INDEX('UNIVERSO MAESTRO'!$D$6:$D$497,MATCH(A76,'UNIVERSO MAESTRO'!$A$6:$A$497,0)),""))</f>
        <v>V4</v>
      </c>
      <c r="E76" s="80" t="s">
        <v>353</v>
      </c>
      <c r="F76" s="80" t="s">
        <v>353</v>
      </c>
      <c r="G76" s="80" t="s">
        <v>353</v>
      </c>
      <c r="H76" s="80" t="s">
        <v>353</v>
      </c>
      <c r="I76" s="80" t="s">
        <v>353</v>
      </c>
      <c r="J76" s="80" t="s">
        <v>353</v>
      </c>
      <c r="K76" s="80" t="s">
        <v>353</v>
      </c>
      <c r="L76" s="80" t="s">
        <v>353</v>
      </c>
      <c r="M76" s="80" t="s">
        <v>353</v>
      </c>
      <c r="N76" s="80" t="s">
        <v>353</v>
      </c>
      <c r="O76" s="80" t="s">
        <v>353</v>
      </c>
      <c r="P76" s="80" t="s">
        <v>1530</v>
      </c>
      <c r="Q76" s="80" t="s">
        <v>353</v>
      </c>
      <c r="R76" s="80" t="s">
        <v>353</v>
      </c>
      <c r="S76" s="80" t="s">
        <v>353</v>
      </c>
      <c r="T76" s="80" t="s">
        <v>353</v>
      </c>
      <c r="U76" s="80" t="s">
        <v>1530</v>
      </c>
      <c r="V76" s="80" t="s">
        <v>353</v>
      </c>
      <c r="W76" s="80" t="s">
        <v>353</v>
      </c>
      <c r="X76" s="80" t="s">
        <v>353</v>
      </c>
      <c r="Y76" s="80" t="s">
        <v>353</v>
      </c>
      <c r="Z76" s="80" t="s">
        <v>353</v>
      </c>
      <c r="AA76" s="80" t="s">
        <v>353</v>
      </c>
      <c r="AB76" s="80" t="s">
        <v>353</v>
      </c>
      <c r="AC76" s="80" t="s">
        <v>353</v>
      </c>
      <c r="AD76" s="80" t="s">
        <v>353</v>
      </c>
      <c r="AE76" s="80" t="s">
        <v>353</v>
      </c>
      <c r="AF76" s="80" t="s">
        <v>353</v>
      </c>
      <c r="AG76" s="80" t="s">
        <v>353</v>
      </c>
      <c r="AH76" s="80" t="s">
        <v>353</v>
      </c>
      <c r="AI76" s="80" t="s">
        <v>353</v>
      </c>
      <c r="AJ76" s="80" t="s">
        <v>353</v>
      </c>
      <c r="AK76" s="80" t="s">
        <v>353</v>
      </c>
      <c r="AL76" s="81">
        <f>IF(E76="Sí",1,IF(E76="Parcial",0.5,0))+IF(F76="Sí",1,IF(F76="Parcial",0.5,0))+IF(G76="Sí",1,IF(G76="Parcial",0.5,0))+IF(H76="Sí",1,IF(H76="Parcial",0.5,0))</f>
        <v>0</v>
      </c>
      <c r="AM76" s="82">
        <f>IF(I76="Sí",1,IF(I76="Parcial",0.5,0))+IF(J76="Sí",1,IF(J76="Parcial",0.5,0))+IF(K76="Sí",1,IF(K76="Parcial",0.5,0))</f>
        <v>0</v>
      </c>
      <c r="AN76" s="83">
        <f>IF(L76="Sí",1,IF(L76="Parcial",0.5,0))+IF(M76="Sí",1,IF(M76="Parcial",0.5,0))+IF(N76="Sí",1,IF(N76="Parcial",0.5,0))+IF(O76="Sí",1,IF(O76="Parcial",0.5,0))</f>
        <v>0</v>
      </c>
      <c r="AO76" s="84">
        <f>IF(P76="Sí",1,IF(P76="Parcial",0.5,0))+IF(Q76="Sí",1,IF(Q76="Parcial",0.5,0))+IF(R76="Sí",1,IF(R76="Parcial",0.5,0))+IF(S76="Sí",1,IF(S76="Parcial",0.5,0))+IF(T76="Sí",1,IF(T76="Parcial",0.5,0))+IF(U76="Sí",1,IF(U76="Parcial",0.5,0))</f>
        <v>2</v>
      </c>
      <c r="AP76" s="85">
        <f>IF(V76="Sí",1,IF(V76="Parcial",0.5,0))+IF(W76="Sí",1,IF(W76="Parcial",0.5,0))+IF(X76="Sí",1,IF(X76="Parcial",0.5,0))+IF(Y76="Sí",1,IF(Y76="Parcial",0.5,0))</f>
        <v>0</v>
      </c>
      <c r="AQ76" s="86">
        <f>IF(Z76="Sí",1,IF(Z76="Parcial",0.5,0))+IF(AA76="Sí",1,IF(AA76="Parcial",0.5,0))+IF(AB76="Sí",1,IF(AB76="Parcial",0.5,0))</f>
        <v>0</v>
      </c>
      <c r="AR76" s="87">
        <f>IF(AC76="Sí",1,IF(AC76="Parcial",0.5,0))+IF(AD76="Sí",1,IF(AD76="Parcial",0.5,0))+IF(AE76="Sí",1,IF(AE76="Parcial",0.5,0))</f>
        <v>0</v>
      </c>
      <c r="AS76" s="88">
        <f>IF(AF76="Sí",1,IF(AF76="Parcial",0.5,0))+IF(AG76="Sí",1,IF(AG76="Parcial",0.5,0))+IF(AH76="Sí",1,IF(AH76="Parcial",0.5,0))</f>
        <v>0</v>
      </c>
      <c r="AT76" s="89">
        <f>IF(AI76="Sí",1,IF(AI76="Parcial",0.5,0))+IF(AJ76="Sí",1,IF(AJ76="Parcial",0.5,0))+IF(AK76="Sí",1,IF(AK76="Parcial",0.5,0))</f>
        <v>0</v>
      </c>
      <c r="AU76" s="90">
        <f>SUM(AL76,AM76,AN76,AO76,AP76,AQ76,AR76,AS76,AT76)</f>
        <v>2</v>
      </c>
      <c r="AV76" s="225">
        <f>IFERROR(IF(OR(A76="",AU76=0),"",AU76/(IF(AL76&gt;0,1,0)+IF(AM76&gt;0,1,0)+IF(AN76&gt;0,1,0)+IF(AO76&gt;0,1,0)+IF(AP76&gt;0,1,0)+IF(AQ76&gt;0,1,0)+IF(AR76&gt;0,1,0)+IF(AS76&gt;0,1,0)+IF(AT76&gt;0,1,0))),"")</f>
        <v>2</v>
      </c>
      <c r="AW76" s="225">
        <f>IFERROR(IF(OR(A76="",AU76=""),"",IF(AND(MAX($AU$8:$AU$156)=0,MAX($AV$8:$AV$156)=0),"",0.5*(AU76/MAX($AU$8:$AU$156))+0.5*(AV76/MAX($AV$8:$AV$156)))),"")</f>
        <v>0.3611111111111111</v>
      </c>
      <c r="AX76" s="79" t="str">
        <f>IF(A76="","",IF((IF(AL76&gt;=1,1,0)+IF(AM76&gt;=1,1,0)+IF(AN76&gt;=1,1,0)+IF(AO76&gt;=1,1,0)+IF(AP76&gt;=1,1,0)+IF(AQ76&gt;=1,1,0)+IF(AR76&gt;=1,1,0)+IF(AS76&gt;=1,1,0)+IF(AT76&gt;=1,1,0))&gt;=5,"Diversificado (5+ verticales)",IF((IF(AL76&gt;=1,1,0)+IF(AM76&gt;=1,1,0)+IF(AN76&gt;=1,1,0)+IF(AO76&gt;=1,1,0)+IF(AP76&gt;=1,1,0)+IF(AQ76&gt;=1,1,0)+IF(AR76&gt;=1,1,0)+IF(AS76&gt;=1,1,0)+IF(AT76&gt;=1,1,0))&gt;=3,"Multi-capacidad (3-4 verticales)",IF((IF(AL76&gt;=1,1,0)+IF(AM76&gt;=1,1,0)+IF(AN76&gt;=1,1,0)+IF(AO76&gt;=1,1,0)+IF(AP76&gt;=1,1,0)+IF(AQ76&gt;=1,1,0)+IF(AR76&gt;=1,1,0)+IF(AS76&gt;=1,1,0)+IF(AT76&gt;=1,1,0))&gt;=1,"Especialista (1-2 verticales)","Sin función mapeada"))))</f>
        <v>Especialista (1-2 verticales)</v>
      </c>
    </row>
    <row r="77" spans="1:50" ht="24" customHeight="1" x14ac:dyDescent="0.2">
      <c r="A77" s="48" t="s">
        <v>1024</v>
      </c>
      <c r="B77" s="48" t="s">
        <v>1025</v>
      </c>
      <c r="C77" s="78" t="str">
        <f>IF(A77="","",IFERROR(INDEX('UNIVERSO MAESTRO'!$C$6:$C$497,MATCH(A77,'UNIVERSO MAESTRO'!$A$6:$A$497,0)),"⚠ ID no encontrado"))</f>
        <v>Max / HBO Max Warner Bros. Discovery</v>
      </c>
      <c r="D77" s="79" t="str">
        <f>IF(A77="","",IFERROR(INDEX('UNIVERSO MAESTRO'!$D$6:$D$497,MATCH(A77,'UNIVERSO MAESTRO'!$A$6:$A$497,0)),""))</f>
        <v>V2</v>
      </c>
      <c r="E77" s="80" t="s">
        <v>353</v>
      </c>
      <c r="F77" s="80" t="s">
        <v>353</v>
      </c>
      <c r="G77" s="80" t="s">
        <v>353</v>
      </c>
      <c r="H77" s="80" t="s">
        <v>353</v>
      </c>
      <c r="I77" s="80" t="s">
        <v>1530</v>
      </c>
      <c r="J77" s="80" t="s">
        <v>1530</v>
      </c>
      <c r="K77" s="80" t="s">
        <v>353</v>
      </c>
      <c r="L77" s="80" t="s">
        <v>353</v>
      </c>
      <c r="M77" s="80" t="s">
        <v>353</v>
      </c>
      <c r="N77" s="80" t="s">
        <v>353</v>
      </c>
      <c r="O77" s="80" t="s">
        <v>353</v>
      </c>
      <c r="P77" s="80" t="s">
        <v>353</v>
      </c>
      <c r="Q77" s="80" t="s">
        <v>353</v>
      </c>
      <c r="R77" s="80" t="s">
        <v>353</v>
      </c>
      <c r="S77" s="80" t="s">
        <v>353</v>
      </c>
      <c r="T77" s="80" t="s">
        <v>353</v>
      </c>
      <c r="U77" s="80" t="s">
        <v>353</v>
      </c>
      <c r="V77" s="80" t="s">
        <v>353</v>
      </c>
      <c r="W77" s="80" t="s">
        <v>353</v>
      </c>
      <c r="X77" s="80" t="s">
        <v>353</v>
      </c>
      <c r="Y77" s="80" t="s">
        <v>353</v>
      </c>
      <c r="Z77" s="80" t="s">
        <v>353</v>
      </c>
      <c r="AA77" s="80" t="s">
        <v>353</v>
      </c>
      <c r="AB77" s="80" t="s">
        <v>353</v>
      </c>
      <c r="AC77" s="80" t="s">
        <v>353</v>
      </c>
      <c r="AD77" s="80" t="s">
        <v>353</v>
      </c>
      <c r="AE77" s="80" t="s">
        <v>353</v>
      </c>
      <c r="AF77" s="80" t="s">
        <v>353</v>
      </c>
      <c r="AG77" s="80" t="s">
        <v>353</v>
      </c>
      <c r="AH77" s="80" t="s">
        <v>353</v>
      </c>
      <c r="AI77" s="80" t="s">
        <v>353</v>
      </c>
      <c r="AJ77" s="80" t="s">
        <v>353</v>
      </c>
      <c r="AK77" s="80" t="s">
        <v>353</v>
      </c>
      <c r="AL77" s="81">
        <f>IF(E77="Sí",1,IF(E77="Parcial",0.5,0))+IF(F77="Sí",1,IF(F77="Parcial",0.5,0))+IF(G77="Sí",1,IF(G77="Parcial",0.5,0))+IF(H77="Sí",1,IF(H77="Parcial",0.5,0))</f>
        <v>0</v>
      </c>
      <c r="AM77" s="82">
        <f>IF(I77="Sí",1,IF(I77="Parcial",0.5,0))+IF(J77="Sí",1,IF(J77="Parcial",0.5,0))+IF(K77="Sí",1,IF(K77="Parcial",0.5,0))</f>
        <v>2</v>
      </c>
      <c r="AN77" s="83">
        <f>IF(L77="Sí",1,IF(L77="Parcial",0.5,0))+IF(M77="Sí",1,IF(M77="Parcial",0.5,0))+IF(N77="Sí",1,IF(N77="Parcial",0.5,0))+IF(O77="Sí",1,IF(O77="Parcial",0.5,0))</f>
        <v>0</v>
      </c>
      <c r="AO77" s="84">
        <f>IF(P77="Sí",1,IF(P77="Parcial",0.5,0))+IF(Q77="Sí",1,IF(Q77="Parcial",0.5,0))+IF(R77="Sí",1,IF(R77="Parcial",0.5,0))+IF(S77="Sí",1,IF(S77="Parcial",0.5,0))+IF(T77="Sí",1,IF(T77="Parcial",0.5,0))+IF(U77="Sí",1,IF(U77="Parcial",0.5,0))</f>
        <v>0</v>
      </c>
      <c r="AP77" s="85">
        <f>IF(V77="Sí",1,IF(V77="Parcial",0.5,0))+IF(W77="Sí",1,IF(W77="Parcial",0.5,0))+IF(X77="Sí",1,IF(X77="Parcial",0.5,0))+IF(Y77="Sí",1,IF(Y77="Parcial",0.5,0))</f>
        <v>0</v>
      </c>
      <c r="AQ77" s="86">
        <f>IF(Z77="Sí",1,IF(Z77="Parcial",0.5,0))+IF(AA77="Sí",1,IF(AA77="Parcial",0.5,0))+IF(AB77="Sí",1,IF(AB77="Parcial",0.5,0))</f>
        <v>0</v>
      </c>
      <c r="AR77" s="87">
        <f>IF(AC77="Sí",1,IF(AC77="Parcial",0.5,0))+IF(AD77="Sí",1,IF(AD77="Parcial",0.5,0))+IF(AE77="Sí",1,IF(AE77="Parcial",0.5,0))</f>
        <v>0</v>
      </c>
      <c r="AS77" s="88">
        <f>IF(AF77="Sí",1,IF(AF77="Parcial",0.5,0))+IF(AG77="Sí",1,IF(AG77="Parcial",0.5,0))+IF(AH77="Sí",1,IF(AH77="Parcial",0.5,0))</f>
        <v>0</v>
      </c>
      <c r="AT77" s="89">
        <f>IF(AI77="Sí",1,IF(AI77="Parcial",0.5,0))+IF(AJ77="Sí",1,IF(AJ77="Parcial",0.5,0))+IF(AK77="Sí",1,IF(AK77="Parcial",0.5,0))</f>
        <v>0</v>
      </c>
      <c r="AU77" s="90">
        <f>SUM(AL77,AM77,AN77,AO77,AP77,AQ77,AR77,AS77,AT77)</f>
        <v>2</v>
      </c>
      <c r="AV77" s="225">
        <f>IFERROR(IF(OR(A77="",AU77=0),"",AU77/(IF(AL77&gt;0,1,0)+IF(AM77&gt;0,1,0)+IF(AN77&gt;0,1,0)+IF(AO77&gt;0,1,0)+IF(AP77&gt;0,1,0)+IF(AQ77&gt;0,1,0)+IF(AR77&gt;0,1,0)+IF(AS77&gt;0,1,0)+IF(AT77&gt;0,1,0))),"")</f>
        <v>2</v>
      </c>
      <c r="AW77" s="225">
        <f>IFERROR(IF(OR(A77="",AU77=""),"",IF(AND(MAX($AU$8:$AU$156)=0,MAX($AV$8:$AV$156)=0),"",0.5*(AU77/MAX($AU$8:$AU$156))+0.5*(AV77/MAX($AV$8:$AV$156)))),"")</f>
        <v>0.3611111111111111</v>
      </c>
      <c r="AX77" s="79" t="str">
        <f>IF(A77="","",IF((IF(AL77&gt;=1,1,0)+IF(AM77&gt;=1,1,0)+IF(AN77&gt;=1,1,0)+IF(AO77&gt;=1,1,0)+IF(AP77&gt;=1,1,0)+IF(AQ77&gt;=1,1,0)+IF(AR77&gt;=1,1,0)+IF(AS77&gt;=1,1,0)+IF(AT77&gt;=1,1,0))&gt;=5,"Diversificado (5+ verticales)",IF((IF(AL77&gt;=1,1,0)+IF(AM77&gt;=1,1,0)+IF(AN77&gt;=1,1,0)+IF(AO77&gt;=1,1,0)+IF(AP77&gt;=1,1,0)+IF(AQ77&gt;=1,1,0)+IF(AR77&gt;=1,1,0)+IF(AS77&gt;=1,1,0)+IF(AT77&gt;=1,1,0))&gt;=3,"Multi-capacidad (3-4 verticales)",IF((IF(AL77&gt;=1,1,0)+IF(AM77&gt;=1,1,0)+IF(AN77&gt;=1,1,0)+IF(AO77&gt;=1,1,0)+IF(AP77&gt;=1,1,0)+IF(AQ77&gt;=1,1,0)+IF(AR77&gt;=1,1,0)+IF(AS77&gt;=1,1,0)+IF(AT77&gt;=1,1,0))&gt;=1,"Especialista (1-2 verticales)","Sin función mapeada"))))</f>
        <v>Especialista (1-2 verticales)</v>
      </c>
    </row>
    <row r="78" spans="1:50" ht="24" customHeight="1" x14ac:dyDescent="0.2">
      <c r="A78" s="48" t="s">
        <v>1059</v>
      </c>
      <c r="B78" s="48" t="s">
        <v>1060</v>
      </c>
      <c r="C78" s="78" t="str">
        <f>IF(A78="","",IFERROR(INDEX('UNIVERSO MAESTRO'!$C$6:$C$497,MATCH(A78,'UNIVERSO MAESTRO'!$A$6:$A$497,0)),"⚠ ID no encontrado"))</f>
        <v>Mediotiempo</v>
      </c>
      <c r="D78" s="79" t="str">
        <f>IF(A78="","",IFERROR(INDEX('UNIVERSO MAESTRO'!$D$6:$D$497,MATCH(A78,'UNIVERSO MAESTRO'!$A$6:$A$497,0)),""))</f>
        <v>V2</v>
      </c>
      <c r="E78" s="80" t="s">
        <v>353</v>
      </c>
      <c r="F78" s="80" t="s">
        <v>353</v>
      </c>
      <c r="G78" s="80" t="s">
        <v>353</v>
      </c>
      <c r="H78" s="80" t="s">
        <v>353</v>
      </c>
      <c r="I78" s="80" t="s">
        <v>353</v>
      </c>
      <c r="J78" s="80" t="s">
        <v>1530</v>
      </c>
      <c r="K78" s="80" t="s">
        <v>1530</v>
      </c>
      <c r="L78" s="80" t="s">
        <v>353</v>
      </c>
      <c r="M78" s="80" t="s">
        <v>353</v>
      </c>
      <c r="N78" s="80" t="s">
        <v>353</v>
      </c>
      <c r="O78" s="80" t="s">
        <v>353</v>
      </c>
      <c r="P78" s="80" t="s">
        <v>353</v>
      </c>
      <c r="Q78" s="80" t="s">
        <v>353</v>
      </c>
      <c r="R78" s="80" t="s">
        <v>353</v>
      </c>
      <c r="S78" s="80" t="s">
        <v>353</v>
      </c>
      <c r="T78" s="80" t="s">
        <v>353</v>
      </c>
      <c r="U78" s="80" t="s">
        <v>353</v>
      </c>
      <c r="V78" s="80" t="s">
        <v>353</v>
      </c>
      <c r="W78" s="80" t="s">
        <v>353</v>
      </c>
      <c r="X78" s="80" t="s">
        <v>353</v>
      </c>
      <c r="Y78" s="80" t="s">
        <v>353</v>
      </c>
      <c r="Z78" s="80" t="s">
        <v>353</v>
      </c>
      <c r="AA78" s="80" t="s">
        <v>353</v>
      </c>
      <c r="AB78" s="80" t="s">
        <v>353</v>
      </c>
      <c r="AC78" s="80" t="s">
        <v>353</v>
      </c>
      <c r="AD78" s="80" t="s">
        <v>353</v>
      </c>
      <c r="AE78" s="80" t="s">
        <v>353</v>
      </c>
      <c r="AF78" s="80" t="s">
        <v>353</v>
      </c>
      <c r="AG78" s="80" t="s">
        <v>353</v>
      </c>
      <c r="AH78" s="80" t="s">
        <v>353</v>
      </c>
      <c r="AI78" s="80" t="s">
        <v>353</v>
      </c>
      <c r="AJ78" s="80" t="s">
        <v>353</v>
      </c>
      <c r="AK78" s="80" t="s">
        <v>353</v>
      </c>
      <c r="AL78" s="81">
        <f>IF(E78="Sí",1,IF(E78="Parcial",0.5,0))+IF(F78="Sí",1,IF(F78="Parcial",0.5,0))+IF(G78="Sí",1,IF(G78="Parcial",0.5,0))+IF(H78="Sí",1,IF(H78="Parcial",0.5,0))</f>
        <v>0</v>
      </c>
      <c r="AM78" s="82">
        <f>IF(I78="Sí",1,IF(I78="Parcial",0.5,0))+IF(J78="Sí",1,IF(J78="Parcial",0.5,0))+IF(K78="Sí",1,IF(K78="Parcial",0.5,0))</f>
        <v>2</v>
      </c>
      <c r="AN78" s="83">
        <f>IF(L78="Sí",1,IF(L78="Parcial",0.5,0))+IF(M78="Sí",1,IF(M78="Parcial",0.5,0))+IF(N78="Sí",1,IF(N78="Parcial",0.5,0))+IF(O78="Sí",1,IF(O78="Parcial",0.5,0))</f>
        <v>0</v>
      </c>
      <c r="AO78" s="84">
        <f>IF(P78="Sí",1,IF(P78="Parcial",0.5,0))+IF(Q78="Sí",1,IF(Q78="Parcial",0.5,0))+IF(R78="Sí",1,IF(R78="Parcial",0.5,0))+IF(S78="Sí",1,IF(S78="Parcial",0.5,0))+IF(T78="Sí",1,IF(T78="Parcial",0.5,0))+IF(U78="Sí",1,IF(U78="Parcial",0.5,0))</f>
        <v>0</v>
      </c>
      <c r="AP78" s="85">
        <f>IF(V78="Sí",1,IF(V78="Parcial",0.5,0))+IF(W78="Sí",1,IF(W78="Parcial",0.5,0))+IF(X78="Sí",1,IF(X78="Parcial",0.5,0))+IF(Y78="Sí",1,IF(Y78="Parcial",0.5,0))</f>
        <v>0</v>
      </c>
      <c r="AQ78" s="86">
        <f>IF(Z78="Sí",1,IF(Z78="Parcial",0.5,0))+IF(AA78="Sí",1,IF(AA78="Parcial",0.5,0))+IF(AB78="Sí",1,IF(AB78="Parcial",0.5,0))</f>
        <v>0</v>
      </c>
      <c r="AR78" s="87">
        <f>IF(AC78="Sí",1,IF(AC78="Parcial",0.5,0))+IF(AD78="Sí",1,IF(AD78="Parcial",0.5,0))+IF(AE78="Sí",1,IF(AE78="Parcial",0.5,0))</f>
        <v>0</v>
      </c>
      <c r="AS78" s="88">
        <f>IF(AF78="Sí",1,IF(AF78="Parcial",0.5,0))+IF(AG78="Sí",1,IF(AG78="Parcial",0.5,0))+IF(AH78="Sí",1,IF(AH78="Parcial",0.5,0))</f>
        <v>0</v>
      </c>
      <c r="AT78" s="89">
        <f>IF(AI78="Sí",1,IF(AI78="Parcial",0.5,0))+IF(AJ78="Sí",1,IF(AJ78="Parcial",0.5,0))+IF(AK78="Sí",1,IF(AK78="Parcial",0.5,0))</f>
        <v>0</v>
      </c>
      <c r="AU78" s="90">
        <f>SUM(AL78,AM78,AN78,AO78,AP78,AQ78,AR78,AS78,AT78)</f>
        <v>2</v>
      </c>
      <c r="AV78" s="225">
        <f>IFERROR(IF(OR(A78="",AU78=0),"",AU78/(IF(AL78&gt;0,1,0)+IF(AM78&gt;0,1,0)+IF(AN78&gt;0,1,0)+IF(AO78&gt;0,1,0)+IF(AP78&gt;0,1,0)+IF(AQ78&gt;0,1,0)+IF(AR78&gt;0,1,0)+IF(AS78&gt;0,1,0)+IF(AT78&gt;0,1,0))),"")</f>
        <v>2</v>
      </c>
      <c r="AW78" s="225">
        <f>IFERROR(IF(OR(A78="",AU78=""),"",IF(AND(MAX($AU$8:$AU$156)=0,MAX($AV$8:$AV$156)=0),"",0.5*(AU78/MAX($AU$8:$AU$156))+0.5*(AV78/MAX($AV$8:$AV$156)))),"")</f>
        <v>0.3611111111111111</v>
      </c>
      <c r="AX78" s="79" t="str">
        <f>IF(A78="","",IF((IF(AL78&gt;=1,1,0)+IF(AM78&gt;=1,1,0)+IF(AN78&gt;=1,1,0)+IF(AO78&gt;=1,1,0)+IF(AP78&gt;=1,1,0)+IF(AQ78&gt;=1,1,0)+IF(AR78&gt;=1,1,0)+IF(AS78&gt;=1,1,0)+IF(AT78&gt;=1,1,0))&gt;=5,"Diversificado (5+ verticales)",IF((IF(AL78&gt;=1,1,0)+IF(AM78&gt;=1,1,0)+IF(AN78&gt;=1,1,0)+IF(AO78&gt;=1,1,0)+IF(AP78&gt;=1,1,0)+IF(AQ78&gt;=1,1,0)+IF(AR78&gt;=1,1,0)+IF(AS78&gt;=1,1,0)+IF(AT78&gt;=1,1,0))&gt;=3,"Multi-capacidad (3-4 verticales)",IF((IF(AL78&gt;=1,1,0)+IF(AM78&gt;=1,1,0)+IF(AN78&gt;=1,1,0)+IF(AO78&gt;=1,1,0)+IF(AP78&gt;=1,1,0)+IF(AQ78&gt;=1,1,0)+IF(AR78&gt;=1,1,0)+IF(AS78&gt;=1,1,0)+IF(AT78&gt;=1,1,0))&gt;=1,"Especialista (1-2 verticales)","Sin función mapeada"))))</f>
        <v>Especialista (1-2 verticales)</v>
      </c>
    </row>
    <row r="79" spans="1:50" ht="24" customHeight="1" x14ac:dyDescent="0.2">
      <c r="A79" s="48" t="s">
        <v>1188</v>
      </c>
      <c r="B79" s="48" t="s">
        <v>1189</v>
      </c>
      <c r="C79" s="78" t="str">
        <f>IF(A79="","",IFERROR(INDEX('UNIVERSO MAESTRO'!$C$6:$C$497,MATCH(A79,'UNIVERSO MAESTRO'!$A$6:$A$497,0)),"⚠ ID no encontrado"))</f>
        <v>Paramount+ / Pluto TV</v>
      </c>
      <c r="D79" s="79" t="str">
        <f>IF(A79="","",IFERROR(INDEX('UNIVERSO MAESTRO'!$D$6:$D$497,MATCH(A79,'UNIVERSO MAESTRO'!$A$6:$A$497,0)),""))</f>
        <v>V2</v>
      </c>
      <c r="E79" s="80" t="s">
        <v>353</v>
      </c>
      <c r="F79" s="80" t="s">
        <v>353</v>
      </c>
      <c r="G79" s="80" t="s">
        <v>353</v>
      </c>
      <c r="H79" s="80" t="s">
        <v>353</v>
      </c>
      <c r="I79" s="80" t="s">
        <v>1530</v>
      </c>
      <c r="J79" s="80" t="s">
        <v>1530</v>
      </c>
      <c r="K79" s="80" t="s">
        <v>353</v>
      </c>
      <c r="L79" s="80" t="s">
        <v>353</v>
      </c>
      <c r="M79" s="80" t="s">
        <v>353</v>
      </c>
      <c r="N79" s="80" t="s">
        <v>353</v>
      </c>
      <c r="O79" s="80" t="s">
        <v>353</v>
      </c>
      <c r="P79" s="80" t="s">
        <v>353</v>
      </c>
      <c r="Q79" s="80" t="s">
        <v>353</v>
      </c>
      <c r="R79" s="80" t="s">
        <v>353</v>
      </c>
      <c r="S79" s="80" t="s">
        <v>353</v>
      </c>
      <c r="T79" s="80" t="s">
        <v>353</v>
      </c>
      <c r="U79" s="80" t="s">
        <v>353</v>
      </c>
      <c r="V79" s="80" t="s">
        <v>353</v>
      </c>
      <c r="W79" s="80" t="s">
        <v>353</v>
      </c>
      <c r="X79" s="80" t="s">
        <v>353</v>
      </c>
      <c r="Y79" s="80" t="s">
        <v>353</v>
      </c>
      <c r="Z79" s="80" t="s">
        <v>353</v>
      </c>
      <c r="AA79" s="80" t="s">
        <v>353</v>
      </c>
      <c r="AB79" s="80" t="s">
        <v>353</v>
      </c>
      <c r="AC79" s="80" t="s">
        <v>353</v>
      </c>
      <c r="AD79" s="80" t="s">
        <v>353</v>
      </c>
      <c r="AE79" s="80" t="s">
        <v>353</v>
      </c>
      <c r="AF79" s="80" t="s">
        <v>353</v>
      </c>
      <c r="AG79" s="80" t="s">
        <v>353</v>
      </c>
      <c r="AH79" s="80" t="s">
        <v>353</v>
      </c>
      <c r="AI79" s="80" t="s">
        <v>353</v>
      </c>
      <c r="AJ79" s="80" t="s">
        <v>353</v>
      </c>
      <c r="AK79" s="80" t="s">
        <v>353</v>
      </c>
      <c r="AL79" s="81">
        <f>IF(E79="Sí",1,IF(E79="Parcial",0.5,0))+IF(F79="Sí",1,IF(F79="Parcial",0.5,0))+IF(G79="Sí",1,IF(G79="Parcial",0.5,0))+IF(H79="Sí",1,IF(H79="Parcial",0.5,0))</f>
        <v>0</v>
      </c>
      <c r="AM79" s="82">
        <f>IF(I79="Sí",1,IF(I79="Parcial",0.5,0))+IF(J79="Sí",1,IF(J79="Parcial",0.5,0))+IF(K79="Sí",1,IF(K79="Parcial",0.5,0))</f>
        <v>2</v>
      </c>
      <c r="AN79" s="83">
        <f>IF(L79="Sí",1,IF(L79="Parcial",0.5,0))+IF(M79="Sí",1,IF(M79="Parcial",0.5,0))+IF(N79="Sí",1,IF(N79="Parcial",0.5,0))+IF(O79="Sí",1,IF(O79="Parcial",0.5,0))</f>
        <v>0</v>
      </c>
      <c r="AO79" s="84">
        <f>IF(P79="Sí",1,IF(P79="Parcial",0.5,0))+IF(Q79="Sí",1,IF(Q79="Parcial",0.5,0))+IF(R79="Sí",1,IF(R79="Parcial",0.5,0))+IF(S79="Sí",1,IF(S79="Parcial",0.5,0))+IF(T79="Sí",1,IF(T79="Parcial",0.5,0))+IF(U79="Sí",1,IF(U79="Parcial",0.5,0))</f>
        <v>0</v>
      </c>
      <c r="AP79" s="85">
        <f>IF(V79="Sí",1,IF(V79="Parcial",0.5,0))+IF(W79="Sí",1,IF(W79="Parcial",0.5,0))+IF(X79="Sí",1,IF(X79="Parcial",0.5,0))+IF(Y79="Sí",1,IF(Y79="Parcial",0.5,0))</f>
        <v>0</v>
      </c>
      <c r="AQ79" s="86">
        <f>IF(Z79="Sí",1,IF(Z79="Parcial",0.5,0))+IF(AA79="Sí",1,IF(AA79="Parcial",0.5,0))+IF(AB79="Sí",1,IF(AB79="Parcial",0.5,0))</f>
        <v>0</v>
      </c>
      <c r="AR79" s="87">
        <f>IF(AC79="Sí",1,IF(AC79="Parcial",0.5,0))+IF(AD79="Sí",1,IF(AD79="Parcial",0.5,0))+IF(AE79="Sí",1,IF(AE79="Parcial",0.5,0))</f>
        <v>0</v>
      </c>
      <c r="AS79" s="88">
        <f>IF(AF79="Sí",1,IF(AF79="Parcial",0.5,0))+IF(AG79="Sí",1,IF(AG79="Parcial",0.5,0))+IF(AH79="Sí",1,IF(AH79="Parcial",0.5,0))</f>
        <v>0</v>
      </c>
      <c r="AT79" s="89">
        <f>IF(AI79="Sí",1,IF(AI79="Parcial",0.5,0))+IF(AJ79="Sí",1,IF(AJ79="Parcial",0.5,0))+IF(AK79="Sí",1,IF(AK79="Parcial",0.5,0))</f>
        <v>0</v>
      </c>
      <c r="AU79" s="90">
        <f>SUM(AL79,AM79,AN79,AO79,AP79,AQ79,AR79,AS79,AT79)</f>
        <v>2</v>
      </c>
      <c r="AV79" s="225">
        <f>IFERROR(IF(OR(A79="",AU79=0),"",AU79/(IF(AL79&gt;0,1,0)+IF(AM79&gt;0,1,0)+IF(AN79&gt;0,1,0)+IF(AO79&gt;0,1,0)+IF(AP79&gt;0,1,0)+IF(AQ79&gt;0,1,0)+IF(AR79&gt;0,1,0)+IF(AS79&gt;0,1,0)+IF(AT79&gt;0,1,0))),"")</f>
        <v>2</v>
      </c>
      <c r="AW79" s="225">
        <f>IFERROR(IF(OR(A79="",AU79=""),"",IF(AND(MAX($AU$8:$AU$156)=0,MAX($AV$8:$AV$156)=0),"",0.5*(AU79/MAX($AU$8:$AU$156))+0.5*(AV79/MAX($AV$8:$AV$156)))),"")</f>
        <v>0.3611111111111111</v>
      </c>
      <c r="AX79" s="79" t="str">
        <f>IF(A79="","",IF((IF(AL79&gt;=1,1,0)+IF(AM79&gt;=1,1,0)+IF(AN79&gt;=1,1,0)+IF(AO79&gt;=1,1,0)+IF(AP79&gt;=1,1,0)+IF(AQ79&gt;=1,1,0)+IF(AR79&gt;=1,1,0)+IF(AS79&gt;=1,1,0)+IF(AT79&gt;=1,1,0))&gt;=5,"Diversificado (5+ verticales)",IF((IF(AL79&gt;=1,1,0)+IF(AM79&gt;=1,1,0)+IF(AN79&gt;=1,1,0)+IF(AO79&gt;=1,1,0)+IF(AP79&gt;=1,1,0)+IF(AQ79&gt;=1,1,0)+IF(AR79&gt;=1,1,0)+IF(AS79&gt;=1,1,0)+IF(AT79&gt;=1,1,0))&gt;=3,"Multi-capacidad (3-4 verticales)",IF((IF(AL79&gt;=1,1,0)+IF(AM79&gt;=1,1,0)+IF(AN79&gt;=1,1,0)+IF(AO79&gt;=1,1,0)+IF(AP79&gt;=1,1,0)+IF(AQ79&gt;=1,1,0)+IF(AR79&gt;=1,1,0)+IF(AS79&gt;=1,1,0)+IF(AT79&gt;=1,1,0))&gt;=1,"Especialista (1-2 verticales)","Sin función mapeada"))))</f>
        <v>Especialista (1-2 verticales)</v>
      </c>
    </row>
    <row r="80" spans="1:50" ht="24" customHeight="1" x14ac:dyDescent="0.2">
      <c r="A80" s="48" t="s">
        <v>1266</v>
      </c>
      <c r="B80" s="48" t="s">
        <v>1267</v>
      </c>
      <c r="C80" s="78" t="str">
        <f>IF(A80="","",IFERROR(INDEX('UNIVERSO MAESTRO'!$C$6:$C$497,MATCH(A80,'UNIVERSO MAESTRO'!$A$6:$A$497,0)),"⚠ ID no encontrado"))</f>
        <v>Récord</v>
      </c>
      <c r="D80" s="79" t="str">
        <f>IF(A80="","",IFERROR(INDEX('UNIVERSO MAESTRO'!$D$6:$D$497,MATCH(A80,'UNIVERSO MAESTRO'!$A$6:$A$497,0)),""))</f>
        <v>V2</v>
      </c>
      <c r="E80" s="80" t="s">
        <v>353</v>
      </c>
      <c r="F80" s="80" t="s">
        <v>353</v>
      </c>
      <c r="G80" s="80" t="s">
        <v>353</v>
      </c>
      <c r="H80" s="80" t="s">
        <v>353</v>
      </c>
      <c r="I80" s="80" t="s">
        <v>353</v>
      </c>
      <c r="J80" s="80" t="s">
        <v>1530</v>
      </c>
      <c r="K80" s="80" t="s">
        <v>1530</v>
      </c>
      <c r="L80" s="80" t="s">
        <v>353</v>
      </c>
      <c r="M80" s="80" t="s">
        <v>353</v>
      </c>
      <c r="N80" s="80" t="s">
        <v>353</v>
      </c>
      <c r="O80" s="80" t="s">
        <v>353</v>
      </c>
      <c r="P80" s="80" t="s">
        <v>353</v>
      </c>
      <c r="Q80" s="80" t="s">
        <v>353</v>
      </c>
      <c r="R80" s="80" t="s">
        <v>353</v>
      </c>
      <c r="S80" s="80" t="s">
        <v>353</v>
      </c>
      <c r="T80" s="80" t="s">
        <v>353</v>
      </c>
      <c r="U80" s="80" t="s">
        <v>353</v>
      </c>
      <c r="V80" s="80" t="s">
        <v>353</v>
      </c>
      <c r="W80" s="80" t="s">
        <v>353</v>
      </c>
      <c r="X80" s="80" t="s">
        <v>353</v>
      </c>
      <c r="Y80" s="80" t="s">
        <v>353</v>
      </c>
      <c r="Z80" s="80" t="s">
        <v>353</v>
      </c>
      <c r="AA80" s="80" t="s">
        <v>353</v>
      </c>
      <c r="AB80" s="80" t="s">
        <v>353</v>
      </c>
      <c r="AC80" s="80" t="s">
        <v>353</v>
      </c>
      <c r="AD80" s="80" t="s">
        <v>353</v>
      </c>
      <c r="AE80" s="80" t="s">
        <v>353</v>
      </c>
      <c r="AF80" s="80" t="s">
        <v>353</v>
      </c>
      <c r="AG80" s="80" t="s">
        <v>353</v>
      </c>
      <c r="AH80" s="80" t="s">
        <v>353</v>
      </c>
      <c r="AI80" s="80" t="s">
        <v>353</v>
      </c>
      <c r="AJ80" s="80" t="s">
        <v>353</v>
      </c>
      <c r="AK80" s="80" t="s">
        <v>353</v>
      </c>
      <c r="AL80" s="81">
        <f>IF(E80="Sí",1,IF(E80="Parcial",0.5,0))+IF(F80="Sí",1,IF(F80="Parcial",0.5,0))+IF(G80="Sí",1,IF(G80="Parcial",0.5,0))+IF(H80="Sí",1,IF(H80="Parcial",0.5,0))</f>
        <v>0</v>
      </c>
      <c r="AM80" s="82">
        <f>IF(I80="Sí",1,IF(I80="Parcial",0.5,0))+IF(J80="Sí",1,IF(J80="Parcial",0.5,0))+IF(K80="Sí",1,IF(K80="Parcial",0.5,0))</f>
        <v>2</v>
      </c>
      <c r="AN80" s="83">
        <f>IF(L80="Sí",1,IF(L80="Parcial",0.5,0))+IF(M80="Sí",1,IF(M80="Parcial",0.5,0))+IF(N80="Sí",1,IF(N80="Parcial",0.5,0))+IF(O80="Sí",1,IF(O80="Parcial",0.5,0))</f>
        <v>0</v>
      </c>
      <c r="AO80" s="84">
        <f>IF(P80="Sí",1,IF(P80="Parcial",0.5,0))+IF(Q80="Sí",1,IF(Q80="Parcial",0.5,0))+IF(R80="Sí",1,IF(R80="Parcial",0.5,0))+IF(S80="Sí",1,IF(S80="Parcial",0.5,0))+IF(T80="Sí",1,IF(T80="Parcial",0.5,0))+IF(U80="Sí",1,IF(U80="Parcial",0.5,0))</f>
        <v>0</v>
      </c>
      <c r="AP80" s="85">
        <f>IF(V80="Sí",1,IF(V80="Parcial",0.5,0))+IF(W80="Sí",1,IF(W80="Parcial",0.5,0))+IF(X80="Sí",1,IF(X80="Parcial",0.5,0))+IF(Y80="Sí",1,IF(Y80="Parcial",0.5,0))</f>
        <v>0</v>
      </c>
      <c r="AQ80" s="86">
        <f>IF(Z80="Sí",1,IF(Z80="Parcial",0.5,0))+IF(AA80="Sí",1,IF(AA80="Parcial",0.5,0))+IF(AB80="Sí",1,IF(AB80="Parcial",0.5,0))</f>
        <v>0</v>
      </c>
      <c r="AR80" s="87">
        <f>IF(AC80="Sí",1,IF(AC80="Parcial",0.5,0))+IF(AD80="Sí",1,IF(AD80="Parcial",0.5,0))+IF(AE80="Sí",1,IF(AE80="Parcial",0.5,0))</f>
        <v>0</v>
      </c>
      <c r="AS80" s="88">
        <f>IF(AF80="Sí",1,IF(AF80="Parcial",0.5,0))+IF(AG80="Sí",1,IF(AG80="Parcial",0.5,0))+IF(AH80="Sí",1,IF(AH80="Parcial",0.5,0))</f>
        <v>0</v>
      </c>
      <c r="AT80" s="89">
        <f>IF(AI80="Sí",1,IF(AI80="Parcial",0.5,0))+IF(AJ80="Sí",1,IF(AJ80="Parcial",0.5,0))+IF(AK80="Sí",1,IF(AK80="Parcial",0.5,0))</f>
        <v>0</v>
      </c>
      <c r="AU80" s="90">
        <f>SUM(AL80,AM80,AN80,AO80,AP80,AQ80,AR80,AS80,AT80)</f>
        <v>2</v>
      </c>
      <c r="AV80" s="225">
        <f>IFERROR(IF(OR(A80="",AU80=0),"",AU80/(IF(AL80&gt;0,1,0)+IF(AM80&gt;0,1,0)+IF(AN80&gt;0,1,0)+IF(AO80&gt;0,1,0)+IF(AP80&gt;0,1,0)+IF(AQ80&gt;0,1,0)+IF(AR80&gt;0,1,0)+IF(AS80&gt;0,1,0)+IF(AT80&gt;0,1,0))),"")</f>
        <v>2</v>
      </c>
      <c r="AW80" s="225">
        <f>IFERROR(IF(OR(A80="",AU80=""),"",IF(AND(MAX($AU$8:$AU$156)=0,MAX($AV$8:$AV$156)=0),"",0.5*(AU80/MAX($AU$8:$AU$156))+0.5*(AV80/MAX($AV$8:$AV$156)))),"")</f>
        <v>0.3611111111111111</v>
      </c>
      <c r="AX80" s="79" t="str">
        <f>IF(A80="","",IF((IF(AL80&gt;=1,1,0)+IF(AM80&gt;=1,1,0)+IF(AN80&gt;=1,1,0)+IF(AO80&gt;=1,1,0)+IF(AP80&gt;=1,1,0)+IF(AQ80&gt;=1,1,0)+IF(AR80&gt;=1,1,0)+IF(AS80&gt;=1,1,0)+IF(AT80&gt;=1,1,0))&gt;=5,"Diversificado (5+ verticales)",IF((IF(AL80&gt;=1,1,0)+IF(AM80&gt;=1,1,0)+IF(AN80&gt;=1,1,0)+IF(AO80&gt;=1,1,0)+IF(AP80&gt;=1,1,0)+IF(AQ80&gt;=1,1,0)+IF(AR80&gt;=1,1,0)+IF(AS80&gt;=1,1,0)+IF(AT80&gt;=1,1,0))&gt;=3,"Multi-capacidad (3-4 verticales)",IF((IF(AL80&gt;=1,1,0)+IF(AM80&gt;=1,1,0)+IF(AN80&gt;=1,1,0)+IF(AO80&gt;=1,1,0)+IF(AP80&gt;=1,1,0)+IF(AQ80&gt;=1,1,0)+IF(AR80&gt;=1,1,0)+IF(AS80&gt;=1,1,0)+IF(AT80&gt;=1,1,0))&gt;=1,"Especialista (1-2 verticales)","Sin función mapeada"))))</f>
        <v>Especialista (1-2 verticales)</v>
      </c>
    </row>
    <row r="81" spans="1:50" ht="24" customHeight="1" x14ac:dyDescent="0.2">
      <c r="A81" s="48" t="s">
        <v>1303</v>
      </c>
      <c r="B81" s="48" t="s">
        <v>1304</v>
      </c>
      <c r="C81" s="78" t="str">
        <f>IF(A81="","",IFERROR(INDEX('UNIVERSO MAESTRO'!$C$6:$C$497,MATCH(A81,'UNIVERSO MAESTRO'!$A$6:$A$497,0)),"⚠ ID no encontrado"))</f>
        <v>Selección Mexicana de Fútbol</v>
      </c>
      <c r="D81" s="79" t="str">
        <f>IF(A81="","",IFERROR(INDEX('UNIVERSO MAESTRO'!$D$6:$D$497,MATCH(A81,'UNIVERSO MAESTRO'!$A$6:$A$497,0)),""))</f>
        <v>V1</v>
      </c>
      <c r="E81" s="80" t="s">
        <v>1530</v>
      </c>
      <c r="F81" s="80" t="s">
        <v>353</v>
      </c>
      <c r="G81" s="80" t="s">
        <v>1530</v>
      </c>
      <c r="H81" s="80" t="s">
        <v>353</v>
      </c>
      <c r="I81" s="80" t="s">
        <v>353</v>
      </c>
      <c r="J81" s="80" t="s">
        <v>353</v>
      </c>
      <c r="K81" s="80" t="s">
        <v>353</v>
      </c>
      <c r="L81" s="80" t="s">
        <v>353</v>
      </c>
      <c r="M81" s="80" t="s">
        <v>353</v>
      </c>
      <c r="N81" s="80" t="s">
        <v>353</v>
      </c>
      <c r="O81" s="80" t="s">
        <v>353</v>
      </c>
      <c r="P81" s="80" t="s">
        <v>353</v>
      </c>
      <c r="Q81" s="80" t="s">
        <v>353</v>
      </c>
      <c r="R81" s="80" t="s">
        <v>353</v>
      </c>
      <c r="S81" s="80" t="s">
        <v>353</v>
      </c>
      <c r="T81" s="80" t="s">
        <v>353</v>
      </c>
      <c r="U81" s="80" t="s">
        <v>353</v>
      </c>
      <c r="V81" s="80" t="s">
        <v>353</v>
      </c>
      <c r="W81" s="80" t="s">
        <v>353</v>
      </c>
      <c r="X81" s="80" t="s">
        <v>353</v>
      </c>
      <c r="Y81" s="80" t="s">
        <v>353</v>
      </c>
      <c r="Z81" s="80" t="s">
        <v>353</v>
      </c>
      <c r="AA81" s="80" t="s">
        <v>353</v>
      </c>
      <c r="AB81" s="80" t="s">
        <v>353</v>
      </c>
      <c r="AC81" s="80" t="s">
        <v>353</v>
      </c>
      <c r="AD81" s="80" t="s">
        <v>353</v>
      </c>
      <c r="AE81" s="80" t="s">
        <v>353</v>
      </c>
      <c r="AF81" s="80" t="s">
        <v>353</v>
      </c>
      <c r="AG81" s="80" t="s">
        <v>353</v>
      </c>
      <c r="AH81" s="80" t="s">
        <v>353</v>
      </c>
      <c r="AI81" s="80" t="s">
        <v>353</v>
      </c>
      <c r="AJ81" s="80" t="s">
        <v>353</v>
      </c>
      <c r="AK81" s="80" t="s">
        <v>353</v>
      </c>
      <c r="AL81" s="81">
        <f>IF(E81="Sí",1,IF(E81="Parcial",0.5,0))+IF(F81="Sí",1,IF(F81="Parcial",0.5,0))+IF(G81="Sí",1,IF(G81="Parcial",0.5,0))+IF(H81="Sí",1,IF(H81="Parcial",0.5,0))</f>
        <v>2</v>
      </c>
      <c r="AM81" s="82">
        <f>IF(I81="Sí",1,IF(I81="Parcial",0.5,0))+IF(J81="Sí",1,IF(J81="Parcial",0.5,0))+IF(K81="Sí",1,IF(K81="Parcial",0.5,0))</f>
        <v>0</v>
      </c>
      <c r="AN81" s="83">
        <f>IF(L81="Sí",1,IF(L81="Parcial",0.5,0))+IF(M81="Sí",1,IF(M81="Parcial",0.5,0))+IF(N81="Sí",1,IF(N81="Parcial",0.5,0))+IF(O81="Sí",1,IF(O81="Parcial",0.5,0))</f>
        <v>0</v>
      </c>
      <c r="AO81" s="84">
        <f>IF(P81="Sí",1,IF(P81="Parcial",0.5,0))+IF(Q81="Sí",1,IF(Q81="Parcial",0.5,0))+IF(R81="Sí",1,IF(R81="Parcial",0.5,0))+IF(S81="Sí",1,IF(S81="Parcial",0.5,0))+IF(T81="Sí",1,IF(T81="Parcial",0.5,0))+IF(U81="Sí",1,IF(U81="Parcial",0.5,0))</f>
        <v>0</v>
      </c>
      <c r="AP81" s="85">
        <f>IF(V81="Sí",1,IF(V81="Parcial",0.5,0))+IF(W81="Sí",1,IF(W81="Parcial",0.5,0))+IF(X81="Sí",1,IF(X81="Parcial",0.5,0))+IF(Y81="Sí",1,IF(Y81="Parcial",0.5,0))</f>
        <v>0</v>
      </c>
      <c r="AQ81" s="86">
        <f>IF(Z81="Sí",1,IF(Z81="Parcial",0.5,0))+IF(AA81="Sí",1,IF(AA81="Parcial",0.5,0))+IF(AB81="Sí",1,IF(AB81="Parcial",0.5,0))</f>
        <v>0</v>
      </c>
      <c r="AR81" s="87">
        <f>IF(AC81="Sí",1,IF(AC81="Parcial",0.5,0))+IF(AD81="Sí",1,IF(AD81="Parcial",0.5,0))+IF(AE81="Sí",1,IF(AE81="Parcial",0.5,0))</f>
        <v>0</v>
      </c>
      <c r="AS81" s="88">
        <f>IF(AF81="Sí",1,IF(AF81="Parcial",0.5,0))+IF(AG81="Sí",1,IF(AG81="Parcial",0.5,0))+IF(AH81="Sí",1,IF(AH81="Parcial",0.5,0))</f>
        <v>0</v>
      </c>
      <c r="AT81" s="89">
        <f>IF(AI81="Sí",1,IF(AI81="Parcial",0.5,0))+IF(AJ81="Sí",1,IF(AJ81="Parcial",0.5,0))+IF(AK81="Sí",1,IF(AK81="Parcial",0.5,0))</f>
        <v>0</v>
      </c>
      <c r="AU81" s="90">
        <f>SUM(AL81,AM81,AN81,AO81,AP81,AQ81,AR81,AS81,AT81)</f>
        <v>2</v>
      </c>
      <c r="AV81" s="225">
        <f>IFERROR(IF(OR(A81="",AU81=0),"",AU81/(IF(AL81&gt;0,1,0)+IF(AM81&gt;0,1,0)+IF(AN81&gt;0,1,0)+IF(AO81&gt;0,1,0)+IF(AP81&gt;0,1,0)+IF(AQ81&gt;0,1,0)+IF(AR81&gt;0,1,0)+IF(AS81&gt;0,1,0)+IF(AT81&gt;0,1,0))),"")</f>
        <v>2</v>
      </c>
      <c r="AW81" s="225">
        <f>IFERROR(IF(OR(A81="",AU81=""),"",IF(AND(MAX($AU$8:$AU$156)=0,MAX($AV$8:$AV$156)=0),"",0.5*(AU81/MAX($AU$8:$AU$156))+0.5*(AV81/MAX($AV$8:$AV$156)))),"")</f>
        <v>0.3611111111111111</v>
      </c>
      <c r="AX81" s="79" t="str">
        <f>IF(A81="","",IF((IF(AL81&gt;=1,1,0)+IF(AM81&gt;=1,1,0)+IF(AN81&gt;=1,1,0)+IF(AO81&gt;=1,1,0)+IF(AP81&gt;=1,1,0)+IF(AQ81&gt;=1,1,0)+IF(AR81&gt;=1,1,0)+IF(AS81&gt;=1,1,0)+IF(AT81&gt;=1,1,0))&gt;=5,"Diversificado (5+ verticales)",IF((IF(AL81&gt;=1,1,0)+IF(AM81&gt;=1,1,0)+IF(AN81&gt;=1,1,0)+IF(AO81&gt;=1,1,0)+IF(AP81&gt;=1,1,0)+IF(AQ81&gt;=1,1,0)+IF(AR81&gt;=1,1,0)+IF(AS81&gt;=1,1,0)+IF(AT81&gt;=1,1,0))&gt;=3,"Multi-capacidad (3-4 verticales)",IF((IF(AL81&gt;=1,1,0)+IF(AM81&gt;=1,1,0)+IF(AN81&gt;=1,1,0)+IF(AO81&gt;=1,1,0)+IF(AP81&gt;=1,1,0)+IF(AQ81&gt;=1,1,0)+IF(AR81&gt;=1,1,0)+IF(AS81&gt;=1,1,0)+IF(AT81&gt;=1,1,0))&gt;=1,"Especialista (1-2 verticales)","Sin función mapeada"))))</f>
        <v>Especialista (1-2 verticales)</v>
      </c>
    </row>
    <row r="82" spans="1:50" ht="24" customHeight="1" x14ac:dyDescent="0.2">
      <c r="A82" s="48" t="s">
        <v>1312</v>
      </c>
      <c r="B82" s="48" t="s">
        <v>1313</v>
      </c>
      <c r="C82" s="78" t="str">
        <f>IF(A82="","",IFERROR(INDEX('UNIVERSO MAESTRO'!$C$6:$C$497,MATCH(A82,'UNIVERSO MAESTRO'!$A$6:$A$497,0)),"⚠ ID no encontrado"))</f>
        <v>Selección Mexicana Femenil</v>
      </c>
      <c r="D82" s="79" t="str">
        <f>IF(A82="","",IFERROR(INDEX('UNIVERSO MAESTRO'!$D$6:$D$497,MATCH(A82,'UNIVERSO MAESTRO'!$A$6:$A$497,0)),""))</f>
        <v>V1</v>
      </c>
      <c r="E82" s="80" t="s">
        <v>1530</v>
      </c>
      <c r="F82" s="80" t="s">
        <v>353</v>
      </c>
      <c r="G82" s="80" t="s">
        <v>1530</v>
      </c>
      <c r="H82" s="80" t="s">
        <v>353</v>
      </c>
      <c r="I82" s="80" t="s">
        <v>353</v>
      </c>
      <c r="J82" s="80" t="s">
        <v>353</v>
      </c>
      <c r="K82" s="80" t="s">
        <v>353</v>
      </c>
      <c r="L82" s="80" t="s">
        <v>353</v>
      </c>
      <c r="M82" s="80" t="s">
        <v>353</v>
      </c>
      <c r="N82" s="80" t="s">
        <v>353</v>
      </c>
      <c r="O82" s="80" t="s">
        <v>353</v>
      </c>
      <c r="P82" s="80" t="s">
        <v>353</v>
      </c>
      <c r="Q82" s="80" t="s">
        <v>353</v>
      </c>
      <c r="R82" s="80" t="s">
        <v>353</v>
      </c>
      <c r="S82" s="80" t="s">
        <v>353</v>
      </c>
      <c r="T82" s="80" t="s">
        <v>353</v>
      </c>
      <c r="U82" s="80" t="s">
        <v>353</v>
      </c>
      <c r="V82" s="80" t="s">
        <v>353</v>
      </c>
      <c r="W82" s="80" t="s">
        <v>353</v>
      </c>
      <c r="X82" s="80" t="s">
        <v>353</v>
      </c>
      <c r="Y82" s="80" t="s">
        <v>353</v>
      </c>
      <c r="Z82" s="80" t="s">
        <v>353</v>
      </c>
      <c r="AA82" s="80" t="s">
        <v>353</v>
      </c>
      <c r="AB82" s="80" t="s">
        <v>353</v>
      </c>
      <c r="AC82" s="80" t="s">
        <v>353</v>
      </c>
      <c r="AD82" s="80" t="s">
        <v>353</v>
      </c>
      <c r="AE82" s="80" t="s">
        <v>353</v>
      </c>
      <c r="AF82" s="80" t="s">
        <v>353</v>
      </c>
      <c r="AG82" s="80" t="s">
        <v>353</v>
      </c>
      <c r="AH82" s="80" t="s">
        <v>353</v>
      </c>
      <c r="AI82" s="80" t="s">
        <v>353</v>
      </c>
      <c r="AJ82" s="80" t="s">
        <v>353</v>
      </c>
      <c r="AK82" s="80" t="s">
        <v>353</v>
      </c>
      <c r="AL82" s="81">
        <f>IF(E82="Sí",1,IF(E82="Parcial",0.5,0))+IF(F82="Sí",1,IF(F82="Parcial",0.5,0))+IF(G82="Sí",1,IF(G82="Parcial",0.5,0))+IF(H82="Sí",1,IF(H82="Parcial",0.5,0))</f>
        <v>2</v>
      </c>
      <c r="AM82" s="82">
        <f>IF(I82="Sí",1,IF(I82="Parcial",0.5,0))+IF(J82="Sí",1,IF(J82="Parcial",0.5,0))+IF(K82="Sí",1,IF(K82="Parcial",0.5,0))</f>
        <v>0</v>
      </c>
      <c r="AN82" s="83">
        <f>IF(L82="Sí",1,IF(L82="Parcial",0.5,0))+IF(M82="Sí",1,IF(M82="Parcial",0.5,0))+IF(N82="Sí",1,IF(N82="Parcial",0.5,0))+IF(O82="Sí",1,IF(O82="Parcial",0.5,0))</f>
        <v>0</v>
      </c>
      <c r="AO82" s="84">
        <f>IF(P82="Sí",1,IF(P82="Parcial",0.5,0))+IF(Q82="Sí",1,IF(Q82="Parcial",0.5,0))+IF(R82="Sí",1,IF(R82="Parcial",0.5,0))+IF(S82="Sí",1,IF(S82="Parcial",0.5,0))+IF(T82="Sí",1,IF(T82="Parcial",0.5,0))+IF(U82="Sí",1,IF(U82="Parcial",0.5,0))</f>
        <v>0</v>
      </c>
      <c r="AP82" s="85">
        <f>IF(V82="Sí",1,IF(V82="Parcial",0.5,0))+IF(W82="Sí",1,IF(W82="Parcial",0.5,0))+IF(X82="Sí",1,IF(X82="Parcial",0.5,0))+IF(Y82="Sí",1,IF(Y82="Parcial",0.5,0))</f>
        <v>0</v>
      </c>
      <c r="AQ82" s="86">
        <f>IF(Z82="Sí",1,IF(Z82="Parcial",0.5,0))+IF(AA82="Sí",1,IF(AA82="Parcial",0.5,0))+IF(AB82="Sí",1,IF(AB82="Parcial",0.5,0))</f>
        <v>0</v>
      </c>
      <c r="AR82" s="87">
        <f>IF(AC82="Sí",1,IF(AC82="Parcial",0.5,0))+IF(AD82="Sí",1,IF(AD82="Parcial",0.5,0))+IF(AE82="Sí",1,IF(AE82="Parcial",0.5,0))</f>
        <v>0</v>
      </c>
      <c r="AS82" s="88">
        <f>IF(AF82="Sí",1,IF(AF82="Parcial",0.5,0))+IF(AG82="Sí",1,IF(AG82="Parcial",0.5,0))+IF(AH82="Sí",1,IF(AH82="Parcial",0.5,0))</f>
        <v>0</v>
      </c>
      <c r="AT82" s="89">
        <f>IF(AI82="Sí",1,IF(AI82="Parcial",0.5,0))+IF(AJ82="Sí",1,IF(AJ82="Parcial",0.5,0))+IF(AK82="Sí",1,IF(AK82="Parcial",0.5,0))</f>
        <v>0</v>
      </c>
      <c r="AU82" s="90">
        <f>SUM(AL82,AM82,AN82,AO82,AP82,AQ82,AR82,AS82,AT82)</f>
        <v>2</v>
      </c>
      <c r="AV82" s="225">
        <f>IFERROR(IF(OR(A82="",AU82=0),"",AU82/(IF(AL82&gt;0,1,0)+IF(AM82&gt;0,1,0)+IF(AN82&gt;0,1,0)+IF(AO82&gt;0,1,0)+IF(AP82&gt;0,1,0)+IF(AQ82&gt;0,1,0)+IF(AR82&gt;0,1,0)+IF(AS82&gt;0,1,0)+IF(AT82&gt;0,1,0))),"")</f>
        <v>2</v>
      </c>
      <c r="AW82" s="225">
        <f>IFERROR(IF(OR(A82="",AU82=""),"",IF(AND(MAX($AU$8:$AU$156)=0,MAX($AV$8:$AV$156)=0),"",0.5*(AU82/MAX($AU$8:$AU$156))+0.5*(AV82/MAX($AV$8:$AV$156)))),"")</f>
        <v>0.3611111111111111</v>
      </c>
      <c r="AX82" s="79" t="str">
        <f>IF(A82="","",IF((IF(AL82&gt;=1,1,0)+IF(AM82&gt;=1,1,0)+IF(AN82&gt;=1,1,0)+IF(AO82&gt;=1,1,0)+IF(AP82&gt;=1,1,0)+IF(AQ82&gt;=1,1,0)+IF(AR82&gt;=1,1,0)+IF(AS82&gt;=1,1,0)+IF(AT82&gt;=1,1,0))&gt;=5,"Diversificado (5+ verticales)",IF((IF(AL82&gt;=1,1,0)+IF(AM82&gt;=1,1,0)+IF(AN82&gt;=1,1,0)+IF(AO82&gt;=1,1,0)+IF(AP82&gt;=1,1,0)+IF(AQ82&gt;=1,1,0)+IF(AR82&gt;=1,1,0)+IF(AS82&gt;=1,1,0)+IF(AT82&gt;=1,1,0))&gt;=3,"Multi-capacidad (3-4 verticales)",IF((IF(AL82&gt;=1,1,0)+IF(AM82&gt;=1,1,0)+IF(AN82&gt;=1,1,0)+IF(AO82&gt;=1,1,0)+IF(AP82&gt;=1,1,0)+IF(AQ82&gt;=1,1,0)+IF(AR82&gt;=1,1,0)+IF(AS82&gt;=1,1,0)+IF(AT82&gt;=1,1,0))&gt;=1,"Especialista (1-2 verticales)","Sin función mapeada"))))</f>
        <v>Especialista (1-2 verticales)</v>
      </c>
    </row>
    <row r="83" spans="1:50" ht="24" customHeight="1" x14ac:dyDescent="0.2">
      <c r="A83" s="48" t="s">
        <v>1333</v>
      </c>
      <c r="B83" s="48" t="s">
        <v>1334</v>
      </c>
      <c r="C83" s="78" t="str">
        <f>IF(A83="","",IFERROR(INDEX('UNIVERSO MAESTRO'!$C$6:$C$497,MATCH(A83,'UNIVERSO MAESTRO'!$A$6:$A$497,0)),"⚠ ID no encontrado"))</f>
        <v>Sky Sports México / NBCUniversal</v>
      </c>
      <c r="D83" s="79" t="str">
        <f>IF(A83="","",IFERROR(INDEX('UNIVERSO MAESTRO'!$D$6:$D$497,MATCH(A83,'UNIVERSO MAESTRO'!$A$6:$A$497,0)),""))</f>
        <v>V2</v>
      </c>
      <c r="E83" s="80" t="s">
        <v>353</v>
      </c>
      <c r="F83" s="80" t="s">
        <v>353</v>
      </c>
      <c r="G83" s="80" t="s">
        <v>353</v>
      </c>
      <c r="H83" s="80" t="s">
        <v>353</v>
      </c>
      <c r="I83" s="80" t="s">
        <v>1530</v>
      </c>
      <c r="J83" s="80" t="s">
        <v>1530</v>
      </c>
      <c r="K83" s="80" t="s">
        <v>353</v>
      </c>
      <c r="L83" s="80" t="s">
        <v>353</v>
      </c>
      <c r="M83" s="80" t="s">
        <v>353</v>
      </c>
      <c r="N83" s="80" t="s">
        <v>353</v>
      </c>
      <c r="O83" s="80" t="s">
        <v>353</v>
      </c>
      <c r="P83" s="80" t="s">
        <v>353</v>
      </c>
      <c r="Q83" s="80" t="s">
        <v>353</v>
      </c>
      <c r="R83" s="80" t="s">
        <v>353</v>
      </c>
      <c r="S83" s="80" t="s">
        <v>353</v>
      </c>
      <c r="T83" s="80" t="s">
        <v>353</v>
      </c>
      <c r="U83" s="80" t="s">
        <v>353</v>
      </c>
      <c r="V83" s="80" t="s">
        <v>353</v>
      </c>
      <c r="W83" s="80" t="s">
        <v>353</v>
      </c>
      <c r="X83" s="80" t="s">
        <v>353</v>
      </c>
      <c r="Y83" s="80" t="s">
        <v>353</v>
      </c>
      <c r="Z83" s="80" t="s">
        <v>353</v>
      </c>
      <c r="AA83" s="80" t="s">
        <v>353</v>
      </c>
      <c r="AB83" s="80" t="s">
        <v>353</v>
      </c>
      <c r="AC83" s="80" t="s">
        <v>353</v>
      </c>
      <c r="AD83" s="80" t="s">
        <v>353</v>
      </c>
      <c r="AE83" s="80" t="s">
        <v>353</v>
      </c>
      <c r="AF83" s="80" t="s">
        <v>353</v>
      </c>
      <c r="AG83" s="80" t="s">
        <v>353</v>
      </c>
      <c r="AH83" s="80" t="s">
        <v>353</v>
      </c>
      <c r="AI83" s="80" t="s">
        <v>353</v>
      </c>
      <c r="AJ83" s="80" t="s">
        <v>353</v>
      </c>
      <c r="AK83" s="80" t="s">
        <v>353</v>
      </c>
      <c r="AL83" s="81">
        <f>IF(E83="Sí",1,IF(E83="Parcial",0.5,0))+IF(F83="Sí",1,IF(F83="Parcial",0.5,0))+IF(G83="Sí",1,IF(G83="Parcial",0.5,0))+IF(H83="Sí",1,IF(H83="Parcial",0.5,0))</f>
        <v>0</v>
      </c>
      <c r="AM83" s="82">
        <f>IF(I83="Sí",1,IF(I83="Parcial",0.5,0))+IF(J83="Sí",1,IF(J83="Parcial",0.5,0))+IF(K83="Sí",1,IF(K83="Parcial",0.5,0))</f>
        <v>2</v>
      </c>
      <c r="AN83" s="83">
        <f>IF(L83="Sí",1,IF(L83="Parcial",0.5,0))+IF(M83="Sí",1,IF(M83="Parcial",0.5,0))+IF(N83="Sí",1,IF(N83="Parcial",0.5,0))+IF(O83="Sí",1,IF(O83="Parcial",0.5,0))</f>
        <v>0</v>
      </c>
      <c r="AO83" s="84">
        <f>IF(P83="Sí",1,IF(P83="Parcial",0.5,0))+IF(Q83="Sí",1,IF(Q83="Parcial",0.5,0))+IF(R83="Sí",1,IF(R83="Parcial",0.5,0))+IF(S83="Sí",1,IF(S83="Parcial",0.5,0))+IF(T83="Sí",1,IF(T83="Parcial",0.5,0))+IF(U83="Sí",1,IF(U83="Parcial",0.5,0))</f>
        <v>0</v>
      </c>
      <c r="AP83" s="85">
        <f>IF(V83="Sí",1,IF(V83="Parcial",0.5,0))+IF(W83="Sí",1,IF(W83="Parcial",0.5,0))+IF(X83="Sí",1,IF(X83="Parcial",0.5,0))+IF(Y83="Sí",1,IF(Y83="Parcial",0.5,0))</f>
        <v>0</v>
      </c>
      <c r="AQ83" s="86">
        <f>IF(Z83="Sí",1,IF(Z83="Parcial",0.5,0))+IF(AA83="Sí",1,IF(AA83="Parcial",0.5,0))+IF(AB83="Sí",1,IF(AB83="Parcial",0.5,0))</f>
        <v>0</v>
      </c>
      <c r="AR83" s="87">
        <f>IF(AC83="Sí",1,IF(AC83="Parcial",0.5,0))+IF(AD83="Sí",1,IF(AD83="Parcial",0.5,0))+IF(AE83="Sí",1,IF(AE83="Parcial",0.5,0))</f>
        <v>0</v>
      </c>
      <c r="AS83" s="88">
        <f>IF(AF83="Sí",1,IF(AF83="Parcial",0.5,0))+IF(AG83="Sí",1,IF(AG83="Parcial",0.5,0))+IF(AH83="Sí",1,IF(AH83="Parcial",0.5,0))</f>
        <v>0</v>
      </c>
      <c r="AT83" s="89">
        <f>IF(AI83="Sí",1,IF(AI83="Parcial",0.5,0))+IF(AJ83="Sí",1,IF(AJ83="Parcial",0.5,0))+IF(AK83="Sí",1,IF(AK83="Parcial",0.5,0))</f>
        <v>0</v>
      </c>
      <c r="AU83" s="90">
        <f>SUM(AL83,AM83,AN83,AO83,AP83,AQ83,AR83,AS83,AT83)</f>
        <v>2</v>
      </c>
      <c r="AV83" s="225">
        <f>IFERROR(IF(OR(A83="",AU83=0),"",AU83/(IF(AL83&gt;0,1,0)+IF(AM83&gt;0,1,0)+IF(AN83&gt;0,1,0)+IF(AO83&gt;0,1,0)+IF(AP83&gt;0,1,0)+IF(AQ83&gt;0,1,0)+IF(AR83&gt;0,1,0)+IF(AS83&gt;0,1,0)+IF(AT83&gt;0,1,0))),"")</f>
        <v>2</v>
      </c>
      <c r="AW83" s="225">
        <f>IFERROR(IF(OR(A83="",AU83=""),"",IF(AND(MAX($AU$8:$AU$156)=0,MAX($AV$8:$AV$156)=0),"",0.5*(AU83/MAX($AU$8:$AU$156))+0.5*(AV83/MAX($AV$8:$AV$156)))),"")</f>
        <v>0.3611111111111111</v>
      </c>
      <c r="AX83" s="79" t="str">
        <f>IF(A83="","",IF((IF(AL83&gt;=1,1,0)+IF(AM83&gt;=1,1,0)+IF(AN83&gt;=1,1,0)+IF(AO83&gt;=1,1,0)+IF(AP83&gt;=1,1,0)+IF(AQ83&gt;=1,1,0)+IF(AR83&gt;=1,1,0)+IF(AS83&gt;=1,1,0)+IF(AT83&gt;=1,1,0))&gt;=5,"Diversificado (5+ verticales)",IF((IF(AL83&gt;=1,1,0)+IF(AM83&gt;=1,1,0)+IF(AN83&gt;=1,1,0)+IF(AO83&gt;=1,1,0)+IF(AP83&gt;=1,1,0)+IF(AQ83&gt;=1,1,0)+IF(AR83&gt;=1,1,0)+IF(AS83&gt;=1,1,0)+IF(AT83&gt;=1,1,0))&gt;=3,"Multi-capacidad (3-4 verticales)",IF((IF(AL83&gt;=1,1,0)+IF(AM83&gt;=1,1,0)+IF(AN83&gt;=1,1,0)+IF(AO83&gt;=1,1,0)+IF(AP83&gt;=1,1,0)+IF(AQ83&gt;=1,1,0)+IF(AR83&gt;=1,1,0)+IF(AS83&gt;=1,1,0)+IF(AT83&gt;=1,1,0))&gt;=1,"Especialista (1-2 verticales)","Sin función mapeada"))))</f>
        <v>Especialista (1-2 verticales)</v>
      </c>
    </row>
    <row r="84" spans="1:50" ht="24" customHeight="1" x14ac:dyDescent="0.2">
      <c r="A84" s="48" t="s">
        <v>1400</v>
      </c>
      <c r="B84" s="48" t="s">
        <v>1401</v>
      </c>
      <c r="C84" s="78" t="str">
        <f>IF(A84="","",IFERROR(INDEX('UNIVERSO MAESTRO'!$C$6:$C$497,MATCH(A84,'UNIVERSO MAESTRO'!$A$6:$A$497,0)),"⚠ ID no encontrado"))</f>
        <v>TEAM Marketing AG</v>
      </c>
      <c r="D84" s="79" t="str">
        <f>IF(A84="","",IFERROR(INDEX('UNIVERSO MAESTRO'!$D$6:$D$497,MATCH(A84,'UNIVERSO MAESTRO'!$A$6:$A$497,0)),""))</f>
        <v>V4</v>
      </c>
      <c r="E84" s="80" t="s">
        <v>353</v>
      </c>
      <c r="F84" s="80" t="s">
        <v>353</v>
      </c>
      <c r="G84" s="80" t="s">
        <v>353</v>
      </c>
      <c r="H84" s="80" t="s">
        <v>353</v>
      </c>
      <c r="I84" s="80" t="s">
        <v>353</v>
      </c>
      <c r="J84" s="80" t="s">
        <v>353</v>
      </c>
      <c r="K84" s="80" t="s">
        <v>353</v>
      </c>
      <c r="L84" s="80" t="s">
        <v>353</v>
      </c>
      <c r="M84" s="80" t="s">
        <v>353</v>
      </c>
      <c r="N84" s="80" t="s">
        <v>353</v>
      </c>
      <c r="O84" s="80" t="s">
        <v>353</v>
      </c>
      <c r="P84" s="80" t="s">
        <v>1530</v>
      </c>
      <c r="Q84" s="80" t="s">
        <v>1530</v>
      </c>
      <c r="R84" s="80" t="s">
        <v>353</v>
      </c>
      <c r="S84" s="80" t="s">
        <v>353</v>
      </c>
      <c r="T84" s="80" t="s">
        <v>353</v>
      </c>
      <c r="U84" s="80" t="s">
        <v>353</v>
      </c>
      <c r="V84" s="80" t="s">
        <v>353</v>
      </c>
      <c r="W84" s="80" t="s">
        <v>353</v>
      </c>
      <c r="X84" s="80" t="s">
        <v>353</v>
      </c>
      <c r="Y84" s="80" t="s">
        <v>353</v>
      </c>
      <c r="Z84" s="80" t="s">
        <v>353</v>
      </c>
      <c r="AA84" s="80" t="s">
        <v>353</v>
      </c>
      <c r="AB84" s="80" t="s">
        <v>353</v>
      </c>
      <c r="AC84" s="80" t="s">
        <v>353</v>
      </c>
      <c r="AD84" s="80" t="s">
        <v>353</v>
      </c>
      <c r="AE84" s="80" t="s">
        <v>353</v>
      </c>
      <c r="AF84" s="80" t="s">
        <v>353</v>
      </c>
      <c r="AG84" s="80" t="s">
        <v>353</v>
      </c>
      <c r="AH84" s="80" t="s">
        <v>353</v>
      </c>
      <c r="AI84" s="80" t="s">
        <v>353</v>
      </c>
      <c r="AJ84" s="80" t="s">
        <v>353</v>
      </c>
      <c r="AK84" s="80" t="s">
        <v>353</v>
      </c>
      <c r="AL84" s="81">
        <f>IF(E84="Sí",1,IF(E84="Parcial",0.5,0))+IF(F84="Sí",1,IF(F84="Parcial",0.5,0))+IF(G84="Sí",1,IF(G84="Parcial",0.5,0))+IF(H84="Sí",1,IF(H84="Parcial",0.5,0))</f>
        <v>0</v>
      </c>
      <c r="AM84" s="82">
        <f>IF(I84="Sí",1,IF(I84="Parcial",0.5,0))+IF(J84="Sí",1,IF(J84="Parcial",0.5,0))+IF(K84="Sí",1,IF(K84="Parcial",0.5,0))</f>
        <v>0</v>
      </c>
      <c r="AN84" s="83">
        <f>IF(L84="Sí",1,IF(L84="Parcial",0.5,0))+IF(M84="Sí",1,IF(M84="Parcial",0.5,0))+IF(N84="Sí",1,IF(N84="Parcial",0.5,0))+IF(O84="Sí",1,IF(O84="Parcial",0.5,0))</f>
        <v>0</v>
      </c>
      <c r="AO84" s="84">
        <f>IF(P84="Sí",1,IF(P84="Parcial",0.5,0))+IF(Q84="Sí",1,IF(Q84="Parcial",0.5,0))+IF(R84="Sí",1,IF(R84="Parcial",0.5,0))+IF(S84="Sí",1,IF(S84="Parcial",0.5,0))+IF(T84="Sí",1,IF(T84="Parcial",0.5,0))+IF(U84="Sí",1,IF(U84="Parcial",0.5,0))</f>
        <v>2</v>
      </c>
      <c r="AP84" s="85">
        <f>IF(V84="Sí",1,IF(V84="Parcial",0.5,0))+IF(W84="Sí",1,IF(W84="Parcial",0.5,0))+IF(X84="Sí",1,IF(X84="Parcial",0.5,0))+IF(Y84="Sí",1,IF(Y84="Parcial",0.5,0))</f>
        <v>0</v>
      </c>
      <c r="AQ84" s="86">
        <f>IF(Z84="Sí",1,IF(Z84="Parcial",0.5,0))+IF(AA84="Sí",1,IF(AA84="Parcial",0.5,0))+IF(AB84="Sí",1,IF(AB84="Parcial",0.5,0))</f>
        <v>0</v>
      </c>
      <c r="AR84" s="87">
        <f>IF(AC84="Sí",1,IF(AC84="Parcial",0.5,0))+IF(AD84="Sí",1,IF(AD84="Parcial",0.5,0))+IF(AE84="Sí",1,IF(AE84="Parcial",0.5,0))</f>
        <v>0</v>
      </c>
      <c r="AS84" s="88">
        <f>IF(AF84="Sí",1,IF(AF84="Parcial",0.5,0))+IF(AG84="Sí",1,IF(AG84="Parcial",0.5,0))+IF(AH84="Sí",1,IF(AH84="Parcial",0.5,0))</f>
        <v>0</v>
      </c>
      <c r="AT84" s="89">
        <f>IF(AI84="Sí",1,IF(AI84="Parcial",0.5,0))+IF(AJ84="Sí",1,IF(AJ84="Parcial",0.5,0))+IF(AK84="Sí",1,IF(AK84="Parcial",0.5,0))</f>
        <v>0</v>
      </c>
      <c r="AU84" s="90">
        <f>SUM(AL84,AM84,AN84,AO84,AP84,AQ84,AR84,AS84,AT84)</f>
        <v>2</v>
      </c>
      <c r="AV84" s="225">
        <f>IFERROR(IF(OR(A84="",AU84=0),"",AU84/(IF(AL84&gt;0,1,0)+IF(AM84&gt;0,1,0)+IF(AN84&gt;0,1,0)+IF(AO84&gt;0,1,0)+IF(AP84&gt;0,1,0)+IF(AQ84&gt;0,1,0)+IF(AR84&gt;0,1,0)+IF(AS84&gt;0,1,0)+IF(AT84&gt;0,1,0))),"")</f>
        <v>2</v>
      </c>
      <c r="AW84" s="225">
        <f>IFERROR(IF(OR(A84="",AU84=""),"",IF(AND(MAX($AU$8:$AU$156)=0,MAX($AV$8:$AV$156)=0),"",0.5*(AU84/MAX($AU$8:$AU$156))+0.5*(AV84/MAX($AV$8:$AV$156)))),"")</f>
        <v>0.3611111111111111</v>
      </c>
      <c r="AX84" s="79" t="str">
        <f>IF(A84="","",IF((IF(AL84&gt;=1,1,0)+IF(AM84&gt;=1,1,0)+IF(AN84&gt;=1,1,0)+IF(AO84&gt;=1,1,0)+IF(AP84&gt;=1,1,0)+IF(AQ84&gt;=1,1,0)+IF(AR84&gt;=1,1,0)+IF(AS84&gt;=1,1,0)+IF(AT84&gt;=1,1,0))&gt;=5,"Diversificado (5+ verticales)",IF((IF(AL84&gt;=1,1,0)+IF(AM84&gt;=1,1,0)+IF(AN84&gt;=1,1,0)+IF(AO84&gt;=1,1,0)+IF(AP84&gt;=1,1,0)+IF(AQ84&gt;=1,1,0)+IF(AR84&gt;=1,1,0)+IF(AS84&gt;=1,1,0)+IF(AT84&gt;=1,1,0))&gt;=3,"Multi-capacidad (3-4 verticales)",IF((IF(AL84&gt;=1,1,0)+IF(AM84&gt;=1,1,0)+IF(AN84&gt;=1,1,0)+IF(AO84&gt;=1,1,0)+IF(AP84&gt;=1,1,0)+IF(AQ84&gt;=1,1,0)+IF(AR84&gt;=1,1,0)+IF(AS84&gt;=1,1,0)+IF(AT84&gt;=1,1,0))&gt;=1,"Especialista (1-2 verticales)","Sin función mapeada"))))</f>
        <v>Especialista (1-2 verticales)</v>
      </c>
    </row>
    <row r="85" spans="1:50" ht="24" customHeight="1" x14ac:dyDescent="0.2">
      <c r="A85" s="48" t="s">
        <v>1474</v>
      </c>
      <c r="B85" s="48" t="s">
        <v>1475</v>
      </c>
      <c r="C85" s="78" t="str">
        <f>IF(A85="","",IFERROR(INDEX('UNIVERSO MAESTRO'!$C$6:$C$497,MATCH(A85,'UNIVERSO MAESTRO'!$A$6:$A$497,0)),"⚠ ID no encontrado"))</f>
        <v>Viva Aerobus + Volaris (fusión dic-2025)</v>
      </c>
      <c r="D85" s="79" t="str">
        <f>IF(A85="","",IFERROR(INDEX('UNIVERSO MAESTRO'!$D$6:$D$497,MATCH(A85,'UNIVERSO MAESTRO'!$A$6:$A$497,0)),""))</f>
        <v>V3</v>
      </c>
      <c r="E85" s="80" t="s">
        <v>353</v>
      </c>
      <c r="F85" s="80" t="s">
        <v>353</v>
      </c>
      <c r="G85" s="80" t="s">
        <v>353</v>
      </c>
      <c r="H85" s="80" t="s">
        <v>353</v>
      </c>
      <c r="I85" s="80" t="s">
        <v>353</v>
      </c>
      <c r="J85" s="80" t="s">
        <v>353</v>
      </c>
      <c r="K85" s="80" t="s">
        <v>353</v>
      </c>
      <c r="L85" s="80" t="s">
        <v>1530</v>
      </c>
      <c r="M85" s="80" t="s">
        <v>1530</v>
      </c>
      <c r="N85" s="80" t="s">
        <v>353</v>
      </c>
      <c r="O85" s="80" t="s">
        <v>353</v>
      </c>
      <c r="P85" s="80" t="s">
        <v>353</v>
      </c>
      <c r="Q85" s="80" t="s">
        <v>353</v>
      </c>
      <c r="R85" s="80" t="s">
        <v>353</v>
      </c>
      <c r="S85" s="80" t="s">
        <v>353</v>
      </c>
      <c r="T85" s="80" t="s">
        <v>353</v>
      </c>
      <c r="U85" s="80" t="s">
        <v>353</v>
      </c>
      <c r="V85" s="80" t="s">
        <v>353</v>
      </c>
      <c r="W85" s="80" t="s">
        <v>353</v>
      </c>
      <c r="X85" s="80" t="s">
        <v>353</v>
      </c>
      <c r="Y85" s="80" t="s">
        <v>353</v>
      </c>
      <c r="Z85" s="80" t="s">
        <v>353</v>
      </c>
      <c r="AA85" s="80" t="s">
        <v>353</v>
      </c>
      <c r="AB85" s="80" t="s">
        <v>353</v>
      </c>
      <c r="AC85" s="80" t="s">
        <v>353</v>
      </c>
      <c r="AD85" s="80" t="s">
        <v>353</v>
      </c>
      <c r="AE85" s="80" t="s">
        <v>353</v>
      </c>
      <c r="AF85" s="80" t="s">
        <v>353</v>
      </c>
      <c r="AG85" s="80" t="s">
        <v>353</v>
      </c>
      <c r="AH85" s="80" t="s">
        <v>353</v>
      </c>
      <c r="AI85" s="80" t="s">
        <v>353</v>
      </c>
      <c r="AJ85" s="80" t="s">
        <v>353</v>
      </c>
      <c r="AK85" s="80" t="s">
        <v>353</v>
      </c>
      <c r="AL85" s="81">
        <f>IF(E85="Sí",1,IF(E85="Parcial",0.5,0))+IF(F85="Sí",1,IF(F85="Parcial",0.5,0))+IF(G85="Sí",1,IF(G85="Parcial",0.5,0))+IF(H85="Sí",1,IF(H85="Parcial",0.5,0))</f>
        <v>0</v>
      </c>
      <c r="AM85" s="82">
        <f>IF(I85="Sí",1,IF(I85="Parcial",0.5,0))+IF(J85="Sí",1,IF(J85="Parcial",0.5,0))+IF(K85="Sí",1,IF(K85="Parcial",0.5,0))</f>
        <v>0</v>
      </c>
      <c r="AN85" s="83">
        <f>IF(L85="Sí",1,IF(L85="Parcial",0.5,0))+IF(M85="Sí",1,IF(M85="Parcial",0.5,0))+IF(N85="Sí",1,IF(N85="Parcial",0.5,0))+IF(O85="Sí",1,IF(O85="Parcial",0.5,0))</f>
        <v>2</v>
      </c>
      <c r="AO85" s="84">
        <f>IF(P85="Sí",1,IF(P85="Parcial",0.5,0))+IF(Q85="Sí",1,IF(Q85="Parcial",0.5,0))+IF(R85="Sí",1,IF(R85="Parcial",0.5,0))+IF(S85="Sí",1,IF(S85="Parcial",0.5,0))+IF(T85="Sí",1,IF(T85="Parcial",0.5,0))+IF(U85="Sí",1,IF(U85="Parcial",0.5,0))</f>
        <v>0</v>
      </c>
      <c r="AP85" s="85">
        <f>IF(V85="Sí",1,IF(V85="Parcial",0.5,0))+IF(W85="Sí",1,IF(W85="Parcial",0.5,0))+IF(X85="Sí",1,IF(X85="Parcial",0.5,0))+IF(Y85="Sí",1,IF(Y85="Parcial",0.5,0))</f>
        <v>0</v>
      </c>
      <c r="AQ85" s="86">
        <f>IF(Z85="Sí",1,IF(Z85="Parcial",0.5,0))+IF(AA85="Sí",1,IF(AA85="Parcial",0.5,0))+IF(AB85="Sí",1,IF(AB85="Parcial",0.5,0))</f>
        <v>0</v>
      </c>
      <c r="AR85" s="87">
        <f>IF(AC85="Sí",1,IF(AC85="Parcial",0.5,0))+IF(AD85="Sí",1,IF(AD85="Parcial",0.5,0))+IF(AE85="Sí",1,IF(AE85="Parcial",0.5,0))</f>
        <v>0</v>
      </c>
      <c r="AS85" s="88">
        <f>IF(AF85="Sí",1,IF(AF85="Parcial",0.5,0))+IF(AG85="Sí",1,IF(AG85="Parcial",0.5,0))+IF(AH85="Sí",1,IF(AH85="Parcial",0.5,0))</f>
        <v>0</v>
      </c>
      <c r="AT85" s="89">
        <f>IF(AI85="Sí",1,IF(AI85="Parcial",0.5,0))+IF(AJ85="Sí",1,IF(AJ85="Parcial",0.5,0))+IF(AK85="Sí",1,IF(AK85="Parcial",0.5,0))</f>
        <v>0</v>
      </c>
      <c r="AU85" s="90">
        <f>SUM(AL85,AM85,AN85,AO85,AP85,AQ85,AR85,AS85,AT85)</f>
        <v>2</v>
      </c>
      <c r="AV85" s="225">
        <f>IFERROR(IF(OR(A85="",AU85=0),"",AU85/(IF(AL85&gt;0,1,0)+IF(AM85&gt;0,1,0)+IF(AN85&gt;0,1,0)+IF(AO85&gt;0,1,0)+IF(AP85&gt;0,1,0)+IF(AQ85&gt;0,1,0)+IF(AR85&gt;0,1,0)+IF(AS85&gt;0,1,0)+IF(AT85&gt;0,1,0))),"")</f>
        <v>2</v>
      </c>
      <c r="AW85" s="225">
        <f>IFERROR(IF(OR(A85="",AU85=""),"",IF(AND(MAX($AU$8:$AU$156)=0,MAX($AV$8:$AV$156)=0),"",0.5*(AU85/MAX($AU$8:$AU$156))+0.5*(AV85/MAX($AV$8:$AV$156)))),"")</f>
        <v>0.3611111111111111</v>
      </c>
      <c r="AX85" s="79" t="str">
        <f>IF(A85="","",IF((IF(AL85&gt;=1,1,0)+IF(AM85&gt;=1,1,0)+IF(AN85&gt;=1,1,0)+IF(AO85&gt;=1,1,0)+IF(AP85&gt;=1,1,0)+IF(AQ85&gt;=1,1,0)+IF(AR85&gt;=1,1,0)+IF(AS85&gt;=1,1,0)+IF(AT85&gt;=1,1,0))&gt;=5,"Diversificado (5+ verticales)",IF((IF(AL85&gt;=1,1,0)+IF(AM85&gt;=1,1,0)+IF(AN85&gt;=1,1,0)+IF(AO85&gt;=1,1,0)+IF(AP85&gt;=1,1,0)+IF(AQ85&gt;=1,1,0)+IF(AR85&gt;=1,1,0)+IF(AS85&gt;=1,1,0)+IF(AT85&gt;=1,1,0))&gt;=3,"Multi-capacidad (3-4 verticales)",IF((IF(AL85&gt;=1,1,0)+IF(AM85&gt;=1,1,0)+IF(AN85&gt;=1,1,0)+IF(AO85&gt;=1,1,0)+IF(AP85&gt;=1,1,0)+IF(AQ85&gt;=1,1,0)+IF(AR85&gt;=1,1,0)+IF(AS85&gt;=1,1,0)+IF(AT85&gt;=1,1,0))&gt;=1,"Especialista (1-2 verticales)","Sin función mapeada"))))</f>
        <v>Especialista (1-2 verticales)</v>
      </c>
    </row>
    <row r="86" spans="1:50" ht="24" customHeight="1" x14ac:dyDescent="0.2">
      <c r="A86" s="48" t="s">
        <v>1500</v>
      </c>
      <c r="B86" s="48" t="s">
        <v>1501</v>
      </c>
      <c r="C86" s="78" t="str">
        <f>IF(A86="","",IFERROR(INDEX('UNIVERSO MAESTRO'!$C$6:$C$497,MATCH(A86,'UNIVERSO MAESTRO'!$A$6:$A$497,0)),"⚠ ID no encontrado"))</f>
        <v>World Boxing Council (WBC) — sede CDMX</v>
      </c>
      <c r="D86" s="79" t="str">
        <f>IF(A86="","",IFERROR(INDEX('UNIVERSO MAESTRO'!$D$6:$D$497,MATCH(A86,'UNIVERSO MAESTRO'!$A$6:$A$497,0)),""))</f>
        <v>V1</v>
      </c>
      <c r="E86" s="80" t="s">
        <v>353</v>
      </c>
      <c r="F86" s="80" t="s">
        <v>353</v>
      </c>
      <c r="G86" s="80" t="s">
        <v>1530</v>
      </c>
      <c r="H86" s="80" t="s">
        <v>1530</v>
      </c>
      <c r="I86" s="80" t="s">
        <v>353</v>
      </c>
      <c r="J86" s="80" t="s">
        <v>353</v>
      </c>
      <c r="K86" s="80" t="s">
        <v>353</v>
      </c>
      <c r="L86" s="80" t="s">
        <v>353</v>
      </c>
      <c r="M86" s="80" t="s">
        <v>353</v>
      </c>
      <c r="N86" s="80" t="s">
        <v>353</v>
      </c>
      <c r="O86" s="80" t="s">
        <v>353</v>
      </c>
      <c r="P86" s="80" t="s">
        <v>353</v>
      </c>
      <c r="Q86" s="80" t="s">
        <v>353</v>
      </c>
      <c r="R86" s="80" t="s">
        <v>353</v>
      </c>
      <c r="S86" s="80" t="s">
        <v>353</v>
      </c>
      <c r="T86" s="80" t="s">
        <v>353</v>
      </c>
      <c r="U86" s="80" t="s">
        <v>353</v>
      </c>
      <c r="V86" s="80" t="s">
        <v>353</v>
      </c>
      <c r="W86" s="80" t="s">
        <v>353</v>
      </c>
      <c r="X86" s="80" t="s">
        <v>353</v>
      </c>
      <c r="Y86" s="80" t="s">
        <v>353</v>
      </c>
      <c r="Z86" s="80" t="s">
        <v>353</v>
      </c>
      <c r="AA86" s="80" t="s">
        <v>353</v>
      </c>
      <c r="AB86" s="80" t="s">
        <v>353</v>
      </c>
      <c r="AC86" s="80" t="s">
        <v>353</v>
      </c>
      <c r="AD86" s="80" t="s">
        <v>353</v>
      </c>
      <c r="AE86" s="80" t="s">
        <v>353</v>
      </c>
      <c r="AF86" s="80" t="s">
        <v>353</v>
      </c>
      <c r="AG86" s="80" t="s">
        <v>353</v>
      </c>
      <c r="AH86" s="80" t="s">
        <v>353</v>
      </c>
      <c r="AI86" s="80" t="s">
        <v>353</v>
      </c>
      <c r="AJ86" s="80" t="s">
        <v>353</v>
      </c>
      <c r="AK86" s="80" t="s">
        <v>353</v>
      </c>
      <c r="AL86" s="81">
        <f>IF(E86="Sí",1,IF(E86="Parcial",0.5,0))+IF(F86="Sí",1,IF(F86="Parcial",0.5,0))+IF(G86="Sí",1,IF(G86="Parcial",0.5,0))+IF(H86="Sí",1,IF(H86="Parcial",0.5,0))</f>
        <v>2</v>
      </c>
      <c r="AM86" s="82">
        <f>IF(I86="Sí",1,IF(I86="Parcial",0.5,0))+IF(J86="Sí",1,IF(J86="Parcial",0.5,0))+IF(K86="Sí",1,IF(K86="Parcial",0.5,0))</f>
        <v>0</v>
      </c>
      <c r="AN86" s="83">
        <f>IF(L86="Sí",1,IF(L86="Parcial",0.5,0))+IF(M86="Sí",1,IF(M86="Parcial",0.5,0))+IF(N86="Sí",1,IF(N86="Parcial",0.5,0))+IF(O86="Sí",1,IF(O86="Parcial",0.5,0))</f>
        <v>0</v>
      </c>
      <c r="AO86" s="84">
        <f>IF(P86="Sí",1,IF(P86="Parcial",0.5,0))+IF(Q86="Sí",1,IF(Q86="Parcial",0.5,0))+IF(R86="Sí",1,IF(R86="Parcial",0.5,0))+IF(S86="Sí",1,IF(S86="Parcial",0.5,0))+IF(T86="Sí",1,IF(T86="Parcial",0.5,0))+IF(U86="Sí",1,IF(U86="Parcial",0.5,0))</f>
        <v>0</v>
      </c>
      <c r="AP86" s="85">
        <f>IF(V86="Sí",1,IF(V86="Parcial",0.5,0))+IF(W86="Sí",1,IF(W86="Parcial",0.5,0))+IF(X86="Sí",1,IF(X86="Parcial",0.5,0))+IF(Y86="Sí",1,IF(Y86="Parcial",0.5,0))</f>
        <v>0</v>
      </c>
      <c r="AQ86" s="86">
        <f>IF(Z86="Sí",1,IF(Z86="Parcial",0.5,0))+IF(AA86="Sí",1,IF(AA86="Parcial",0.5,0))+IF(AB86="Sí",1,IF(AB86="Parcial",0.5,0))</f>
        <v>0</v>
      </c>
      <c r="AR86" s="87">
        <f>IF(AC86="Sí",1,IF(AC86="Parcial",0.5,0))+IF(AD86="Sí",1,IF(AD86="Parcial",0.5,0))+IF(AE86="Sí",1,IF(AE86="Parcial",0.5,0))</f>
        <v>0</v>
      </c>
      <c r="AS86" s="88">
        <f>IF(AF86="Sí",1,IF(AF86="Parcial",0.5,0))+IF(AG86="Sí",1,IF(AG86="Parcial",0.5,0))+IF(AH86="Sí",1,IF(AH86="Parcial",0.5,0))</f>
        <v>0</v>
      </c>
      <c r="AT86" s="89">
        <f>IF(AI86="Sí",1,IF(AI86="Parcial",0.5,0))+IF(AJ86="Sí",1,IF(AJ86="Parcial",0.5,0))+IF(AK86="Sí",1,IF(AK86="Parcial",0.5,0))</f>
        <v>0</v>
      </c>
      <c r="AU86" s="90">
        <f>SUM(AL86,AM86,AN86,AO86,AP86,AQ86,AR86,AS86,AT86)</f>
        <v>2</v>
      </c>
      <c r="AV86" s="225">
        <f>IFERROR(IF(OR(A86="",AU86=0),"",AU86/(IF(AL86&gt;0,1,0)+IF(AM86&gt;0,1,0)+IF(AN86&gt;0,1,0)+IF(AO86&gt;0,1,0)+IF(AP86&gt;0,1,0)+IF(AQ86&gt;0,1,0)+IF(AR86&gt;0,1,0)+IF(AS86&gt;0,1,0)+IF(AT86&gt;0,1,0))),"")</f>
        <v>2</v>
      </c>
      <c r="AW86" s="225">
        <f>IFERROR(IF(OR(A86="",AU86=""),"",IF(AND(MAX($AU$8:$AU$156)=0,MAX($AV$8:$AV$156)=0),"",0.5*(AU86/MAX($AU$8:$AU$156))+0.5*(AV86/MAX($AV$8:$AV$156)))),"")</f>
        <v>0.3611111111111111</v>
      </c>
      <c r="AX86" s="79" t="str">
        <f>IF(A86="","",IF((IF(AL86&gt;=1,1,0)+IF(AM86&gt;=1,1,0)+IF(AN86&gt;=1,1,0)+IF(AO86&gt;=1,1,0)+IF(AP86&gt;=1,1,0)+IF(AQ86&gt;=1,1,0)+IF(AR86&gt;=1,1,0)+IF(AS86&gt;=1,1,0)+IF(AT86&gt;=1,1,0))&gt;=5,"Diversificado (5+ verticales)",IF((IF(AL86&gt;=1,1,0)+IF(AM86&gt;=1,1,0)+IF(AN86&gt;=1,1,0)+IF(AO86&gt;=1,1,0)+IF(AP86&gt;=1,1,0)+IF(AQ86&gt;=1,1,0)+IF(AR86&gt;=1,1,0)+IF(AS86&gt;=1,1,0)+IF(AT86&gt;=1,1,0))&gt;=3,"Multi-capacidad (3-4 verticales)",IF((IF(AL86&gt;=1,1,0)+IF(AM86&gt;=1,1,0)+IF(AN86&gt;=1,1,0)+IF(AO86&gt;=1,1,0)+IF(AP86&gt;=1,1,0)+IF(AQ86&gt;=1,1,0)+IF(AR86&gt;=1,1,0)+IF(AS86&gt;=1,1,0)+IF(AT86&gt;=1,1,0))&gt;=1,"Especialista (1-2 verticales)","Sin función mapeada"))))</f>
        <v>Especialista (1-2 verticales)</v>
      </c>
    </row>
    <row r="87" spans="1:50" ht="24" customHeight="1" x14ac:dyDescent="0.2">
      <c r="A87" s="48" t="s">
        <v>354</v>
      </c>
      <c r="B87" s="48" t="s">
        <v>355</v>
      </c>
      <c r="C87" s="78" t="str">
        <f>IF(A87="","",IFERROR(INDEX('UNIVERSO MAESTRO'!$C$6:$C$497,MATCH(A87,'UNIVERSO MAESTRO'!$A$6:$A$497,0)),"⚠ ID no encontrado"))</f>
        <v>Canelo Promotions / Saúl Álvarez</v>
      </c>
      <c r="D87" s="79" t="str">
        <f>IF(A87="","",IFERROR(INDEX('UNIVERSO MAESTRO'!$D$6:$D$497,MATCH(A87,'UNIVERSO MAESTRO'!$A$6:$A$497,0)),""))</f>
        <v>V1</v>
      </c>
      <c r="E87" s="80" t="s">
        <v>1530</v>
      </c>
      <c r="F87" s="80" t="s">
        <v>353</v>
      </c>
      <c r="G87" s="80" t="s">
        <v>1530</v>
      </c>
      <c r="H87" s="80" t="s">
        <v>353</v>
      </c>
      <c r="I87" s="80" t="s">
        <v>353</v>
      </c>
      <c r="J87" s="80" t="s">
        <v>3340</v>
      </c>
      <c r="K87" s="80" t="s">
        <v>3340</v>
      </c>
      <c r="L87" s="80" t="s">
        <v>353</v>
      </c>
      <c r="M87" s="80" t="s">
        <v>353</v>
      </c>
      <c r="N87" s="80" t="s">
        <v>353</v>
      </c>
      <c r="O87" s="80" t="s">
        <v>353</v>
      </c>
      <c r="P87" s="80" t="s">
        <v>353</v>
      </c>
      <c r="Q87" s="80" t="s">
        <v>353</v>
      </c>
      <c r="R87" s="80" t="s">
        <v>353</v>
      </c>
      <c r="S87" s="80" t="s">
        <v>353</v>
      </c>
      <c r="T87" s="80" t="s">
        <v>353</v>
      </c>
      <c r="U87" s="80" t="s">
        <v>353</v>
      </c>
      <c r="V87" s="80" t="s">
        <v>353</v>
      </c>
      <c r="W87" s="80" t="s">
        <v>353</v>
      </c>
      <c r="X87" s="80" t="s">
        <v>353</v>
      </c>
      <c r="Y87" s="80" t="s">
        <v>353</v>
      </c>
      <c r="Z87" s="80" t="s">
        <v>353</v>
      </c>
      <c r="AA87" s="80" t="s">
        <v>353</v>
      </c>
      <c r="AB87" s="80" t="s">
        <v>353</v>
      </c>
      <c r="AC87" s="80" t="s">
        <v>353</v>
      </c>
      <c r="AD87" s="80" t="s">
        <v>353</v>
      </c>
      <c r="AE87" s="80" t="s">
        <v>353</v>
      </c>
      <c r="AF87" s="80" t="s">
        <v>353</v>
      </c>
      <c r="AG87" s="80" t="s">
        <v>353</v>
      </c>
      <c r="AH87" s="80" t="s">
        <v>353</v>
      </c>
      <c r="AI87" s="80" t="s">
        <v>353</v>
      </c>
      <c r="AJ87" s="80" t="s">
        <v>353</v>
      </c>
      <c r="AK87" s="80" t="s">
        <v>353</v>
      </c>
      <c r="AL87" s="81">
        <f>IF(E87="Sí",1,IF(E87="Parcial",0.5,0))+IF(F87="Sí",1,IF(F87="Parcial",0.5,0))+IF(G87="Sí",1,IF(G87="Parcial",0.5,0))+IF(H87="Sí",1,IF(H87="Parcial",0.5,0))</f>
        <v>2</v>
      </c>
      <c r="AM87" s="82">
        <f>IF(I87="Sí",1,IF(I87="Parcial",0.5,0))+IF(J87="Sí",1,IF(J87="Parcial",0.5,0))+IF(K87="Sí",1,IF(K87="Parcial",0.5,0))</f>
        <v>1</v>
      </c>
      <c r="AN87" s="83">
        <f>IF(L87="Sí",1,IF(L87="Parcial",0.5,0))+IF(M87="Sí",1,IF(M87="Parcial",0.5,0))+IF(N87="Sí",1,IF(N87="Parcial",0.5,0))+IF(O87="Sí",1,IF(O87="Parcial",0.5,0))</f>
        <v>0</v>
      </c>
      <c r="AO87" s="84">
        <f>IF(P87="Sí",1,IF(P87="Parcial",0.5,0))+IF(Q87="Sí",1,IF(Q87="Parcial",0.5,0))+IF(R87="Sí",1,IF(R87="Parcial",0.5,0))+IF(S87="Sí",1,IF(S87="Parcial",0.5,0))+IF(T87="Sí",1,IF(T87="Parcial",0.5,0))+IF(U87="Sí",1,IF(U87="Parcial",0.5,0))</f>
        <v>0</v>
      </c>
      <c r="AP87" s="85">
        <f>IF(V87="Sí",1,IF(V87="Parcial",0.5,0))+IF(W87="Sí",1,IF(W87="Parcial",0.5,0))+IF(X87="Sí",1,IF(X87="Parcial",0.5,0))+IF(Y87="Sí",1,IF(Y87="Parcial",0.5,0))</f>
        <v>0</v>
      </c>
      <c r="AQ87" s="86">
        <f>IF(Z87="Sí",1,IF(Z87="Parcial",0.5,0))+IF(AA87="Sí",1,IF(AA87="Parcial",0.5,0))+IF(AB87="Sí",1,IF(AB87="Parcial",0.5,0))</f>
        <v>0</v>
      </c>
      <c r="AR87" s="87">
        <f>IF(AC87="Sí",1,IF(AC87="Parcial",0.5,0))+IF(AD87="Sí",1,IF(AD87="Parcial",0.5,0))+IF(AE87="Sí",1,IF(AE87="Parcial",0.5,0))</f>
        <v>0</v>
      </c>
      <c r="AS87" s="88">
        <f>IF(AF87="Sí",1,IF(AF87="Parcial",0.5,0))+IF(AG87="Sí",1,IF(AG87="Parcial",0.5,0))+IF(AH87="Sí",1,IF(AH87="Parcial",0.5,0))</f>
        <v>0</v>
      </c>
      <c r="AT87" s="89">
        <f>IF(AI87="Sí",1,IF(AI87="Parcial",0.5,0))+IF(AJ87="Sí",1,IF(AJ87="Parcial",0.5,0))+IF(AK87="Sí",1,IF(AK87="Parcial",0.5,0))</f>
        <v>0</v>
      </c>
      <c r="AU87" s="90">
        <f>SUM(AL87,AM87,AN87,AO87,AP87,AQ87,AR87,AS87,AT87)</f>
        <v>3</v>
      </c>
      <c r="AV87" s="225">
        <f>IFERROR(IF(OR(A87="",AU87=0),"",AU87/(IF(AL87&gt;0,1,0)+IF(AM87&gt;0,1,0)+IF(AN87&gt;0,1,0)+IF(AO87&gt;0,1,0)+IF(AP87&gt;0,1,0)+IF(AQ87&gt;0,1,0)+IF(AR87&gt;0,1,0)+IF(AS87&gt;0,1,0)+IF(AT87&gt;0,1,0))),"")</f>
        <v>1.5</v>
      </c>
      <c r="AW87" s="225">
        <f>IFERROR(IF(OR(A87="",AU87=""),"",IF(AND(MAX($AU$8:$AU$156)=0,MAX($AV$8:$AV$156)=0),"",0.5*(AU87/MAX($AU$8:$AU$156))+0.5*(AV87/MAX($AV$8:$AV$156)))),"")</f>
        <v>0.35416666666666663</v>
      </c>
      <c r="AX87" s="79" t="str">
        <f>IF(A87="","",IF((IF(AL87&gt;=1,1,0)+IF(AM87&gt;=1,1,0)+IF(AN87&gt;=1,1,0)+IF(AO87&gt;=1,1,0)+IF(AP87&gt;=1,1,0)+IF(AQ87&gt;=1,1,0)+IF(AR87&gt;=1,1,0)+IF(AS87&gt;=1,1,0)+IF(AT87&gt;=1,1,0))&gt;=5,"Diversificado (5+ verticales)",IF((IF(AL87&gt;=1,1,0)+IF(AM87&gt;=1,1,0)+IF(AN87&gt;=1,1,0)+IF(AO87&gt;=1,1,0)+IF(AP87&gt;=1,1,0)+IF(AQ87&gt;=1,1,0)+IF(AR87&gt;=1,1,0)+IF(AS87&gt;=1,1,0)+IF(AT87&gt;=1,1,0))&gt;=3,"Multi-capacidad (3-4 verticales)",IF((IF(AL87&gt;=1,1,0)+IF(AM87&gt;=1,1,0)+IF(AN87&gt;=1,1,0)+IF(AO87&gt;=1,1,0)+IF(AP87&gt;=1,1,0)+IF(AQ87&gt;=1,1,0)+IF(AR87&gt;=1,1,0)+IF(AS87&gt;=1,1,0)+IF(AT87&gt;=1,1,0))&gt;=1,"Especialista (1-2 verticales)","Sin función mapeada"))))</f>
        <v>Especialista (1-2 verticales)</v>
      </c>
    </row>
    <row r="88" spans="1:50" ht="24" customHeight="1" x14ac:dyDescent="0.2">
      <c r="A88" s="48" t="s">
        <v>413</v>
      </c>
      <c r="B88" s="48" t="s">
        <v>414</v>
      </c>
      <c r="C88" s="78" t="str">
        <f>IF(A88="","",IFERROR(INDEX('UNIVERSO MAESTRO'!$C$6:$C$497,MATCH(A88,'UNIVERSO MAESTRO'!$A$6:$A$497,0)),"⚠ ID no encontrado"))</f>
        <v>Club Necaxa</v>
      </c>
      <c r="D88" s="79" t="str">
        <f>IF(A88="","",IFERROR(INDEX('UNIVERSO MAESTRO'!$D$6:$D$497,MATCH(A88,'UNIVERSO MAESTRO'!$A$6:$A$497,0)),""))</f>
        <v>V1</v>
      </c>
      <c r="E88" s="80" t="s">
        <v>1530</v>
      </c>
      <c r="F88" s="80" t="s">
        <v>353</v>
      </c>
      <c r="G88" s="80" t="s">
        <v>1530</v>
      </c>
      <c r="H88" s="80" t="s">
        <v>353</v>
      </c>
      <c r="I88" s="80" t="s">
        <v>353</v>
      </c>
      <c r="J88" s="80" t="s">
        <v>353</v>
      </c>
      <c r="K88" s="80" t="s">
        <v>353</v>
      </c>
      <c r="L88" s="80" t="s">
        <v>353</v>
      </c>
      <c r="M88" s="80" t="s">
        <v>353</v>
      </c>
      <c r="N88" s="80" t="s">
        <v>353</v>
      </c>
      <c r="O88" s="80" t="s">
        <v>353</v>
      </c>
      <c r="P88" s="80" t="s">
        <v>353</v>
      </c>
      <c r="Q88" s="80" t="s">
        <v>353</v>
      </c>
      <c r="R88" s="80" t="s">
        <v>353</v>
      </c>
      <c r="S88" s="80" t="s">
        <v>353</v>
      </c>
      <c r="T88" s="80" t="s">
        <v>353</v>
      </c>
      <c r="U88" s="80" t="s">
        <v>353</v>
      </c>
      <c r="V88" s="80" t="s">
        <v>353</v>
      </c>
      <c r="W88" s="80" t="s">
        <v>353</v>
      </c>
      <c r="X88" s="80" t="s">
        <v>353</v>
      </c>
      <c r="Y88" s="80" t="s">
        <v>353</v>
      </c>
      <c r="Z88" s="80" t="s">
        <v>353</v>
      </c>
      <c r="AA88" s="80" t="s">
        <v>353</v>
      </c>
      <c r="AB88" s="80" t="s">
        <v>353</v>
      </c>
      <c r="AC88" s="80" t="s">
        <v>353</v>
      </c>
      <c r="AD88" s="80" t="s">
        <v>1530</v>
      </c>
      <c r="AE88" s="80" t="s">
        <v>353</v>
      </c>
      <c r="AF88" s="80" t="s">
        <v>353</v>
      </c>
      <c r="AG88" s="80" t="s">
        <v>353</v>
      </c>
      <c r="AH88" s="80" t="s">
        <v>353</v>
      </c>
      <c r="AI88" s="80" t="s">
        <v>353</v>
      </c>
      <c r="AJ88" s="80" t="s">
        <v>353</v>
      </c>
      <c r="AK88" s="80" t="s">
        <v>353</v>
      </c>
      <c r="AL88" s="81">
        <f>IF(E88="Sí",1,IF(E88="Parcial",0.5,0))+IF(F88="Sí",1,IF(F88="Parcial",0.5,0))+IF(G88="Sí",1,IF(G88="Parcial",0.5,0))+IF(H88="Sí",1,IF(H88="Parcial",0.5,0))</f>
        <v>2</v>
      </c>
      <c r="AM88" s="82">
        <f>IF(I88="Sí",1,IF(I88="Parcial",0.5,0))+IF(J88="Sí",1,IF(J88="Parcial",0.5,0))+IF(K88="Sí",1,IF(K88="Parcial",0.5,0))</f>
        <v>0</v>
      </c>
      <c r="AN88" s="83">
        <f>IF(L88="Sí",1,IF(L88="Parcial",0.5,0))+IF(M88="Sí",1,IF(M88="Parcial",0.5,0))+IF(N88="Sí",1,IF(N88="Parcial",0.5,0))+IF(O88="Sí",1,IF(O88="Parcial",0.5,0))</f>
        <v>0</v>
      </c>
      <c r="AO88" s="84">
        <f>IF(P88="Sí",1,IF(P88="Parcial",0.5,0))+IF(Q88="Sí",1,IF(Q88="Parcial",0.5,0))+IF(R88="Sí",1,IF(R88="Parcial",0.5,0))+IF(S88="Sí",1,IF(S88="Parcial",0.5,0))+IF(T88="Sí",1,IF(T88="Parcial",0.5,0))+IF(U88="Sí",1,IF(U88="Parcial",0.5,0))</f>
        <v>0</v>
      </c>
      <c r="AP88" s="85">
        <f>IF(V88="Sí",1,IF(V88="Parcial",0.5,0))+IF(W88="Sí",1,IF(W88="Parcial",0.5,0))+IF(X88="Sí",1,IF(X88="Parcial",0.5,0))+IF(Y88="Sí",1,IF(Y88="Parcial",0.5,0))</f>
        <v>0</v>
      </c>
      <c r="AQ88" s="86">
        <f>IF(Z88="Sí",1,IF(Z88="Parcial",0.5,0))+IF(AA88="Sí",1,IF(AA88="Parcial",0.5,0))+IF(AB88="Sí",1,IF(AB88="Parcial",0.5,0))</f>
        <v>0</v>
      </c>
      <c r="AR88" s="87">
        <f>IF(AC88="Sí",1,IF(AC88="Parcial",0.5,0))+IF(AD88="Sí",1,IF(AD88="Parcial",0.5,0))+IF(AE88="Sí",1,IF(AE88="Parcial",0.5,0))</f>
        <v>1</v>
      </c>
      <c r="AS88" s="88">
        <f>IF(AF88="Sí",1,IF(AF88="Parcial",0.5,0))+IF(AG88="Sí",1,IF(AG88="Parcial",0.5,0))+IF(AH88="Sí",1,IF(AH88="Parcial",0.5,0))</f>
        <v>0</v>
      </c>
      <c r="AT88" s="89">
        <f>IF(AI88="Sí",1,IF(AI88="Parcial",0.5,0))+IF(AJ88="Sí",1,IF(AJ88="Parcial",0.5,0))+IF(AK88="Sí",1,IF(AK88="Parcial",0.5,0))</f>
        <v>0</v>
      </c>
      <c r="AU88" s="90">
        <f>SUM(AL88,AM88,AN88,AO88,AP88,AQ88,AR88,AS88,AT88)</f>
        <v>3</v>
      </c>
      <c r="AV88" s="225">
        <f>IFERROR(IF(OR(A88="",AU88=0),"",AU88/(IF(AL88&gt;0,1,0)+IF(AM88&gt;0,1,0)+IF(AN88&gt;0,1,0)+IF(AO88&gt;0,1,0)+IF(AP88&gt;0,1,0)+IF(AQ88&gt;0,1,0)+IF(AR88&gt;0,1,0)+IF(AS88&gt;0,1,0)+IF(AT88&gt;0,1,0))),"")</f>
        <v>1.5</v>
      </c>
      <c r="AW88" s="225">
        <f>IFERROR(IF(OR(A88="",AU88=""),"",IF(AND(MAX($AU$8:$AU$156)=0,MAX($AV$8:$AV$156)=0),"",0.5*(AU88/MAX($AU$8:$AU$156))+0.5*(AV88/MAX($AV$8:$AV$156)))),"")</f>
        <v>0.35416666666666663</v>
      </c>
      <c r="AX88" s="79" t="str">
        <f>IF(A88="","",IF((IF(AL88&gt;=1,1,0)+IF(AM88&gt;=1,1,0)+IF(AN88&gt;=1,1,0)+IF(AO88&gt;=1,1,0)+IF(AP88&gt;=1,1,0)+IF(AQ88&gt;=1,1,0)+IF(AR88&gt;=1,1,0)+IF(AS88&gt;=1,1,0)+IF(AT88&gt;=1,1,0))&gt;=5,"Diversificado (5+ verticales)",IF((IF(AL88&gt;=1,1,0)+IF(AM88&gt;=1,1,0)+IF(AN88&gt;=1,1,0)+IF(AO88&gt;=1,1,0)+IF(AP88&gt;=1,1,0)+IF(AQ88&gt;=1,1,0)+IF(AR88&gt;=1,1,0)+IF(AS88&gt;=1,1,0)+IF(AT88&gt;=1,1,0))&gt;=3,"Multi-capacidad (3-4 verticales)",IF((IF(AL88&gt;=1,1,0)+IF(AM88&gt;=1,1,0)+IF(AN88&gt;=1,1,0)+IF(AO88&gt;=1,1,0)+IF(AP88&gt;=1,1,0)+IF(AQ88&gt;=1,1,0)+IF(AR88&gt;=1,1,0)+IF(AS88&gt;=1,1,0)+IF(AT88&gt;=1,1,0))&gt;=1,"Especialista (1-2 verticales)","Sin función mapeada"))))</f>
        <v>Especialista (1-2 verticales)</v>
      </c>
    </row>
    <row r="89" spans="1:50" ht="24" customHeight="1" x14ac:dyDescent="0.2">
      <c r="A89" s="48" t="s">
        <v>442</v>
      </c>
      <c r="B89" s="48" t="s">
        <v>443</v>
      </c>
      <c r="C89" s="78" t="str">
        <f>IF(A89="","",IFERROR(INDEX('UNIVERSO MAESTRO'!$C$6:$C$497,MATCH(A89,'UNIVERSO MAESTRO'!$A$6:$A$497,0)),"⚠ ID no encontrado"))</f>
        <v>Codere Online</v>
      </c>
      <c r="D89" s="79" t="str">
        <f>IF(A89="","",IFERROR(INDEX('UNIVERSO MAESTRO'!$D$6:$D$497,MATCH(A89,'UNIVERSO MAESTRO'!$A$6:$A$497,0)),""))</f>
        <v>V3</v>
      </c>
      <c r="E89" s="80" t="s">
        <v>353</v>
      </c>
      <c r="F89" s="80" t="s">
        <v>353</v>
      </c>
      <c r="G89" s="80" t="s">
        <v>353</v>
      </c>
      <c r="H89" s="80" t="s">
        <v>353</v>
      </c>
      <c r="I89" s="80" t="s">
        <v>353</v>
      </c>
      <c r="J89" s="80" t="s">
        <v>353</v>
      </c>
      <c r="K89" s="80" t="s">
        <v>353</v>
      </c>
      <c r="L89" s="80" t="s">
        <v>1530</v>
      </c>
      <c r="M89" s="80" t="s">
        <v>1530</v>
      </c>
      <c r="N89" s="80" t="s">
        <v>353</v>
      </c>
      <c r="O89" s="80" t="s">
        <v>353</v>
      </c>
      <c r="P89" s="80" t="s">
        <v>353</v>
      </c>
      <c r="Q89" s="80" t="s">
        <v>353</v>
      </c>
      <c r="R89" s="80" t="s">
        <v>353</v>
      </c>
      <c r="S89" s="80" t="s">
        <v>353</v>
      </c>
      <c r="T89" s="80" t="s">
        <v>353</v>
      </c>
      <c r="U89" s="80" t="s">
        <v>353</v>
      </c>
      <c r="V89" s="80" t="s">
        <v>353</v>
      </c>
      <c r="W89" s="80" t="s">
        <v>353</v>
      </c>
      <c r="X89" s="80" t="s">
        <v>353</v>
      </c>
      <c r="Y89" s="80" t="s">
        <v>353</v>
      </c>
      <c r="Z89" s="80" t="s">
        <v>353</v>
      </c>
      <c r="AA89" s="80" t="s">
        <v>353</v>
      </c>
      <c r="AB89" s="80" t="s">
        <v>353</v>
      </c>
      <c r="AC89" s="80" t="s">
        <v>353</v>
      </c>
      <c r="AD89" s="80" t="s">
        <v>353</v>
      </c>
      <c r="AE89" s="80" t="s">
        <v>353</v>
      </c>
      <c r="AF89" s="80" t="s">
        <v>1530</v>
      </c>
      <c r="AG89" s="80" t="s">
        <v>353</v>
      </c>
      <c r="AH89" s="80" t="s">
        <v>353</v>
      </c>
      <c r="AI89" s="80" t="s">
        <v>353</v>
      </c>
      <c r="AJ89" s="80" t="s">
        <v>353</v>
      </c>
      <c r="AK89" s="80" t="s">
        <v>353</v>
      </c>
      <c r="AL89" s="81">
        <f>IF(E89="Sí",1,IF(E89="Parcial",0.5,0))+IF(F89="Sí",1,IF(F89="Parcial",0.5,0))+IF(G89="Sí",1,IF(G89="Parcial",0.5,0))+IF(H89="Sí",1,IF(H89="Parcial",0.5,0))</f>
        <v>0</v>
      </c>
      <c r="AM89" s="82">
        <f>IF(I89="Sí",1,IF(I89="Parcial",0.5,0))+IF(J89="Sí",1,IF(J89="Parcial",0.5,0))+IF(K89="Sí",1,IF(K89="Parcial",0.5,0))</f>
        <v>0</v>
      </c>
      <c r="AN89" s="83">
        <f>IF(L89="Sí",1,IF(L89="Parcial",0.5,0))+IF(M89="Sí",1,IF(M89="Parcial",0.5,0))+IF(N89="Sí",1,IF(N89="Parcial",0.5,0))+IF(O89="Sí",1,IF(O89="Parcial",0.5,0))</f>
        <v>2</v>
      </c>
      <c r="AO89" s="84">
        <f>IF(P89="Sí",1,IF(P89="Parcial",0.5,0))+IF(Q89="Sí",1,IF(Q89="Parcial",0.5,0))+IF(R89="Sí",1,IF(R89="Parcial",0.5,0))+IF(S89="Sí",1,IF(S89="Parcial",0.5,0))+IF(T89="Sí",1,IF(T89="Parcial",0.5,0))+IF(U89="Sí",1,IF(U89="Parcial",0.5,0))</f>
        <v>0</v>
      </c>
      <c r="AP89" s="85">
        <f>IF(V89="Sí",1,IF(V89="Parcial",0.5,0))+IF(W89="Sí",1,IF(W89="Parcial",0.5,0))+IF(X89="Sí",1,IF(X89="Parcial",0.5,0))+IF(Y89="Sí",1,IF(Y89="Parcial",0.5,0))</f>
        <v>0</v>
      </c>
      <c r="AQ89" s="86">
        <f>IF(Z89="Sí",1,IF(Z89="Parcial",0.5,0))+IF(AA89="Sí",1,IF(AA89="Parcial",0.5,0))+IF(AB89="Sí",1,IF(AB89="Parcial",0.5,0))</f>
        <v>0</v>
      </c>
      <c r="AR89" s="87">
        <f>IF(AC89="Sí",1,IF(AC89="Parcial",0.5,0))+IF(AD89="Sí",1,IF(AD89="Parcial",0.5,0))+IF(AE89="Sí",1,IF(AE89="Parcial",0.5,0))</f>
        <v>0</v>
      </c>
      <c r="AS89" s="88">
        <f>IF(AF89="Sí",1,IF(AF89="Parcial",0.5,0))+IF(AG89="Sí",1,IF(AG89="Parcial",0.5,0))+IF(AH89="Sí",1,IF(AH89="Parcial",0.5,0))</f>
        <v>1</v>
      </c>
      <c r="AT89" s="89">
        <f>IF(AI89="Sí",1,IF(AI89="Parcial",0.5,0))+IF(AJ89="Sí",1,IF(AJ89="Parcial",0.5,0))+IF(AK89="Sí",1,IF(AK89="Parcial",0.5,0))</f>
        <v>0</v>
      </c>
      <c r="AU89" s="90">
        <f>SUM(AL89,AM89,AN89,AO89,AP89,AQ89,AR89,AS89,AT89)</f>
        <v>3</v>
      </c>
      <c r="AV89" s="225">
        <f>IFERROR(IF(OR(A89="",AU89=0),"",AU89/(IF(AL89&gt;0,1,0)+IF(AM89&gt;0,1,0)+IF(AN89&gt;0,1,0)+IF(AO89&gt;0,1,0)+IF(AP89&gt;0,1,0)+IF(AQ89&gt;0,1,0)+IF(AR89&gt;0,1,0)+IF(AS89&gt;0,1,0)+IF(AT89&gt;0,1,0))),"")</f>
        <v>1.5</v>
      </c>
      <c r="AW89" s="225">
        <f>IFERROR(IF(OR(A89="",AU89=""),"",IF(AND(MAX($AU$8:$AU$156)=0,MAX($AV$8:$AV$156)=0),"",0.5*(AU89/MAX($AU$8:$AU$156))+0.5*(AV89/MAX($AV$8:$AV$156)))),"")</f>
        <v>0.35416666666666663</v>
      </c>
      <c r="AX89" s="79" t="str">
        <f>IF(A89="","",IF((IF(AL89&gt;=1,1,0)+IF(AM89&gt;=1,1,0)+IF(AN89&gt;=1,1,0)+IF(AO89&gt;=1,1,0)+IF(AP89&gt;=1,1,0)+IF(AQ89&gt;=1,1,0)+IF(AR89&gt;=1,1,0)+IF(AS89&gt;=1,1,0)+IF(AT89&gt;=1,1,0))&gt;=5,"Diversificado (5+ verticales)",IF((IF(AL89&gt;=1,1,0)+IF(AM89&gt;=1,1,0)+IF(AN89&gt;=1,1,0)+IF(AO89&gt;=1,1,0)+IF(AP89&gt;=1,1,0)+IF(AQ89&gt;=1,1,0)+IF(AR89&gt;=1,1,0)+IF(AS89&gt;=1,1,0)+IF(AT89&gt;=1,1,0))&gt;=3,"Multi-capacidad (3-4 verticales)",IF((IF(AL89&gt;=1,1,0)+IF(AM89&gt;=1,1,0)+IF(AN89&gt;=1,1,0)+IF(AO89&gt;=1,1,0)+IF(AP89&gt;=1,1,0)+IF(AQ89&gt;=1,1,0)+IF(AR89&gt;=1,1,0)+IF(AS89&gt;=1,1,0)+IF(AT89&gt;=1,1,0))&gt;=1,"Especialista (1-2 verticales)","Sin función mapeada"))))</f>
        <v>Especialista (1-2 verticales)</v>
      </c>
    </row>
    <row r="90" spans="1:50" ht="24" customHeight="1" x14ac:dyDescent="0.2">
      <c r="A90" s="48" t="s">
        <v>803</v>
      </c>
      <c r="B90" s="48" t="s">
        <v>804</v>
      </c>
      <c r="C90" s="78" t="str">
        <f>IF(A90="","",IFERROR(INDEX('UNIVERSO MAESTRO'!$C$6:$C$497,MATCH(A90,'UNIVERSO MAESTRO'!$A$6:$A$497,0)),"⚠ ID no encontrado"))</f>
        <v>Grupo PRODI / José Miguel Bejos</v>
      </c>
      <c r="D90" s="79" t="str">
        <f>IF(A90="","",IFERROR(INDEX('UNIVERSO MAESTRO'!$D$6:$D$497,MATCH(A90,'UNIVERSO MAESTRO'!$A$6:$A$497,0)),""))</f>
        <v>V9</v>
      </c>
      <c r="E90" s="80" t="s">
        <v>1530</v>
      </c>
      <c r="F90" s="80" t="s">
        <v>353</v>
      </c>
      <c r="G90" s="80" t="s">
        <v>1530</v>
      </c>
      <c r="H90" s="80" t="s">
        <v>353</v>
      </c>
      <c r="I90" s="80" t="s">
        <v>353</v>
      </c>
      <c r="J90" s="80" t="s">
        <v>353</v>
      </c>
      <c r="K90" s="80" t="s">
        <v>353</v>
      </c>
      <c r="L90" s="80" t="s">
        <v>353</v>
      </c>
      <c r="M90" s="80" t="s">
        <v>353</v>
      </c>
      <c r="N90" s="80" t="s">
        <v>353</v>
      </c>
      <c r="O90" s="80" t="s">
        <v>353</v>
      </c>
      <c r="P90" s="80" t="s">
        <v>353</v>
      </c>
      <c r="Q90" s="80" t="s">
        <v>353</v>
      </c>
      <c r="R90" s="80" t="s">
        <v>353</v>
      </c>
      <c r="S90" s="80" t="s">
        <v>353</v>
      </c>
      <c r="T90" s="80" t="s">
        <v>353</v>
      </c>
      <c r="U90" s="80" t="s">
        <v>353</v>
      </c>
      <c r="V90" s="80" t="s">
        <v>353</v>
      </c>
      <c r="W90" s="80" t="s">
        <v>353</v>
      </c>
      <c r="X90" s="80" t="s">
        <v>353</v>
      </c>
      <c r="Y90" s="80" t="s">
        <v>353</v>
      </c>
      <c r="Z90" s="80" t="s">
        <v>353</v>
      </c>
      <c r="AA90" s="80" t="s">
        <v>353</v>
      </c>
      <c r="AB90" s="80" t="s">
        <v>353</v>
      </c>
      <c r="AC90" s="80" t="s">
        <v>353</v>
      </c>
      <c r="AD90" s="80" t="s">
        <v>353</v>
      </c>
      <c r="AE90" s="80" t="s">
        <v>353</v>
      </c>
      <c r="AF90" s="80" t="s">
        <v>353</v>
      </c>
      <c r="AG90" s="80" t="s">
        <v>353</v>
      </c>
      <c r="AH90" s="80" t="s">
        <v>353</v>
      </c>
      <c r="AI90" s="80" t="s">
        <v>1530</v>
      </c>
      <c r="AJ90" s="80" t="s">
        <v>353</v>
      </c>
      <c r="AK90" s="80" t="s">
        <v>353</v>
      </c>
      <c r="AL90" s="81">
        <f>IF(E90="Sí",1,IF(E90="Parcial",0.5,0))+IF(F90="Sí",1,IF(F90="Parcial",0.5,0))+IF(G90="Sí",1,IF(G90="Parcial",0.5,0))+IF(H90="Sí",1,IF(H90="Parcial",0.5,0))</f>
        <v>2</v>
      </c>
      <c r="AM90" s="82">
        <f>IF(I90="Sí",1,IF(I90="Parcial",0.5,0))+IF(J90="Sí",1,IF(J90="Parcial",0.5,0))+IF(K90="Sí",1,IF(K90="Parcial",0.5,0))</f>
        <v>0</v>
      </c>
      <c r="AN90" s="83">
        <f>IF(L90="Sí",1,IF(L90="Parcial",0.5,0))+IF(M90="Sí",1,IF(M90="Parcial",0.5,0))+IF(N90="Sí",1,IF(N90="Parcial",0.5,0))+IF(O90="Sí",1,IF(O90="Parcial",0.5,0))</f>
        <v>0</v>
      </c>
      <c r="AO90" s="84">
        <f>IF(P90="Sí",1,IF(P90="Parcial",0.5,0))+IF(Q90="Sí",1,IF(Q90="Parcial",0.5,0))+IF(R90="Sí",1,IF(R90="Parcial",0.5,0))+IF(S90="Sí",1,IF(S90="Parcial",0.5,0))+IF(T90="Sí",1,IF(T90="Parcial",0.5,0))+IF(U90="Sí",1,IF(U90="Parcial",0.5,0))</f>
        <v>0</v>
      </c>
      <c r="AP90" s="85">
        <f>IF(V90="Sí",1,IF(V90="Parcial",0.5,0))+IF(W90="Sí",1,IF(W90="Parcial",0.5,0))+IF(X90="Sí",1,IF(X90="Parcial",0.5,0))+IF(Y90="Sí",1,IF(Y90="Parcial",0.5,0))</f>
        <v>0</v>
      </c>
      <c r="AQ90" s="86">
        <f>IF(Z90="Sí",1,IF(Z90="Parcial",0.5,0))+IF(AA90="Sí",1,IF(AA90="Parcial",0.5,0))+IF(AB90="Sí",1,IF(AB90="Parcial",0.5,0))</f>
        <v>0</v>
      </c>
      <c r="AR90" s="87">
        <f>IF(AC90="Sí",1,IF(AC90="Parcial",0.5,0))+IF(AD90="Sí",1,IF(AD90="Parcial",0.5,0))+IF(AE90="Sí",1,IF(AE90="Parcial",0.5,0))</f>
        <v>0</v>
      </c>
      <c r="AS90" s="88">
        <f>IF(AF90="Sí",1,IF(AF90="Parcial",0.5,0))+IF(AG90="Sí",1,IF(AG90="Parcial",0.5,0))+IF(AH90="Sí",1,IF(AH90="Parcial",0.5,0))</f>
        <v>0</v>
      </c>
      <c r="AT90" s="89">
        <f>IF(AI90="Sí",1,IF(AI90="Parcial",0.5,0))+IF(AJ90="Sí",1,IF(AJ90="Parcial",0.5,0))+IF(AK90="Sí",1,IF(AK90="Parcial",0.5,0))</f>
        <v>1</v>
      </c>
      <c r="AU90" s="90">
        <f>SUM(AL90,AM90,AN90,AO90,AP90,AQ90,AR90,AS90,AT90)</f>
        <v>3</v>
      </c>
      <c r="AV90" s="225">
        <f>IFERROR(IF(OR(A90="",AU90=0),"",AU90/(IF(AL90&gt;0,1,0)+IF(AM90&gt;0,1,0)+IF(AN90&gt;0,1,0)+IF(AO90&gt;0,1,0)+IF(AP90&gt;0,1,0)+IF(AQ90&gt;0,1,0)+IF(AR90&gt;0,1,0)+IF(AS90&gt;0,1,0)+IF(AT90&gt;0,1,0))),"")</f>
        <v>1.5</v>
      </c>
      <c r="AW90" s="225">
        <f>IFERROR(IF(OR(A90="",AU90=""),"",IF(AND(MAX($AU$8:$AU$156)=0,MAX($AV$8:$AV$156)=0),"",0.5*(AU90/MAX($AU$8:$AU$156))+0.5*(AV90/MAX($AV$8:$AV$156)))),"")</f>
        <v>0.35416666666666663</v>
      </c>
      <c r="AX90" s="79" t="str">
        <f>IF(A90="","",IF((IF(AL90&gt;=1,1,0)+IF(AM90&gt;=1,1,0)+IF(AN90&gt;=1,1,0)+IF(AO90&gt;=1,1,0)+IF(AP90&gt;=1,1,0)+IF(AQ90&gt;=1,1,0)+IF(AR90&gt;=1,1,0)+IF(AS90&gt;=1,1,0)+IF(AT90&gt;=1,1,0))&gt;=5,"Diversificado (5+ verticales)",IF((IF(AL90&gt;=1,1,0)+IF(AM90&gt;=1,1,0)+IF(AN90&gt;=1,1,0)+IF(AO90&gt;=1,1,0)+IF(AP90&gt;=1,1,0)+IF(AQ90&gt;=1,1,0)+IF(AR90&gt;=1,1,0)+IF(AS90&gt;=1,1,0)+IF(AT90&gt;=1,1,0))&gt;=3,"Multi-capacidad (3-4 verticales)",IF((IF(AL90&gt;=1,1,0)+IF(AM90&gt;=1,1,0)+IF(AN90&gt;=1,1,0)+IF(AO90&gt;=1,1,0)+IF(AP90&gt;=1,1,0)+IF(AQ90&gt;=1,1,0)+IF(AR90&gt;=1,1,0)+IF(AS90&gt;=1,1,0)+IF(AT90&gt;=1,1,0))&gt;=1,"Especialista (1-2 verticales)","Sin función mapeada"))))</f>
        <v>Especialista (1-2 verticales)</v>
      </c>
    </row>
    <row r="91" spans="1:50" ht="24" customHeight="1" x14ac:dyDescent="0.2">
      <c r="A91" s="48" t="s">
        <v>920</v>
      </c>
      <c r="B91" s="48" t="s">
        <v>921</v>
      </c>
      <c r="C91" s="78" t="str">
        <f>IF(A91="","",IFERROR(INDEX('UNIVERSO MAESTRO'!$C$6:$C$497,MATCH(A91,'UNIVERSO MAESTRO'!$A$6:$A$497,0)),"⚠ ID no encontrado"))</f>
        <v>KAGR (Kraft Analytics Group)</v>
      </c>
      <c r="D91" s="79" t="str">
        <f>IF(A91="","",IFERROR(INDEX('UNIVERSO MAESTRO'!$D$6:$D$497,MATCH(A91,'UNIVERSO MAESTRO'!$A$6:$A$497,0)),""))</f>
        <v>V8</v>
      </c>
      <c r="E91" s="80" t="s">
        <v>353</v>
      </c>
      <c r="F91" s="80" t="s">
        <v>353</v>
      </c>
      <c r="G91" s="80" t="s">
        <v>353</v>
      </c>
      <c r="H91" s="80" t="s">
        <v>353</v>
      </c>
      <c r="I91" s="80" t="s">
        <v>353</v>
      </c>
      <c r="J91" s="80" t="s">
        <v>353</v>
      </c>
      <c r="K91" s="80" t="s">
        <v>353</v>
      </c>
      <c r="L91" s="80" t="s">
        <v>353</v>
      </c>
      <c r="M91" s="80" t="s">
        <v>353</v>
      </c>
      <c r="N91" s="80" t="s">
        <v>353</v>
      </c>
      <c r="O91" s="80" t="s">
        <v>353</v>
      </c>
      <c r="P91" s="80" t="s">
        <v>1530</v>
      </c>
      <c r="Q91" s="80" t="s">
        <v>353</v>
      </c>
      <c r="R91" s="80" t="s">
        <v>353</v>
      </c>
      <c r="S91" s="80" t="s">
        <v>353</v>
      </c>
      <c r="T91" s="80" t="s">
        <v>353</v>
      </c>
      <c r="U91" s="80" t="s">
        <v>1530</v>
      </c>
      <c r="V91" s="80" t="s">
        <v>353</v>
      </c>
      <c r="W91" s="80" t="s">
        <v>353</v>
      </c>
      <c r="X91" s="80" t="s">
        <v>353</v>
      </c>
      <c r="Y91" s="80" t="s">
        <v>353</v>
      </c>
      <c r="Z91" s="80" t="s">
        <v>353</v>
      </c>
      <c r="AA91" s="80" t="s">
        <v>353</v>
      </c>
      <c r="AB91" s="80" t="s">
        <v>353</v>
      </c>
      <c r="AC91" s="80" t="s">
        <v>353</v>
      </c>
      <c r="AD91" s="80" t="s">
        <v>353</v>
      </c>
      <c r="AE91" s="80" t="s">
        <v>353</v>
      </c>
      <c r="AF91" s="80" t="s">
        <v>353</v>
      </c>
      <c r="AG91" s="80" t="s">
        <v>1530</v>
      </c>
      <c r="AH91" s="80" t="s">
        <v>353</v>
      </c>
      <c r="AI91" s="80" t="s">
        <v>353</v>
      </c>
      <c r="AJ91" s="80" t="s">
        <v>353</v>
      </c>
      <c r="AK91" s="80" t="s">
        <v>353</v>
      </c>
      <c r="AL91" s="81">
        <f>IF(E91="Sí",1,IF(E91="Parcial",0.5,0))+IF(F91="Sí",1,IF(F91="Parcial",0.5,0))+IF(G91="Sí",1,IF(G91="Parcial",0.5,0))+IF(H91="Sí",1,IF(H91="Parcial",0.5,0))</f>
        <v>0</v>
      </c>
      <c r="AM91" s="82">
        <f>IF(I91="Sí",1,IF(I91="Parcial",0.5,0))+IF(J91="Sí",1,IF(J91="Parcial",0.5,0))+IF(K91="Sí",1,IF(K91="Parcial",0.5,0))</f>
        <v>0</v>
      </c>
      <c r="AN91" s="83">
        <f>IF(L91="Sí",1,IF(L91="Parcial",0.5,0))+IF(M91="Sí",1,IF(M91="Parcial",0.5,0))+IF(N91="Sí",1,IF(N91="Parcial",0.5,0))+IF(O91="Sí",1,IF(O91="Parcial",0.5,0))</f>
        <v>0</v>
      </c>
      <c r="AO91" s="84">
        <f>IF(P91="Sí",1,IF(P91="Parcial",0.5,0))+IF(Q91="Sí",1,IF(Q91="Parcial",0.5,0))+IF(R91="Sí",1,IF(R91="Parcial",0.5,0))+IF(S91="Sí",1,IF(S91="Parcial",0.5,0))+IF(T91="Sí",1,IF(T91="Parcial",0.5,0))+IF(U91="Sí",1,IF(U91="Parcial",0.5,0))</f>
        <v>2</v>
      </c>
      <c r="AP91" s="85">
        <f>IF(V91="Sí",1,IF(V91="Parcial",0.5,0))+IF(W91="Sí",1,IF(W91="Parcial",0.5,0))+IF(X91="Sí",1,IF(X91="Parcial",0.5,0))+IF(Y91="Sí",1,IF(Y91="Parcial",0.5,0))</f>
        <v>0</v>
      </c>
      <c r="AQ91" s="86">
        <f>IF(Z91="Sí",1,IF(Z91="Parcial",0.5,0))+IF(AA91="Sí",1,IF(AA91="Parcial",0.5,0))+IF(AB91="Sí",1,IF(AB91="Parcial",0.5,0))</f>
        <v>0</v>
      </c>
      <c r="AR91" s="87">
        <f>IF(AC91="Sí",1,IF(AC91="Parcial",0.5,0))+IF(AD91="Sí",1,IF(AD91="Parcial",0.5,0))+IF(AE91="Sí",1,IF(AE91="Parcial",0.5,0))</f>
        <v>0</v>
      </c>
      <c r="AS91" s="88">
        <f>IF(AF91="Sí",1,IF(AF91="Parcial",0.5,0))+IF(AG91="Sí",1,IF(AG91="Parcial",0.5,0))+IF(AH91="Sí",1,IF(AH91="Parcial",0.5,0))</f>
        <v>1</v>
      </c>
      <c r="AT91" s="89">
        <f>IF(AI91="Sí",1,IF(AI91="Parcial",0.5,0))+IF(AJ91="Sí",1,IF(AJ91="Parcial",0.5,0))+IF(AK91="Sí",1,IF(AK91="Parcial",0.5,0))</f>
        <v>0</v>
      </c>
      <c r="AU91" s="90">
        <f>SUM(AL91,AM91,AN91,AO91,AP91,AQ91,AR91,AS91,AT91)</f>
        <v>3</v>
      </c>
      <c r="AV91" s="225">
        <f>IFERROR(IF(OR(A91="",AU91=0),"",AU91/(IF(AL91&gt;0,1,0)+IF(AM91&gt;0,1,0)+IF(AN91&gt;0,1,0)+IF(AO91&gt;0,1,0)+IF(AP91&gt;0,1,0)+IF(AQ91&gt;0,1,0)+IF(AR91&gt;0,1,0)+IF(AS91&gt;0,1,0)+IF(AT91&gt;0,1,0))),"")</f>
        <v>1.5</v>
      </c>
      <c r="AW91" s="225">
        <f>IFERROR(IF(OR(A91="",AU91=""),"",IF(AND(MAX($AU$8:$AU$156)=0,MAX($AV$8:$AV$156)=0),"",0.5*(AU91/MAX($AU$8:$AU$156))+0.5*(AV91/MAX($AV$8:$AV$156)))),"")</f>
        <v>0.35416666666666663</v>
      </c>
      <c r="AX91" s="79" t="str">
        <f>IF(A91="","",IF((IF(AL91&gt;=1,1,0)+IF(AM91&gt;=1,1,0)+IF(AN91&gt;=1,1,0)+IF(AO91&gt;=1,1,0)+IF(AP91&gt;=1,1,0)+IF(AQ91&gt;=1,1,0)+IF(AR91&gt;=1,1,0)+IF(AS91&gt;=1,1,0)+IF(AT91&gt;=1,1,0))&gt;=5,"Diversificado (5+ verticales)",IF((IF(AL91&gt;=1,1,0)+IF(AM91&gt;=1,1,0)+IF(AN91&gt;=1,1,0)+IF(AO91&gt;=1,1,0)+IF(AP91&gt;=1,1,0)+IF(AQ91&gt;=1,1,0)+IF(AR91&gt;=1,1,0)+IF(AS91&gt;=1,1,0)+IF(AT91&gt;=1,1,0))&gt;=3,"Multi-capacidad (3-4 verticales)",IF((IF(AL91&gt;=1,1,0)+IF(AM91&gt;=1,1,0)+IF(AN91&gt;=1,1,0)+IF(AO91&gt;=1,1,0)+IF(AP91&gt;=1,1,0)+IF(AQ91&gt;=1,1,0)+IF(AR91&gt;=1,1,0)+IF(AS91&gt;=1,1,0)+IF(AT91&gt;=1,1,0))&gt;=1,"Especialista (1-2 verticales)","Sin función mapeada"))))</f>
        <v>Especialista (1-2 verticales)</v>
      </c>
    </row>
    <row r="92" spans="1:50" ht="24" customHeight="1" x14ac:dyDescent="0.2">
      <c r="A92" s="48" t="s">
        <v>1242</v>
      </c>
      <c r="B92" s="48" t="s">
        <v>1243</v>
      </c>
      <c r="C92" s="78" t="str">
        <f>IF(A92="","",IFERROR(INDEX('UNIVERSO MAESTRO'!$C$6:$C$497,MATCH(A92,'UNIVERSO MAESTRO'!$A$6:$A$497,0)),"⚠ ID no encontrado"))</f>
        <v>Pumas UNAM</v>
      </c>
      <c r="D92" s="79" t="str">
        <f>IF(A92="","",IFERROR(INDEX('UNIVERSO MAESTRO'!$D$6:$D$497,MATCH(A92,'UNIVERSO MAESTRO'!$A$6:$A$497,0)),""))</f>
        <v>V1</v>
      </c>
      <c r="E92" s="80" t="s">
        <v>1530</v>
      </c>
      <c r="F92" s="80" t="s">
        <v>353</v>
      </c>
      <c r="G92" s="80" t="s">
        <v>1530</v>
      </c>
      <c r="H92" s="80" t="s">
        <v>353</v>
      </c>
      <c r="I92" s="80" t="s">
        <v>353</v>
      </c>
      <c r="J92" s="80" t="s">
        <v>353</v>
      </c>
      <c r="K92" s="80" t="s">
        <v>353</v>
      </c>
      <c r="L92" s="80" t="s">
        <v>353</v>
      </c>
      <c r="M92" s="80" t="s">
        <v>353</v>
      </c>
      <c r="N92" s="80" t="s">
        <v>353</v>
      </c>
      <c r="O92" s="80" t="s">
        <v>353</v>
      </c>
      <c r="P92" s="80" t="s">
        <v>353</v>
      </c>
      <c r="Q92" s="80" t="s">
        <v>353</v>
      </c>
      <c r="R92" s="80" t="s">
        <v>353</v>
      </c>
      <c r="S92" s="80" t="s">
        <v>353</v>
      </c>
      <c r="T92" s="80" t="s">
        <v>353</v>
      </c>
      <c r="U92" s="80" t="s">
        <v>353</v>
      </c>
      <c r="V92" s="80" t="s">
        <v>353</v>
      </c>
      <c r="W92" s="80" t="s">
        <v>353</v>
      </c>
      <c r="X92" s="80" t="s">
        <v>353</v>
      </c>
      <c r="Y92" s="80" t="s">
        <v>353</v>
      </c>
      <c r="Z92" s="80" t="s">
        <v>353</v>
      </c>
      <c r="AA92" s="80" t="s">
        <v>353</v>
      </c>
      <c r="AB92" s="80" t="s">
        <v>353</v>
      </c>
      <c r="AC92" s="80" t="s">
        <v>353</v>
      </c>
      <c r="AD92" s="80" t="s">
        <v>1530</v>
      </c>
      <c r="AE92" s="80" t="s">
        <v>353</v>
      </c>
      <c r="AF92" s="80" t="s">
        <v>353</v>
      </c>
      <c r="AG92" s="80" t="s">
        <v>353</v>
      </c>
      <c r="AH92" s="80" t="s">
        <v>353</v>
      </c>
      <c r="AI92" s="80" t="s">
        <v>353</v>
      </c>
      <c r="AJ92" s="80" t="s">
        <v>353</v>
      </c>
      <c r="AK92" s="80" t="s">
        <v>353</v>
      </c>
      <c r="AL92" s="81">
        <f>IF(E92="Sí",1,IF(E92="Parcial",0.5,0))+IF(F92="Sí",1,IF(F92="Parcial",0.5,0))+IF(G92="Sí",1,IF(G92="Parcial",0.5,0))+IF(H92="Sí",1,IF(H92="Parcial",0.5,0))</f>
        <v>2</v>
      </c>
      <c r="AM92" s="82">
        <f>IF(I92="Sí",1,IF(I92="Parcial",0.5,0))+IF(J92="Sí",1,IF(J92="Parcial",0.5,0))+IF(K92="Sí",1,IF(K92="Parcial",0.5,0))</f>
        <v>0</v>
      </c>
      <c r="AN92" s="83">
        <f>IF(L92="Sí",1,IF(L92="Parcial",0.5,0))+IF(M92="Sí",1,IF(M92="Parcial",0.5,0))+IF(N92="Sí",1,IF(N92="Parcial",0.5,0))+IF(O92="Sí",1,IF(O92="Parcial",0.5,0))</f>
        <v>0</v>
      </c>
      <c r="AO92" s="84">
        <f>IF(P92="Sí",1,IF(P92="Parcial",0.5,0))+IF(Q92="Sí",1,IF(Q92="Parcial",0.5,0))+IF(R92="Sí",1,IF(R92="Parcial",0.5,0))+IF(S92="Sí",1,IF(S92="Parcial",0.5,0))+IF(T92="Sí",1,IF(T92="Parcial",0.5,0))+IF(U92="Sí",1,IF(U92="Parcial",0.5,0))</f>
        <v>0</v>
      </c>
      <c r="AP92" s="85">
        <f>IF(V92="Sí",1,IF(V92="Parcial",0.5,0))+IF(W92="Sí",1,IF(W92="Parcial",0.5,0))+IF(X92="Sí",1,IF(X92="Parcial",0.5,0))+IF(Y92="Sí",1,IF(Y92="Parcial",0.5,0))</f>
        <v>0</v>
      </c>
      <c r="AQ92" s="86">
        <f>IF(Z92="Sí",1,IF(Z92="Parcial",0.5,0))+IF(AA92="Sí",1,IF(AA92="Parcial",0.5,0))+IF(AB92="Sí",1,IF(AB92="Parcial",0.5,0))</f>
        <v>0</v>
      </c>
      <c r="AR92" s="87">
        <f>IF(AC92="Sí",1,IF(AC92="Parcial",0.5,0))+IF(AD92="Sí",1,IF(AD92="Parcial",0.5,0))+IF(AE92="Sí",1,IF(AE92="Parcial",0.5,0))</f>
        <v>1</v>
      </c>
      <c r="AS92" s="88">
        <f>IF(AF92="Sí",1,IF(AF92="Parcial",0.5,0))+IF(AG92="Sí",1,IF(AG92="Parcial",0.5,0))+IF(AH92="Sí",1,IF(AH92="Parcial",0.5,0))</f>
        <v>0</v>
      </c>
      <c r="AT92" s="89">
        <f>IF(AI92="Sí",1,IF(AI92="Parcial",0.5,0))+IF(AJ92="Sí",1,IF(AJ92="Parcial",0.5,0))+IF(AK92="Sí",1,IF(AK92="Parcial",0.5,0))</f>
        <v>0</v>
      </c>
      <c r="AU92" s="90">
        <f>SUM(AL92,AM92,AN92,AO92,AP92,AQ92,AR92,AS92,AT92)</f>
        <v>3</v>
      </c>
      <c r="AV92" s="225">
        <f>IFERROR(IF(OR(A92="",AU92=0),"",AU92/(IF(AL92&gt;0,1,0)+IF(AM92&gt;0,1,0)+IF(AN92&gt;0,1,0)+IF(AO92&gt;0,1,0)+IF(AP92&gt;0,1,0)+IF(AQ92&gt;0,1,0)+IF(AR92&gt;0,1,0)+IF(AS92&gt;0,1,0)+IF(AT92&gt;0,1,0))),"")</f>
        <v>1.5</v>
      </c>
      <c r="AW92" s="225">
        <f>IFERROR(IF(OR(A92="",AU92=""),"",IF(AND(MAX($AU$8:$AU$156)=0,MAX($AV$8:$AV$156)=0),"",0.5*(AU92/MAX($AU$8:$AU$156))+0.5*(AV92/MAX($AV$8:$AV$156)))),"")</f>
        <v>0.35416666666666663</v>
      </c>
      <c r="AX92" s="79" t="str">
        <f>IF(A92="","",IF((IF(AL92&gt;=1,1,0)+IF(AM92&gt;=1,1,0)+IF(AN92&gt;=1,1,0)+IF(AO92&gt;=1,1,0)+IF(AP92&gt;=1,1,0)+IF(AQ92&gt;=1,1,0)+IF(AR92&gt;=1,1,0)+IF(AS92&gt;=1,1,0)+IF(AT92&gt;=1,1,0))&gt;=5,"Diversificado (5+ verticales)",IF((IF(AL92&gt;=1,1,0)+IF(AM92&gt;=1,1,0)+IF(AN92&gt;=1,1,0)+IF(AO92&gt;=1,1,0)+IF(AP92&gt;=1,1,0)+IF(AQ92&gt;=1,1,0)+IF(AR92&gt;=1,1,0)+IF(AS92&gt;=1,1,0)+IF(AT92&gt;=1,1,0))&gt;=3,"Multi-capacidad (3-4 verticales)",IF((IF(AL92&gt;=1,1,0)+IF(AM92&gt;=1,1,0)+IF(AN92&gt;=1,1,0)+IF(AO92&gt;=1,1,0)+IF(AP92&gt;=1,1,0)+IF(AQ92&gt;=1,1,0)+IF(AR92&gt;=1,1,0)+IF(AS92&gt;=1,1,0)+IF(AT92&gt;=1,1,0))&gt;=1,"Especialista (1-2 verticales)","Sin función mapeada"))))</f>
        <v>Especialista (1-2 verticales)</v>
      </c>
    </row>
    <row r="93" spans="1:50" ht="24" customHeight="1" x14ac:dyDescent="0.2">
      <c r="A93" s="48" t="s">
        <v>1426</v>
      </c>
      <c r="B93" s="48" t="s">
        <v>1427</v>
      </c>
      <c r="C93" s="78" t="str">
        <f>IF(A93="","",IFERROR(INDEX('UNIVERSO MAESTRO'!$C$6:$C$497,MATCH(A93,'UNIVERSO MAESTRO'!$A$6:$A$497,0)),"⚠ ID no encontrado"))</f>
        <v>Tomateros de Culiacán (LMP)</v>
      </c>
      <c r="D93" s="79" t="str">
        <f>IF(A93="","",IFERROR(INDEX('UNIVERSO MAESTRO'!$D$6:$D$497,MATCH(A93,'UNIVERSO MAESTRO'!$A$6:$A$497,0)),""))</f>
        <v>V1</v>
      </c>
      <c r="E93" s="80" t="s">
        <v>1530</v>
      </c>
      <c r="F93" s="80" t="s">
        <v>353</v>
      </c>
      <c r="G93" s="80" t="s">
        <v>353</v>
      </c>
      <c r="H93" s="80" t="s">
        <v>353</v>
      </c>
      <c r="I93" s="80" t="s">
        <v>353</v>
      </c>
      <c r="J93" s="80" t="s">
        <v>353</v>
      </c>
      <c r="K93" s="80" t="s">
        <v>353</v>
      </c>
      <c r="L93" s="80" t="s">
        <v>353</v>
      </c>
      <c r="M93" s="80" t="s">
        <v>353</v>
      </c>
      <c r="N93" s="80" t="s">
        <v>353</v>
      </c>
      <c r="O93" s="80" t="s">
        <v>353</v>
      </c>
      <c r="P93" s="80" t="s">
        <v>353</v>
      </c>
      <c r="Q93" s="80" t="s">
        <v>353</v>
      </c>
      <c r="R93" s="80" t="s">
        <v>353</v>
      </c>
      <c r="S93" s="80" t="s">
        <v>353</v>
      </c>
      <c r="T93" s="80" t="s">
        <v>353</v>
      </c>
      <c r="U93" s="80" t="s">
        <v>353</v>
      </c>
      <c r="V93" s="80" t="s">
        <v>353</v>
      </c>
      <c r="W93" s="80" t="s">
        <v>353</v>
      </c>
      <c r="X93" s="80" t="s">
        <v>353</v>
      </c>
      <c r="Y93" s="80" t="s">
        <v>353</v>
      </c>
      <c r="Z93" s="80" t="s">
        <v>353</v>
      </c>
      <c r="AA93" s="80" t="s">
        <v>353</v>
      </c>
      <c r="AB93" s="80" t="s">
        <v>353</v>
      </c>
      <c r="AC93" s="80" t="s">
        <v>1530</v>
      </c>
      <c r="AD93" s="80" t="s">
        <v>1530</v>
      </c>
      <c r="AE93" s="80" t="s">
        <v>353</v>
      </c>
      <c r="AF93" s="80" t="s">
        <v>353</v>
      </c>
      <c r="AG93" s="80" t="s">
        <v>353</v>
      </c>
      <c r="AH93" s="80" t="s">
        <v>353</v>
      </c>
      <c r="AI93" s="80" t="s">
        <v>353</v>
      </c>
      <c r="AJ93" s="80" t="s">
        <v>353</v>
      </c>
      <c r="AK93" s="80" t="s">
        <v>353</v>
      </c>
      <c r="AL93" s="81">
        <f>IF(E93="Sí",1,IF(E93="Parcial",0.5,0))+IF(F93="Sí",1,IF(F93="Parcial",0.5,0))+IF(G93="Sí",1,IF(G93="Parcial",0.5,0))+IF(H93="Sí",1,IF(H93="Parcial",0.5,0))</f>
        <v>1</v>
      </c>
      <c r="AM93" s="82">
        <f>IF(I93="Sí",1,IF(I93="Parcial",0.5,0))+IF(J93="Sí",1,IF(J93="Parcial",0.5,0))+IF(K93="Sí",1,IF(K93="Parcial",0.5,0))</f>
        <v>0</v>
      </c>
      <c r="AN93" s="83">
        <f>IF(L93="Sí",1,IF(L93="Parcial",0.5,0))+IF(M93="Sí",1,IF(M93="Parcial",0.5,0))+IF(N93="Sí",1,IF(N93="Parcial",0.5,0))+IF(O93="Sí",1,IF(O93="Parcial",0.5,0))</f>
        <v>0</v>
      </c>
      <c r="AO93" s="84">
        <f>IF(P93="Sí",1,IF(P93="Parcial",0.5,0))+IF(Q93="Sí",1,IF(Q93="Parcial",0.5,0))+IF(R93="Sí",1,IF(R93="Parcial",0.5,0))+IF(S93="Sí",1,IF(S93="Parcial",0.5,0))+IF(T93="Sí",1,IF(T93="Parcial",0.5,0))+IF(U93="Sí",1,IF(U93="Parcial",0.5,0))</f>
        <v>0</v>
      </c>
      <c r="AP93" s="85">
        <f>IF(V93="Sí",1,IF(V93="Parcial",0.5,0))+IF(W93="Sí",1,IF(W93="Parcial",0.5,0))+IF(X93="Sí",1,IF(X93="Parcial",0.5,0))+IF(Y93="Sí",1,IF(Y93="Parcial",0.5,0))</f>
        <v>0</v>
      </c>
      <c r="AQ93" s="86">
        <f>IF(Z93="Sí",1,IF(Z93="Parcial",0.5,0))+IF(AA93="Sí",1,IF(AA93="Parcial",0.5,0))+IF(AB93="Sí",1,IF(AB93="Parcial",0.5,0))</f>
        <v>0</v>
      </c>
      <c r="AR93" s="87">
        <f>IF(AC93="Sí",1,IF(AC93="Parcial",0.5,0))+IF(AD93="Sí",1,IF(AD93="Parcial",0.5,0))+IF(AE93="Sí",1,IF(AE93="Parcial",0.5,0))</f>
        <v>2</v>
      </c>
      <c r="AS93" s="88">
        <f>IF(AF93="Sí",1,IF(AF93="Parcial",0.5,0))+IF(AG93="Sí",1,IF(AG93="Parcial",0.5,0))+IF(AH93="Sí",1,IF(AH93="Parcial",0.5,0))</f>
        <v>0</v>
      </c>
      <c r="AT93" s="89">
        <f>IF(AI93="Sí",1,IF(AI93="Parcial",0.5,0))+IF(AJ93="Sí",1,IF(AJ93="Parcial",0.5,0))+IF(AK93="Sí",1,IF(AK93="Parcial",0.5,0))</f>
        <v>0</v>
      </c>
      <c r="AU93" s="90">
        <f>SUM(AL93,AM93,AN93,AO93,AP93,AQ93,AR93,AS93,AT93)</f>
        <v>3</v>
      </c>
      <c r="AV93" s="225">
        <f>IFERROR(IF(OR(A93="",AU93=0),"",AU93/(IF(AL93&gt;0,1,0)+IF(AM93&gt;0,1,0)+IF(AN93&gt;0,1,0)+IF(AO93&gt;0,1,0)+IF(AP93&gt;0,1,0)+IF(AQ93&gt;0,1,0)+IF(AR93&gt;0,1,0)+IF(AS93&gt;0,1,0)+IF(AT93&gt;0,1,0))),"")</f>
        <v>1.5</v>
      </c>
      <c r="AW93" s="225">
        <f>IFERROR(IF(OR(A93="",AU93=""),"",IF(AND(MAX($AU$8:$AU$156)=0,MAX($AV$8:$AV$156)=0),"",0.5*(AU93/MAX($AU$8:$AU$156))+0.5*(AV93/MAX($AV$8:$AV$156)))),"")</f>
        <v>0.35416666666666663</v>
      </c>
      <c r="AX93" s="79" t="str">
        <f>IF(A93="","",IF((IF(AL93&gt;=1,1,0)+IF(AM93&gt;=1,1,0)+IF(AN93&gt;=1,1,0)+IF(AO93&gt;=1,1,0)+IF(AP93&gt;=1,1,0)+IF(AQ93&gt;=1,1,0)+IF(AR93&gt;=1,1,0)+IF(AS93&gt;=1,1,0)+IF(AT93&gt;=1,1,0))&gt;=5,"Diversificado (5+ verticales)",IF((IF(AL93&gt;=1,1,0)+IF(AM93&gt;=1,1,0)+IF(AN93&gt;=1,1,0)+IF(AO93&gt;=1,1,0)+IF(AP93&gt;=1,1,0)+IF(AQ93&gt;=1,1,0)+IF(AR93&gt;=1,1,0)+IF(AS93&gt;=1,1,0)+IF(AT93&gt;=1,1,0))&gt;=3,"Multi-capacidad (3-4 verticales)",IF((IF(AL93&gt;=1,1,0)+IF(AM93&gt;=1,1,0)+IF(AN93&gt;=1,1,0)+IF(AO93&gt;=1,1,0)+IF(AP93&gt;=1,1,0)+IF(AQ93&gt;=1,1,0)+IF(AR93&gt;=1,1,0)+IF(AS93&gt;=1,1,0)+IF(AT93&gt;=1,1,0))&gt;=1,"Especialista (1-2 verticales)","Sin función mapeada"))))</f>
        <v>Especialista (1-2 verticales)</v>
      </c>
    </row>
    <row r="94" spans="1:50" ht="24" customHeight="1" x14ac:dyDescent="0.2">
      <c r="A94" s="48" t="s">
        <v>1434</v>
      </c>
      <c r="B94" s="48" t="s">
        <v>1435</v>
      </c>
      <c r="C94" s="78" t="str">
        <f>IF(A94="","",IFERROR(INDEX('UNIVERSO MAESTRO'!$C$6:$C$497,MATCH(A94,'UNIVERSO MAESTRO'!$A$6:$A$497,0)),"⚠ ID no encontrado"))</f>
        <v>Toros de Tijuana (LMB)</v>
      </c>
      <c r="D94" s="79" t="str">
        <f>IF(A94="","",IFERROR(INDEX('UNIVERSO MAESTRO'!$D$6:$D$497,MATCH(A94,'UNIVERSO MAESTRO'!$A$6:$A$497,0)),""))</f>
        <v>V1</v>
      </c>
      <c r="E94" s="80" t="s">
        <v>1530</v>
      </c>
      <c r="F94" s="80" t="s">
        <v>353</v>
      </c>
      <c r="G94" s="80" t="s">
        <v>353</v>
      </c>
      <c r="H94" s="80" t="s">
        <v>353</v>
      </c>
      <c r="I94" s="80" t="s">
        <v>353</v>
      </c>
      <c r="J94" s="80" t="s">
        <v>353</v>
      </c>
      <c r="K94" s="80" t="s">
        <v>353</v>
      </c>
      <c r="L94" s="80" t="s">
        <v>353</v>
      </c>
      <c r="M94" s="80" t="s">
        <v>353</v>
      </c>
      <c r="N94" s="80" t="s">
        <v>353</v>
      </c>
      <c r="O94" s="80" t="s">
        <v>353</v>
      </c>
      <c r="P94" s="80" t="s">
        <v>353</v>
      </c>
      <c r="Q94" s="80" t="s">
        <v>353</v>
      </c>
      <c r="R94" s="80" t="s">
        <v>353</v>
      </c>
      <c r="S94" s="80" t="s">
        <v>353</v>
      </c>
      <c r="T94" s="80" t="s">
        <v>353</v>
      </c>
      <c r="U94" s="80" t="s">
        <v>353</v>
      </c>
      <c r="V94" s="80" t="s">
        <v>353</v>
      </c>
      <c r="W94" s="80" t="s">
        <v>353</v>
      </c>
      <c r="X94" s="80" t="s">
        <v>353</v>
      </c>
      <c r="Y94" s="80" t="s">
        <v>353</v>
      </c>
      <c r="Z94" s="80" t="s">
        <v>353</v>
      </c>
      <c r="AA94" s="80" t="s">
        <v>353</v>
      </c>
      <c r="AB94" s="80" t="s">
        <v>353</v>
      </c>
      <c r="AC94" s="80" t="s">
        <v>1530</v>
      </c>
      <c r="AD94" s="80" t="s">
        <v>1530</v>
      </c>
      <c r="AE94" s="80" t="s">
        <v>353</v>
      </c>
      <c r="AF94" s="80" t="s">
        <v>353</v>
      </c>
      <c r="AG94" s="80" t="s">
        <v>353</v>
      </c>
      <c r="AH94" s="80" t="s">
        <v>353</v>
      </c>
      <c r="AI94" s="80" t="s">
        <v>353</v>
      </c>
      <c r="AJ94" s="80" t="s">
        <v>353</v>
      </c>
      <c r="AK94" s="80" t="s">
        <v>353</v>
      </c>
      <c r="AL94" s="81">
        <f>IF(E94="Sí",1,IF(E94="Parcial",0.5,0))+IF(F94="Sí",1,IF(F94="Parcial",0.5,0))+IF(G94="Sí",1,IF(G94="Parcial",0.5,0))+IF(H94="Sí",1,IF(H94="Parcial",0.5,0))</f>
        <v>1</v>
      </c>
      <c r="AM94" s="82">
        <f>IF(I94="Sí",1,IF(I94="Parcial",0.5,0))+IF(J94="Sí",1,IF(J94="Parcial",0.5,0))+IF(K94="Sí",1,IF(K94="Parcial",0.5,0))</f>
        <v>0</v>
      </c>
      <c r="AN94" s="83">
        <f>IF(L94="Sí",1,IF(L94="Parcial",0.5,0))+IF(M94="Sí",1,IF(M94="Parcial",0.5,0))+IF(N94="Sí",1,IF(N94="Parcial",0.5,0))+IF(O94="Sí",1,IF(O94="Parcial",0.5,0))</f>
        <v>0</v>
      </c>
      <c r="AO94" s="84">
        <f>IF(P94="Sí",1,IF(P94="Parcial",0.5,0))+IF(Q94="Sí",1,IF(Q94="Parcial",0.5,0))+IF(R94="Sí",1,IF(R94="Parcial",0.5,0))+IF(S94="Sí",1,IF(S94="Parcial",0.5,0))+IF(T94="Sí",1,IF(T94="Parcial",0.5,0))+IF(U94="Sí",1,IF(U94="Parcial",0.5,0))</f>
        <v>0</v>
      </c>
      <c r="AP94" s="85">
        <f>IF(V94="Sí",1,IF(V94="Parcial",0.5,0))+IF(W94="Sí",1,IF(W94="Parcial",0.5,0))+IF(X94="Sí",1,IF(X94="Parcial",0.5,0))+IF(Y94="Sí",1,IF(Y94="Parcial",0.5,0))</f>
        <v>0</v>
      </c>
      <c r="AQ94" s="86">
        <f>IF(Z94="Sí",1,IF(Z94="Parcial",0.5,0))+IF(AA94="Sí",1,IF(AA94="Parcial",0.5,0))+IF(AB94="Sí",1,IF(AB94="Parcial",0.5,0))</f>
        <v>0</v>
      </c>
      <c r="AR94" s="87">
        <f>IF(AC94="Sí",1,IF(AC94="Parcial",0.5,0))+IF(AD94="Sí",1,IF(AD94="Parcial",0.5,0))+IF(AE94="Sí",1,IF(AE94="Parcial",0.5,0))</f>
        <v>2</v>
      </c>
      <c r="AS94" s="88">
        <f>IF(AF94="Sí",1,IF(AF94="Parcial",0.5,0))+IF(AG94="Sí",1,IF(AG94="Parcial",0.5,0))+IF(AH94="Sí",1,IF(AH94="Parcial",0.5,0))</f>
        <v>0</v>
      </c>
      <c r="AT94" s="89">
        <f>IF(AI94="Sí",1,IF(AI94="Parcial",0.5,0))+IF(AJ94="Sí",1,IF(AJ94="Parcial",0.5,0))+IF(AK94="Sí",1,IF(AK94="Parcial",0.5,0))</f>
        <v>0</v>
      </c>
      <c r="AU94" s="90">
        <f>SUM(AL94,AM94,AN94,AO94,AP94,AQ94,AR94,AS94,AT94)</f>
        <v>3</v>
      </c>
      <c r="AV94" s="225">
        <f>IFERROR(IF(OR(A94="",AU94=0),"",AU94/(IF(AL94&gt;0,1,0)+IF(AM94&gt;0,1,0)+IF(AN94&gt;0,1,0)+IF(AO94&gt;0,1,0)+IF(AP94&gt;0,1,0)+IF(AQ94&gt;0,1,0)+IF(AR94&gt;0,1,0)+IF(AS94&gt;0,1,0)+IF(AT94&gt;0,1,0))),"")</f>
        <v>1.5</v>
      </c>
      <c r="AW94" s="225">
        <f>IFERROR(IF(OR(A94="",AU94=""),"",IF(AND(MAX($AU$8:$AU$156)=0,MAX($AV$8:$AV$156)=0),"",0.5*(AU94/MAX($AU$8:$AU$156))+0.5*(AV94/MAX($AV$8:$AV$156)))),"")</f>
        <v>0.35416666666666663</v>
      </c>
      <c r="AX94" s="79" t="str">
        <f>IF(A94="","",IF((IF(AL94&gt;=1,1,0)+IF(AM94&gt;=1,1,0)+IF(AN94&gt;=1,1,0)+IF(AO94&gt;=1,1,0)+IF(AP94&gt;=1,1,0)+IF(AQ94&gt;=1,1,0)+IF(AR94&gt;=1,1,0)+IF(AS94&gt;=1,1,0)+IF(AT94&gt;=1,1,0))&gt;=5,"Diversificado (5+ verticales)",IF((IF(AL94&gt;=1,1,0)+IF(AM94&gt;=1,1,0)+IF(AN94&gt;=1,1,0)+IF(AO94&gt;=1,1,0)+IF(AP94&gt;=1,1,0)+IF(AQ94&gt;=1,1,0)+IF(AR94&gt;=1,1,0)+IF(AS94&gt;=1,1,0)+IF(AT94&gt;=1,1,0))&gt;=3,"Multi-capacidad (3-4 verticales)",IF((IF(AL94&gt;=1,1,0)+IF(AM94&gt;=1,1,0)+IF(AN94&gt;=1,1,0)+IF(AO94&gt;=1,1,0)+IF(AP94&gt;=1,1,0)+IF(AQ94&gt;=1,1,0)+IF(AR94&gt;=1,1,0)+IF(AS94&gt;=1,1,0)+IF(AT94&gt;=1,1,0))&gt;=1,"Especialista (1-2 verticales)","Sin función mapeada"))))</f>
        <v>Especialista (1-2 verticales)</v>
      </c>
    </row>
    <row r="95" spans="1:50" ht="24" customHeight="1" x14ac:dyDescent="0.2">
      <c r="A95" s="48" t="s">
        <v>244</v>
      </c>
      <c r="B95" s="48" t="s">
        <v>245</v>
      </c>
      <c r="C95" s="78" t="str">
        <f>IF(A95="","",IFERROR(INDEX('UNIVERSO MAESTRO'!$C$6:$C$497,MATCH(A95,'UNIVERSO MAESTRO'!$A$6:$A$497,0)),"⚠ ID no encontrado"))</f>
        <v>Apollo Sports Capital</v>
      </c>
      <c r="D95" s="79" t="str">
        <f>IF(A95="","",IFERROR(INDEX('UNIVERSO MAESTRO'!$D$6:$D$497,MATCH(A95,'UNIVERSO MAESTRO'!$A$6:$A$497,0)),""))</f>
        <v>V9</v>
      </c>
      <c r="E95" s="80" t="s">
        <v>1530</v>
      </c>
      <c r="F95" s="80" t="s">
        <v>353</v>
      </c>
      <c r="G95" s="80" t="s">
        <v>3340</v>
      </c>
      <c r="H95" s="80" t="s">
        <v>353</v>
      </c>
      <c r="I95" s="80" t="s">
        <v>353</v>
      </c>
      <c r="J95" s="80" t="s">
        <v>353</v>
      </c>
      <c r="K95" s="80" t="s">
        <v>353</v>
      </c>
      <c r="L95" s="80" t="s">
        <v>353</v>
      </c>
      <c r="M95" s="80" t="s">
        <v>353</v>
      </c>
      <c r="N95" s="80" t="s">
        <v>353</v>
      </c>
      <c r="O95" s="80" t="s">
        <v>353</v>
      </c>
      <c r="P95" s="80" t="s">
        <v>353</v>
      </c>
      <c r="Q95" s="80" t="s">
        <v>353</v>
      </c>
      <c r="R95" s="80" t="s">
        <v>353</v>
      </c>
      <c r="S95" s="80" t="s">
        <v>353</v>
      </c>
      <c r="T95" s="80" t="s">
        <v>353</v>
      </c>
      <c r="U95" s="80" t="s">
        <v>353</v>
      </c>
      <c r="V95" s="80" t="s">
        <v>353</v>
      </c>
      <c r="W95" s="80" t="s">
        <v>353</v>
      </c>
      <c r="X95" s="80" t="s">
        <v>353</v>
      </c>
      <c r="Y95" s="80" t="s">
        <v>353</v>
      </c>
      <c r="Z95" s="80" t="s">
        <v>353</v>
      </c>
      <c r="AA95" s="80" t="s">
        <v>353</v>
      </c>
      <c r="AB95" s="80" t="s">
        <v>353</v>
      </c>
      <c r="AC95" s="80" t="s">
        <v>353</v>
      </c>
      <c r="AD95" s="80" t="s">
        <v>353</v>
      </c>
      <c r="AE95" s="80" t="s">
        <v>353</v>
      </c>
      <c r="AF95" s="80" t="s">
        <v>353</v>
      </c>
      <c r="AG95" s="80" t="s">
        <v>353</v>
      </c>
      <c r="AH95" s="80" t="s">
        <v>353</v>
      </c>
      <c r="AI95" s="80" t="s">
        <v>353</v>
      </c>
      <c r="AJ95" s="80" t="s">
        <v>353</v>
      </c>
      <c r="AK95" s="80" t="s">
        <v>1530</v>
      </c>
      <c r="AL95" s="81">
        <f>IF(E95="Sí",1,IF(E95="Parcial",0.5,0))+IF(F95="Sí",1,IF(F95="Parcial",0.5,0))+IF(G95="Sí",1,IF(G95="Parcial",0.5,0))+IF(H95="Sí",1,IF(H95="Parcial",0.5,0))</f>
        <v>1.5</v>
      </c>
      <c r="AM95" s="82">
        <f>IF(I95="Sí",1,IF(I95="Parcial",0.5,0))+IF(J95="Sí",1,IF(J95="Parcial",0.5,0))+IF(K95="Sí",1,IF(K95="Parcial",0.5,0))</f>
        <v>0</v>
      </c>
      <c r="AN95" s="83">
        <f>IF(L95="Sí",1,IF(L95="Parcial",0.5,0))+IF(M95="Sí",1,IF(M95="Parcial",0.5,0))+IF(N95="Sí",1,IF(N95="Parcial",0.5,0))+IF(O95="Sí",1,IF(O95="Parcial",0.5,0))</f>
        <v>0</v>
      </c>
      <c r="AO95" s="84">
        <f>IF(P95="Sí",1,IF(P95="Parcial",0.5,0))+IF(Q95="Sí",1,IF(Q95="Parcial",0.5,0))+IF(R95="Sí",1,IF(R95="Parcial",0.5,0))+IF(S95="Sí",1,IF(S95="Parcial",0.5,0))+IF(T95="Sí",1,IF(T95="Parcial",0.5,0))+IF(U95="Sí",1,IF(U95="Parcial",0.5,0))</f>
        <v>0</v>
      </c>
      <c r="AP95" s="85">
        <f>IF(V95="Sí",1,IF(V95="Parcial",0.5,0))+IF(W95="Sí",1,IF(W95="Parcial",0.5,0))+IF(X95="Sí",1,IF(X95="Parcial",0.5,0))+IF(Y95="Sí",1,IF(Y95="Parcial",0.5,0))</f>
        <v>0</v>
      </c>
      <c r="AQ95" s="86">
        <f>IF(Z95="Sí",1,IF(Z95="Parcial",0.5,0))+IF(AA95="Sí",1,IF(AA95="Parcial",0.5,0))+IF(AB95="Sí",1,IF(AB95="Parcial",0.5,0))</f>
        <v>0</v>
      </c>
      <c r="AR95" s="87">
        <f>IF(AC95="Sí",1,IF(AC95="Parcial",0.5,0))+IF(AD95="Sí",1,IF(AD95="Parcial",0.5,0))+IF(AE95="Sí",1,IF(AE95="Parcial",0.5,0))</f>
        <v>0</v>
      </c>
      <c r="AS95" s="88">
        <f>IF(AF95="Sí",1,IF(AF95="Parcial",0.5,0))+IF(AG95="Sí",1,IF(AG95="Parcial",0.5,0))+IF(AH95="Sí",1,IF(AH95="Parcial",0.5,0))</f>
        <v>0</v>
      </c>
      <c r="AT95" s="89">
        <f>IF(AI95="Sí",1,IF(AI95="Parcial",0.5,0))+IF(AJ95="Sí",1,IF(AJ95="Parcial",0.5,0))+IF(AK95="Sí",1,IF(AK95="Parcial",0.5,0))</f>
        <v>1</v>
      </c>
      <c r="AU95" s="90">
        <f>SUM(AL95,AM95,AN95,AO95,AP95,AQ95,AR95,AS95,AT95)</f>
        <v>2.5</v>
      </c>
      <c r="AV95" s="225">
        <f>IFERROR(IF(OR(A95="",AU95=0),"",AU95/(IF(AL95&gt;0,1,0)+IF(AM95&gt;0,1,0)+IF(AN95&gt;0,1,0)+IF(AO95&gt;0,1,0)+IF(AP95&gt;0,1,0)+IF(AQ95&gt;0,1,0)+IF(AR95&gt;0,1,0)+IF(AS95&gt;0,1,0)+IF(AT95&gt;0,1,0))),"")</f>
        <v>1.25</v>
      </c>
      <c r="AW95" s="225">
        <f>IFERROR(IF(OR(A95="",AU95=""),"",IF(AND(MAX($AU$8:$AU$156)=0,MAX($AV$8:$AV$156)=0),"",0.5*(AU95/MAX($AU$8:$AU$156))+0.5*(AV95/MAX($AV$8:$AV$156)))),"")</f>
        <v>0.2951388888888889</v>
      </c>
      <c r="AX95" s="79" t="str">
        <f>IF(A95="","",IF((IF(AL95&gt;=1,1,0)+IF(AM95&gt;=1,1,0)+IF(AN95&gt;=1,1,0)+IF(AO95&gt;=1,1,0)+IF(AP95&gt;=1,1,0)+IF(AQ95&gt;=1,1,0)+IF(AR95&gt;=1,1,0)+IF(AS95&gt;=1,1,0)+IF(AT95&gt;=1,1,0))&gt;=5,"Diversificado (5+ verticales)",IF((IF(AL95&gt;=1,1,0)+IF(AM95&gt;=1,1,0)+IF(AN95&gt;=1,1,0)+IF(AO95&gt;=1,1,0)+IF(AP95&gt;=1,1,0)+IF(AQ95&gt;=1,1,0)+IF(AR95&gt;=1,1,0)+IF(AS95&gt;=1,1,0)+IF(AT95&gt;=1,1,0))&gt;=3,"Multi-capacidad (3-4 verticales)",IF((IF(AL95&gt;=1,1,0)+IF(AM95&gt;=1,1,0)+IF(AN95&gt;=1,1,0)+IF(AO95&gt;=1,1,0)+IF(AP95&gt;=1,1,0)+IF(AQ95&gt;=1,1,0)+IF(AR95&gt;=1,1,0)+IF(AS95&gt;=1,1,0)+IF(AT95&gt;=1,1,0))&gt;=1,"Especialista (1-2 verticales)","Sin función mapeada"))))</f>
        <v>Especialista (1-2 verticales)</v>
      </c>
    </row>
    <row r="96" spans="1:50" ht="24" customHeight="1" x14ac:dyDescent="0.2">
      <c r="A96" s="48" t="s">
        <v>489</v>
      </c>
      <c r="B96" s="48" t="s">
        <v>490</v>
      </c>
      <c r="C96" s="78" t="str">
        <f>IF(A96="","",IFERROR(INDEX('UNIVERSO MAESTRO'!$C$6:$C$497,MATCH(A96,'UNIVERSO MAESTRO'!$A$6:$A$497,0)),"⚠ ID no encontrado"))</f>
        <v>Cruz Azul FC</v>
      </c>
      <c r="D96" s="79" t="str">
        <f>IF(A96="","",IFERROR(INDEX('UNIVERSO MAESTRO'!$D$6:$D$497,MATCH(A96,'UNIVERSO MAESTRO'!$A$6:$A$497,0)),""))</f>
        <v>V1</v>
      </c>
      <c r="E96" s="80" t="s">
        <v>1530</v>
      </c>
      <c r="F96" s="80" t="s">
        <v>353</v>
      </c>
      <c r="G96" s="80" t="s">
        <v>1530</v>
      </c>
      <c r="H96" s="80" t="s">
        <v>353</v>
      </c>
      <c r="I96" s="80" t="s">
        <v>353</v>
      </c>
      <c r="J96" s="80" t="s">
        <v>353</v>
      </c>
      <c r="K96" s="80" t="s">
        <v>353</v>
      </c>
      <c r="L96" s="80" t="s">
        <v>353</v>
      </c>
      <c r="M96" s="80" t="s">
        <v>353</v>
      </c>
      <c r="N96" s="80" t="s">
        <v>353</v>
      </c>
      <c r="O96" s="80" t="s">
        <v>353</v>
      </c>
      <c r="P96" s="80" t="s">
        <v>353</v>
      </c>
      <c r="Q96" s="80" t="s">
        <v>353</v>
      </c>
      <c r="R96" s="80" t="s">
        <v>353</v>
      </c>
      <c r="S96" s="80" t="s">
        <v>353</v>
      </c>
      <c r="T96" s="80" t="s">
        <v>353</v>
      </c>
      <c r="U96" s="80" t="s">
        <v>353</v>
      </c>
      <c r="V96" s="80" t="s">
        <v>353</v>
      </c>
      <c r="W96" s="80" t="s">
        <v>353</v>
      </c>
      <c r="X96" s="80" t="s">
        <v>353</v>
      </c>
      <c r="Y96" s="80" t="s">
        <v>353</v>
      </c>
      <c r="Z96" s="80" t="s">
        <v>353</v>
      </c>
      <c r="AA96" s="80" t="s">
        <v>353</v>
      </c>
      <c r="AB96" s="80" t="s">
        <v>353</v>
      </c>
      <c r="AC96" s="80" t="s">
        <v>353</v>
      </c>
      <c r="AD96" s="80" t="s">
        <v>3340</v>
      </c>
      <c r="AE96" s="80" t="s">
        <v>353</v>
      </c>
      <c r="AF96" s="80" t="s">
        <v>353</v>
      </c>
      <c r="AG96" s="80" t="s">
        <v>353</v>
      </c>
      <c r="AH96" s="80" t="s">
        <v>353</v>
      </c>
      <c r="AI96" s="80" t="s">
        <v>353</v>
      </c>
      <c r="AJ96" s="80" t="s">
        <v>353</v>
      </c>
      <c r="AK96" s="80" t="s">
        <v>353</v>
      </c>
      <c r="AL96" s="81">
        <f>IF(E96="Sí",1,IF(E96="Parcial",0.5,0))+IF(F96="Sí",1,IF(F96="Parcial",0.5,0))+IF(G96="Sí",1,IF(G96="Parcial",0.5,0))+IF(H96="Sí",1,IF(H96="Parcial",0.5,0))</f>
        <v>2</v>
      </c>
      <c r="AM96" s="82">
        <f>IF(I96="Sí",1,IF(I96="Parcial",0.5,0))+IF(J96="Sí",1,IF(J96="Parcial",0.5,0))+IF(K96="Sí",1,IF(K96="Parcial",0.5,0))</f>
        <v>0</v>
      </c>
      <c r="AN96" s="83">
        <f>IF(L96="Sí",1,IF(L96="Parcial",0.5,0))+IF(M96="Sí",1,IF(M96="Parcial",0.5,0))+IF(N96="Sí",1,IF(N96="Parcial",0.5,0))+IF(O96="Sí",1,IF(O96="Parcial",0.5,0))</f>
        <v>0</v>
      </c>
      <c r="AO96" s="84">
        <f>IF(P96="Sí",1,IF(P96="Parcial",0.5,0))+IF(Q96="Sí",1,IF(Q96="Parcial",0.5,0))+IF(R96="Sí",1,IF(R96="Parcial",0.5,0))+IF(S96="Sí",1,IF(S96="Parcial",0.5,0))+IF(T96="Sí",1,IF(T96="Parcial",0.5,0))+IF(U96="Sí",1,IF(U96="Parcial",0.5,0))</f>
        <v>0</v>
      </c>
      <c r="AP96" s="85">
        <f>IF(V96="Sí",1,IF(V96="Parcial",0.5,0))+IF(W96="Sí",1,IF(W96="Parcial",0.5,0))+IF(X96="Sí",1,IF(X96="Parcial",0.5,0))+IF(Y96="Sí",1,IF(Y96="Parcial",0.5,0))</f>
        <v>0</v>
      </c>
      <c r="AQ96" s="86">
        <f>IF(Z96="Sí",1,IF(Z96="Parcial",0.5,0))+IF(AA96="Sí",1,IF(AA96="Parcial",0.5,0))+IF(AB96="Sí",1,IF(AB96="Parcial",0.5,0))</f>
        <v>0</v>
      </c>
      <c r="AR96" s="87">
        <f>IF(AC96="Sí",1,IF(AC96="Parcial",0.5,0))+IF(AD96="Sí",1,IF(AD96="Parcial",0.5,0))+IF(AE96="Sí",1,IF(AE96="Parcial",0.5,0))</f>
        <v>0.5</v>
      </c>
      <c r="AS96" s="88">
        <f>IF(AF96="Sí",1,IF(AF96="Parcial",0.5,0))+IF(AG96="Sí",1,IF(AG96="Parcial",0.5,0))+IF(AH96="Sí",1,IF(AH96="Parcial",0.5,0))</f>
        <v>0</v>
      </c>
      <c r="AT96" s="89">
        <f>IF(AI96="Sí",1,IF(AI96="Parcial",0.5,0))+IF(AJ96="Sí",1,IF(AJ96="Parcial",0.5,0))+IF(AK96="Sí",1,IF(AK96="Parcial",0.5,0))</f>
        <v>0</v>
      </c>
      <c r="AU96" s="90">
        <f>SUM(AL96,AM96,AN96,AO96,AP96,AQ96,AR96,AS96,AT96)</f>
        <v>2.5</v>
      </c>
      <c r="AV96" s="225">
        <f>IFERROR(IF(OR(A96="",AU96=0),"",AU96/(IF(AL96&gt;0,1,0)+IF(AM96&gt;0,1,0)+IF(AN96&gt;0,1,0)+IF(AO96&gt;0,1,0)+IF(AP96&gt;0,1,0)+IF(AQ96&gt;0,1,0)+IF(AR96&gt;0,1,0)+IF(AS96&gt;0,1,0)+IF(AT96&gt;0,1,0))),"")</f>
        <v>1.25</v>
      </c>
      <c r="AW96" s="225">
        <f>IFERROR(IF(OR(A96="",AU96=""),"",IF(AND(MAX($AU$8:$AU$156)=0,MAX($AV$8:$AV$156)=0),"",0.5*(AU96/MAX($AU$8:$AU$156))+0.5*(AV96/MAX($AV$8:$AV$156)))),"")</f>
        <v>0.2951388888888889</v>
      </c>
      <c r="AX96" s="79" t="str">
        <f>IF(A96="","",IF((IF(AL96&gt;=1,1,0)+IF(AM96&gt;=1,1,0)+IF(AN96&gt;=1,1,0)+IF(AO96&gt;=1,1,0)+IF(AP96&gt;=1,1,0)+IF(AQ96&gt;=1,1,0)+IF(AR96&gt;=1,1,0)+IF(AS96&gt;=1,1,0)+IF(AT96&gt;=1,1,0))&gt;=5,"Diversificado (5+ verticales)",IF((IF(AL96&gt;=1,1,0)+IF(AM96&gt;=1,1,0)+IF(AN96&gt;=1,1,0)+IF(AO96&gt;=1,1,0)+IF(AP96&gt;=1,1,0)+IF(AQ96&gt;=1,1,0)+IF(AR96&gt;=1,1,0)+IF(AS96&gt;=1,1,0)+IF(AT96&gt;=1,1,0))&gt;=3,"Multi-capacidad (3-4 verticales)",IF((IF(AL96&gt;=1,1,0)+IF(AM96&gt;=1,1,0)+IF(AN96&gt;=1,1,0)+IF(AO96&gt;=1,1,0)+IF(AP96&gt;=1,1,0)+IF(AQ96&gt;=1,1,0)+IF(AR96&gt;=1,1,0)+IF(AS96&gt;=1,1,0)+IF(AT96&gt;=1,1,0))&gt;=1,"Especialista (1-2 verticales)","Sin función mapeada"))))</f>
        <v>Especialista (1-2 verticales)</v>
      </c>
    </row>
    <row r="97" spans="1:50" ht="24" customHeight="1" x14ac:dyDescent="0.2">
      <c r="A97" s="48" t="s">
        <v>1084</v>
      </c>
      <c r="B97" s="48" t="s">
        <v>1085</v>
      </c>
      <c r="C97" s="78" t="str">
        <f>IF(A97="","",IFERROR(INDEX('UNIVERSO MAESTRO'!$C$6:$C$497,MATCH(A97,'UNIVERSO MAESTRO'!$A$6:$A$497,0)),"⚠ ID no encontrado"))</f>
        <v>Moelis &amp; Co.</v>
      </c>
      <c r="D97" s="79" t="str">
        <f>IF(A97="","",IFERROR(INDEX('UNIVERSO MAESTRO'!$D$6:$D$497,MATCH(A97,'UNIVERSO MAESTRO'!$A$6:$A$497,0)),""))</f>
        <v>V9</v>
      </c>
      <c r="E97" s="80" t="s">
        <v>353</v>
      </c>
      <c r="F97" s="80" t="s">
        <v>353</v>
      </c>
      <c r="G97" s="80" t="s">
        <v>353</v>
      </c>
      <c r="H97" s="80" t="s">
        <v>353</v>
      </c>
      <c r="I97" s="80" t="s">
        <v>353</v>
      </c>
      <c r="J97" s="80" t="s">
        <v>353</v>
      </c>
      <c r="K97" s="80" t="s">
        <v>353</v>
      </c>
      <c r="L97" s="80" t="s">
        <v>353</v>
      </c>
      <c r="M97" s="80" t="s">
        <v>353</v>
      </c>
      <c r="N97" s="80" t="s">
        <v>353</v>
      </c>
      <c r="O97" s="80" t="s">
        <v>353</v>
      </c>
      <c r="P97" s="80" t="s">
        <v>1530</v>
      </c>
      <c r="Q97" s="80" t="s">
        <v>3340</v>
      </c>
      <c r="R97" s="80" t="s">
        <v>353</v>
      </c>
      <c r="S97" s="80" t="s">
        <v>353</v>
      </c>
      <c r="T97" s="80" t="s">
        <v>353</v>
      </c>
      <c r="U97" s="80" t="s">
        <v>353</v>
      </c>
      <c r="V97" s="80" t="s">
        <v>353</v>
      </c>
      <c r="W97" s="80" t="s">
        <v>353</v>
      </c>
      <c r="X97" s="80" t="s">
        <v>353</v>
      </c>
      <c r="Y97" s="80" t="s">
        <v>353</v>
      </c>
      <c r="Z97" s="80" t="s">
        <v>353</v>
      </c>
      <c r="AA97" s="80" t="s">
        <v>353</v>
      </c>
      <c r="AB97" s="80" t="s">
        <v>353</v>
      </c>
      <c r="AC97" s="80" t="s">
        <v>353</v>
      </c>
      <c r="AD97" s="80" t="s">
        <v>353</v>
      </c>
      <c r="AE97" s="80" t="s">
        <v>353</v>
      </c>
      <c r="AF97" s="80" t="s">
        <v>353</v>
      </c>
      <c r="AG97" s="80" t="s">
        <v>353</v>
      </c>
      <c r="AH97" s="80" t="s">
        <v>353</v>
      </c>
      <c r="AI97" s="80" t="s">
        <v>353</v>
      </c>
      <c r="AJ97" s="80" t="s">
        <v>353</v>
      </c>
      <c r="AK97" s="80" t="s">
        <v>1530</v>
      </c>
      <c r="AL97" s="81">
        <f>IF(E97="Sí",1,IF(E97="Parcial",0.5,0))+IF(F97="Sí",1,IF(F97="Parcial",0.5,0))+IF(G97="Sí",1,IF(G97="Parcial",0.5,0))+IF(H97="Sí",1,IF(H97="Parcial",0.5,0))</f>
        <v>0</v>
      </c>
      <c r="AM97" s="82">
        <f>IF(I97="Sí",1,IF(I97="Parcial",0.5,0))+IF(J97="Sí",1,IF(J97="Parcial",0.5,0))+IF(K97="Sí",1,IF(K97="Parcial",0.5,0))</f>
        <v>0</v>
      </c>
      <c r="AN97" s="83">
        <f>IF(L97="Sí",1,IF(L97="Parcial",0.5,0))+IF(M97="Sí",1,IF(M97="Parcial",0.5,0))+IF(N97="Sí",1,IF(N97="Parcial",0.5,0))+IF(O97="Sí",1,IF(O97="Parcial",0.5,0))</f>
        <v>0</v>
      </c>
      <c r="AO97" s="84">
        <f>IF(P97="Sí",1,IF(P97="Parcial",0.5,0))+IF(Q97="Sí",1,IF(Q97="Parcial",0.5,0))+IF(R97="Sí",1,IF(R97="Parcial",0.5,0))+IF(S97="Sí",1,IF(S97="Parcial",0.5,0))+IF(T97="Sí",1,IF(T97="Parcial",0.5,0))+IF(U97="Sí",1,IF(U97="Parcial",0.5,0))</f>
        <v>1.5</v>
      </c>
      <c r="AP97" s="85">
        <f>IF(V97="Sí",1,IF(V97="Parcial",0.5,0))+IF(W97="Sí",1,IF(W97="Parcial",0.5,0))+IF(X97="Sí",1,IF(X97="Parcial",0.5,0))+IF(Y97="Sí",1,IF(Y97="Parcial",0.5,0))</f>
        <v>0</v>
      </c>
      <c r="AQ97" s="86">
        <f>IF(Z97="Sí",1,IF(Z97="Parcial",0.5,0))+IF(AA97="Sí",1,IF(AA97="Parcial",0.5,0))+IF(AB97="Sí",1,IF(AB97="Parcial",0.5,0))</f>
        <v>0</v>
      </c>
      <c r="AR97" s="87">
        <f>IF(AC97="Sí",1,IF(AC97="Parcial",0.5,0))+IF(AD97="Sí",1,IF(AD97="Parcial",0.5,0))+IF(AE97="Sí",1,IF(AE97="Parcial",0.5,0))</f>
        <v>0</v>
      </c>
      <c r="AS97" s="88">
        <f>IF(AF97="Sí",1,IF(AF97="Parcial",0.5,0))+IF(AG97="Sí",1,IF(AG97="Parcial",0.5,0))+IF(AH97="Sí",1,IF(AH97="Parcial",0.5,0))</f>
        <v>0</v>
      </c>
      <c r="AT97" s="89">
        <f>IF(AI97="Sí",1,IF(AI97="Parcial",0.5,0))+IF(AJ97="Sí",1,IF(AJ97="Parcial",0.5,0))+IF(AK97="Sí",1,IF(AK97="Parcial",0.5,0))</f>
        <v>1</v>
      </c>
      <c r="AU97" s="90">
        <f>SUM(AL97,AM97,AN97,AO97,AP97,AQ97,AR97,AS97,AT97)</f>
        <v>2.5</v>
      </c>
      <c r="AV97" s="225">
        <f>IFERROR(IF(OR(A97="",AU97=0),"",AU97/(IF(AL97&gt;0,1,0)+IF(AM97&gt;0,1,0)+IF(AN97&gt;0,1,0)+IF(AO97&gt;0,1,0)+IF(AP97&gt;0,1,0)+IF(AQ97&gt;0,1,0)+IF(AR97&gt;0,1,0)+IF(AS97&gt;0,1,0)+IF(AT97&gt;0,1,0))),"")</f>
        <v>1.25</v>
      </c>
      <c r="AW97" s="225">
        <f>IFERROR(IF(OR(A97="",AU97=""),"",IF(AND(MAX($AU$8:$AU$156)=0,MAX($AV$8:$AV$156)=0),"",0.5*(AU97/MAX($AU$8:$AU$156))+0.5*(AV97/MAX($AV$8:$AV$156)))),"")</f>
        <v>0.2951388888888889</v>
      </c>
      <c r="AX97" s="79" t="str">
        <f>IF(A97="","",IF((IF(AL97&gt;=1,1,0)+IF(AM97&gt;=1,1,0)+IF(AN97&gt;=1,1,0)+IF(AO97&gt;=1,1,0)+IF(AP97&gt;=1,1,0)+IF(AQ97&gt;=1,1,0)+IF(AR97&gt;=1,1,0)+IF(AS97&gt;=1,1,0)+IF(AT97&gt;=1,1,0))&gt;=5,"Diversificado (5+ verticales)",IF((IF(AL97&gt;=1,1,0)+IF(AM97&gt;=1,1,0)+IF(AN97&gt;=1,1,0)+IF(AO97&gt;=1,1,0)+IF(AP97&gt;=1,1,0)+IF(AQ97&gt;=1,1,0)+IF(AR97&gt;=1,1,0)+IF(AS97&gt;=1,1,0)+IF(AT97&gt;=1,1,0))&gt;=3,"Multi-capacidad (3-4 verticales)",IF((IF(AL97&gt;=1,1,0)+IF(AM97&gt;=1,1,0)+IF(AN97&gt;=1,1,0)+IF(AO97&gt;=1,1,0)+IF(AP97&gt;=1,1,0)+IF(AQ97&gt;=1,1,0)+IF(AR97&gt;=1,1,0)+IF(AS97&gt;=1,1,0)+IF(AT97&gt;=1,1,0))&gt;=1,"Especialista (1-2 verticales)","Sin función mapeada"))))</f>
        <v>Especialista (1-2 verticales)</v>
      </c>
    </row>
    <row r="98" spans="1:50" ht="24" customHeight="1" x14ac:dyDescent="0.2">
      <c r="A98" s="48" t="s">
        <v>462</v>
      </c>
      <c r="B98" s="48" t="s">
        <v>463</v>
      </c>
      <c r="C98" s="78" t="str">
        <f>IF(A98="","",IFERROR(INDEX('UNIVERSO MAESTRO'!$C$6:$C$497,MATCH(A98,'UNIVERSO MAESTRO'!$A$6:$A$497,0)),"⚠ ID no encontrado"))</f>
        <v>Consejo Municipal del Deporte de Guadalajara (COMUDE GDL)</v>
      </c>
      <c r="D98" s="79" t="str">
        <f>IF(A98="","",IFERROR(INDEX('UNIVERSO MAESTRO'!$D$6:$D$497,MATCH(A98,'UNIVERSO MAESTRO'!$A$6:$A$497,0)),""))</f>
        <v>V1</v>
      </c>
      <c r="E98" s="80" t="s">
        <v>353</v>
      </c>
      <c r="F98" s="80" t="s">
        <v>353</v>
      </c>
      <c r="G98" s="80" t="s">
        <v>353</v>
      </c>
      <c r="H98" s="80" t="s">
        <v>1530</v>
      </c>
      <c r="I98" s="80" t="s">
        <v>353</v>
      </c>
      <c r="J98" s="80" t="s">
        <v>353</v>
      </c>
      <c r="K98" s="80" t="s">
        <v>353</v>
      </c>
      <c r="L98" s="80" t="s">
        <v>353</v>
      </c>
      <c r="M98" s="80" t="s">
        <v>353</v>
      </c>
      <c r="N98" s="80" t="s">
        <v>353</v>
      </c>
      <c r="O98" s="80" t="s">
        <v>353</v>
      </c>
      <c r="P98" s="80" t="s">
        <v>353</v>
      </c>
      <c r="Q98" s="80" t="s">
        <v>353</v>
      </c>
      <c r="R98" s="80" t="s">
        <v>353</v>
      </c>
      <c r="S98" s="80" t="s">
        <v>353</v>
      </c>
      <c r="T98" s="80" t="s">
        <v>353</v>
      </c>
      <c r="U98" s="80" t="s">
        <v>353</v>
      </c>
      <c r="V98" s="80" t="s">
        <v>1530</v>
      </c>
      <c r="W98" s="80" t="s">
        <v>353</v>
      </c>
      <c r="X98" s="80" t="s">
        <v>353</v>
      </c>
      <c r="Y98" s="80" t="s">
        <v>353</v>
      </c>
      <c r="Z98" s="80" t="s">
        <v>1530</v>
      </c>
      <c r="AA98" s="80" t="s">
        <v>353</v>
      </c>
      <c r="AB98" s="80" t="s">
        <v>353</v>
      </c>
      <c r="AC98" s="80" t="s">
        <v>353</v>
      </c>
      <c r="AD98" s="80" t="s">
        <v>353</v>
      </c>
      <c r="AE98" s="80" t="s">
        <v>353</v>
      </c>
      <c r="AF98" s="80" t="s">
        <v>353</v>
      </c>
      <c r="AG98" s="80" t="s">
        <v>353</v>
      </c>
      <c r="AH98" s="80" t="s">
        <v>353</v>
      </c>
      <c r="AI98" s="80" t="s">
        <v>353</v>
      </c>
      <c r="AJ98" s="80" t="s">
        <v>353</v>
      </c>
      <c r="AK98" s="80" t="s">
        <v>353</v>
      </c>
      <c r="AL98" s="81">
        <f>IF(E98="Sí",1,IF(E98="Parcial",0.5,0))+IF(F98="Sí",1,IF(F98="Parcial",0.5,0))+IF(G98="Sí",1,IF(G98="Parcial",0.5,0))+IF(H98="Sí",1,IF(H98="Parcial",0.5,0))</f>
        <v>1</v>
      </c>
      <c r="AM98" s="82">
        <f>IF(I98="Sí",1,IF(I98="Parcial",0.5,0))+IF(J98="Sí",1,IF(J98="Parcial",0.5,0))+IF(K98="Sí",1,IF(K98="Parcial",0.5,0))</f>
        <v>0</v>
      </c>
      <c r="AN98" s="83">
        <f>IF(L98="Sí",1,IF(L98="Parcial",0.5,0))+IF(M98="Sí",1,IF(M98="Parcial",0.5,0))+IF(N98="Sí",1,IF(N98="Parcial",0.5,0))+IF(O98="Sí",1,IF(O98="Parcial",0.5,0))</f>
        <v>0</v>
      </c>
      <c r="AO98" s="84">
        <f>IF(P98="Sí",1,IF(P98="Parcial",0.5,0))+IF(Q98="Sí",1,IF(Q98="Parcial",0.5,0))+IF(R98="Sí",1,IF(R98="Parcial",0.5,0))+IF(S98="Sí",1,IF(S98="Parcial",0.5,0))+IF(T98="Sí",1,IF(T98="Parcial",0.5,0))+IF(U98="Sí",1,IF(U98="Parcial",0.5,0))</f>
        <v>0</v>
      </c>
      <c r="AP98" s="85">
        <f>IF(V98="Sí",1,IF(V98="Parcial",0.5,0))+IF(W98="Sí",1,IF(W98="Parcial",0.5,0))+IF(X98="Sí",1,IF(X98="Parcial",0.5,0))+IF(Y98="Sí",1,IF(Y98="Parcial",0.5,0))</f>
        <v>1</v>
      </c>
      <c r="AQ98" s="86">
        <f>IF(Z98="Sí",1,IF(Z98="Parcial",0.5,0))+IF(AA98="Sí",1,IF(AA98="Parcial",0.5,0))+IF(AB98="Sí",1,IF(AB98="Parcial",0.5,0))</f>
        <v>1</v>
      </c>
      <c r="AR98" s="87">
        <f>IF(AC98="Sí",1,IF(AC98="Parcial",0.5,0))+IF(AD98="Sí",1,IF(AD98="Parcial",0.5,0))+IF(AE98="Sí",1,IF(AE98="Parcial",0.5,0))</f>
        <v>0</v>
      </c>
      <c r="AS98" s="88">
        <f>IF(AF98="Sí",1,IF(AF98="Parcial",0.5,0))+IF(AG98="Sí",1,IF(AG98="Parcial",0.5,0))+IF(AH98="Sí",1,IF(AH98="Parcial",0.5,0))</f>
        <v>0</v>
      </c>
      <c r="AT98" s="89">
        <f>IF(AI98="Sí",1,IF(AI98="Parcial",0.5,0))+IF(AJ98="Sí",1,IF(AJ98="Parcial",0.5,0))+IF(AK98="Sí",1,IF(AK98="Parcial",0.5,0))</f>
        <v>0</v>
      </c>
      <c r="AU98" s="90">
        <f>SUM(AL98,AM98,AN98,AO98,AP98,AQ98,AR98,AS98,AT98)</f>
        <v>3</v>
      </c>
      <c r="AV98" s="225">
        <f>IFERROR(IF(OR(A98="",AU98=0),"",AU98/(IF(AL98&gt;0,1,0)+IF(AM98&gt;0,1,0)+IF(AN98&gt;0,1,0)+IF(AO98&gt;0,1,0)+IF(AP98&gt;0,1,0)+IF(AQ98&gt;0,1,0)+IF(AR98&gt;0,1,0)+IF(AS98&gt;0,1,0)+IF(AT98&gt;0,1,0))),"")</f>
        <v>1</v>
      </c>
      <c r="AW98" s="225">
        <f>IFERROR(IF(OR(A98="",AU98=""),"",IF(AND(MAX($AU$8:$AU$156)=0,MAX($AV$8:$AV$156)=0),"",0.5*(AU98/MAX($AU$8:$AU$156))+0.5*(AV98/MAX($AV$8:$AV$156)))),"")</f>
        <v>0.29166666666666663</v>
      </c>
      <c r="AX98" s="79" t="str">
        <f>IF(A98="","",IF((IF(AL98&gt;=1,1,0)+IF(AM98&gt;=1,1,0)+IF(AN98&gt;=1,1,0)+IF(AO98&gt;=1,1,0)+IF(AP98&gt;=1,1,0)+IF(AQ98&gt;=1,1,0)+IF(AR98&gt;=1,1,0)+IF(AS98&gt;=1,1,0)+IF(AT98&gt;=1,1,0))&gt;=5,"Diversificado (5+ verticales)",IF((IF(AL98&gt;=1,1,0)+IF(AM98&gt;=1,1,0)+IF(AN98&gt;=1,1,0)+IF(AO98&gt;=1,1,0)+IF(AP98&gt;=1,1,0)+IF(AQ98&gt;=1,1,0)+IF(AR98&gt;=1,1,0)+IF(AS98&gt;=1,1,0)+IF(AT98&gt;=1,1,0))&gt;=3,"Multi-capacidad (3-4 verticales)",IF((IF(AL98&gt;=1,1,0)+IF(AM98&gt;=1,1,0)+IF(AN98&gt;=1,1,0)+IF(AO98&gt;=1,1,0)+IF(AP98&gt;=1,1,0)+IF(AQ98&gt;=1,1,0)+IF(AR98&gt;=1,1,0)+IF(AS98&gt;=1,1,0)+IF(AT98&gt;=1,1,0))&gt;=1,"Especialista (1-2 verticales)","Sin función mapeada"))))</f>
        <v>Multi-capacidad (3-4 verticales)</v>
      </c>
    </row>
    <row r="99" spans="1:50" ht="24" customHeight="1" x14ac:dyDescent="0.2">
      <c r="A99" s="48" t="s">
        <v>894</v>
      </c>
      <c r="B99" s="48" t="s">
        <v>895</v>
      </c>
      <c r="C99" s="78" t="str">
        <f>IF(A99="","",IFERROR(INDEX('UNIVERSO MAESTRO'!$C$6:$C$497,MATCH(A99,'UNIVERSO MAESTRO'!$A$6:$A$497,0)),"⚠ ID no encontrado"))</f>
        <v>INDEPORTE — Instituto del Deporte de la Ciudad de México</v>
      </c>
      <c r="D99" s="79" t="str">
        <f>IF(A99="","",IFERROR(INDEX('UNIVERSO MAESTRO'!$D$6:$D$497,MATCH(A99,'UNIVERSO MAESTRO'!$A$6:$A$497,0)),""))</f>
        <v>V1</v>
      </c>
      <c r="E99" s="80" t="s">
        <v>353</v>
      </c>
      <c r="F99" s="80" t="s">
        <v>353</v>
      </c>
      <c r="G99" s="80" t="s">
        <v>353</v>
      </c>
      <c r="H99" s="80" t="s">
        <v>1530</v>
      </c>
      <c r="I99" s="80" t="s">
        <v>353</v>
      </c>
      <c r="J99" s="80" t="s">
        <v>353</v>
      </c>
      <c r="K99" s="80" t="s">
        <v>353</v>
      </c>
      <c r="L99" s="80" t="s">
        <v>353</v>
      </c>
      <c r="M99" s="80" t="s">
        <v>353</v>
      </c>
      <c r="N99" s="80" t="s">
        <v>353</v>
      </c>
      <c r="O99" s="80" t="s">
        <v>353</v>
      </c>
      <c r="P99" s="80" t="s">
        <v>353</v>
      </c>
      <c r="Q99" s="80" t="s">
        <v>353</v>
      </c>
      <c r="R99" s="80" t="s">
        <v>353</v>
      </c>
      <c r="S99" s="80" t="s">
        <v>353</v>
      </c>
      <c r="T99" s="80" t="s">
        <v>353</v>
      </c>
      <c r="U99" s="80" t="s">
        <v>353</v>
      </c>
      <c r="V99" s="80" t="s">
        <v>1530</v>
      </c>
      <c r="W99" s="80" t="s">
        <v>353</v>
      </c>
      <c r="X99" s="80" t="s">
        <v>353</v>
      </c>
      <c r="Y99" s="80" t="s">
        <v>353</v>
      </c>
      <c r="Z99" s="80" t="s">
        <v>1530</v>
      </c>
      <c r="AA99" s="80" t="s">
        <v>353</v>
      </c>
      <c r="AB99" s="80" t="s">
        <v>353</v>
      </c>
      <c r="AC99" s="80" t="s">
        <v>353</v>
      </c>
      <c r="AD99" s="80" t="s">
        <v>353</v>
      </c>
      <c r="AE99" s="80" t="s">
        <v>353</v>
      </c>
      <c r="AF99" s="80" t="s">
        <v>353</v>
      </c>
      <c r="AG99" s="80" t="s">
        <v>353</v>
      </c>
      <c r="AH99" s="80" t="s">
        <v>353</v>
      </c>
      <c r="AI99" s="80" t="s">
        <v>353</v>
      </c>
      <c r="AJ99" s="80" t="s">
        <v>353</v>
      </c>
      <c r="AK99" s="80" t="s">
        <v>353</v>
      </c>
      <c r="AL99" s="81">
        <f>IF(E99="Sí",1,IF(E99="Parcial",0.5,0))+IF(F99="Sí",1,IF(F99="Parcial",0.5,0))+IF(G99="Sí",1,IF(G99="Parcial",0.5,0))+IF(H99="Sí",1,IF(H99="Parcial",0.5,0))</f>
        <v>1</v>
      </c>
      <c r="AM99" s="82">
        <f>IF(I99="Sí",1,IF(I99="Parcial",0.5,0))+IF(J99="Sí",1,IF(J99="Parcial",0.5,0))+IF(K99="Sí",1,IF(K99="Parcial",0.5,0))</f>
        <v>0</v>
      </c>
      <c r="AN99" s="83">
        <f>IF(L99="Sí",1,IF(L99="Parcial",0.5,0))+IF(M99="Sí",1,IF(M99="Parcial",0.5,0))+IF(N99="Sí",1,IF(N99="Parcial",0.5,0))+IF(O99="Sí",1,IF(O99="Parcial",0.5,0))</f>
        <v>0</v>
      </c>
      <c r="AO99" s="84">
        <f>IF(P99="Sí",1,IF(P99="Parcial",0.5,0))+IF(Q99="Sí",1,IF(Q99="Parcial",0.5,0))+IF(R99="Sí",1,IF(R99="Parcial",0.5,0))+IF(S99="Sí",1,IF(S99="Parcial",0.5,0))+IF(T99="Sí",1,IF(T99="Parcial",0.5,0))+IF(U99="Sí",1,IF(U99="Parcial",0.5,0))</f>
        <v>0</v>
      </c>
      <c r="AP99" s="85">
        <f>IF(V99="Sí",1,IF(V99="Parcial",0.5,0))+IF(W99="Sí",1,IF(W99="Parcial",0.5,0))+IF(X99="Sí",1,IF(X99="Parcial",0.5,0))+IF(Y99="Sí",1,IF(Y99="Parcial",0.5,0))</f>
        <v>1</v>
      </c>
      <c r="AQ99" s="86">
        <f>IF(Z99="Sí",1,IF(Z99="Parcial",0.5,0))+IF(AA99="Sí",1,IF(AA99="Parcial",0.5,0))+IF(AB99="Sí",1,IF(AB99="Parcial",0.5,0))</f>
        <v>1</v>
      </c>
      <c r="AR99" s="87">
        <f>IF(AC99="Sí",1,IF(AC99="Parcial",0.5,0))+IF(AD99="Sí",1,IF(AD99="Parcial",0.5,0))+IF(AE99="Sí",1,IF(AE99="Parcial",0.5,0))</f>
        <v>0</v>
      </c>
      <c r="AS99" s="88">
        <f>IF(AF99="Sí",1,IF(AF99="Parcial",0.5,0))+IF(AG99="Sí",1,IF(AG99="Parcial",0.5,0))+IF(AH99="Sí",1,IF(AH99="Parcial",0.5,0))</f>
        <v>0</v>
      </c>
      <c r="AT99" s="89">
        <f>IF(AI99="Sí",1,IF(AI99="Parcial",0.5,0))+IF(AJ99="Sí",1,IF(AJ99="Parcial",0.5,0))+IF(AK99="Sí",1,IF(AK99="Parcial",0.5,0))</f>
        <v>0</v>
      </c>
      <c r="AU99" s="90">
        <f>SUM(AL99,AM99,AN99,AO99,AP99,AQ99,AR99,AS99,AT99)</f>
        <v>3</v>
      </c>
      <c r="AV99" s="225">
        <f>IFERROR(IF(OR(A99="",AU99=0),"",AU99/(IF(AL99&gt;0,1,0)+IF(AM99&gt;0,1,0)+IF(AN99&gt;0,1,0)+IF(AO99&gt;0,1,0)+IF(AP99&gt;0,1,0)+IF(AQ99&gt;0,1,0)+IF(AR99&gt;0,1,0)+IF(AS99&gt;0,1,0)+IF(AT99&gt;0,1,0))),"")</f>
        <v>1</v>
      </c>
      <c r="AW99" s="225">
        <f>IFERROR(IF(OR(A99="",AU99=""),"",IF(AND(MAX($AU$8:$AU$156)=0,MAX($AV$8:$AV$156)=0),"",0.5*(AU99/MAX($AU$8:$AU$156))+0.5*(AV99/MAX($AV$8:$AV$156)))),"")</f>
        <v>0.29166666666666663</v>
      </c>
      <c r="AX99" s="79" t="str">
        <f>IF(A99="","",IF((IF(AL99&gt;=1,1,0)+IF(AM99&gt;=1,1,0)+IF(AN99&gt;=1,1,0)+IF(AO99&gt;=1,1,0)+IF(AP99&gt;=1,1,0)+IF(AQ99&gt;=1,1,0)+IF(AR99&gt;=1,1,0)+IF(AS99&gt;=1,1,0)+IF(AT99&gt;=1,1,0))&gt;=5,"Diversificado (5+ verticales)",IF((IF(AL99&gt;=1,1,0)+IF(AM99&gt;=1,1,0)+IF(AN99&gt;=1,1,0)+IF(AO99&gt;=1,1,0)+IF(AP99&gt;=1,1,0)+IF(AQ99&gt;=1,1,0)+IF(AR99&gt;=1,1,0)+IF(AS99&gt;=1,1,0)+IF(AT99&gt;=1,1,0))&gt;=3,"Multi-capacidad (3-4 verticales)",IF((IF(AL99&gt;=1,1,0)+IF(AM99&gt;=1,1,0)+IF(AN99&gt;=1,1,0)+IF(AO99&gt;=1,1,0)+IF(AP99&gt;=1,1,0)+IF(AQ99&gt;=1,1,0)+IF(AR99&gt;=1,1,0)+IF(AS99&gt;=1,1,0)+IF(AT99&gt;=1,1,0))&gt;=1,"Especialista (1-2 verticales)","Sin función mapeada"))))</f>
        <v>Multi-capacidad (3-4 verticales)</v>
      </c>
    </row>
    <row r="100" spans="1:50" ht="24" customHeight="1" x14ac:dyDescent="0.2">
      <c r="A100" s="48" t="s">
        <v>632</v>
      </c>
      <c r="B100" s="48" t="s">
        <v>633</v>
      </c>
      <c r="C100" s="78" t="str">
        <f>IF(A100="","",IFERROR(INDEX('UNIVERSO MAESTRO'!$C$6:$C$497,MATCH(A100,'UNIVERSO MAESTRO'!$A$6:$A$497,0)),"⚠ ID no encontrado"))</f>
        <v>FIFA Ticketing — Copa Mundial 2026</v>
      </c>
      <c r="D100" s="79" t="str">
        <f>IF(A100="","",IFERROR(INDEX('UNIVERSO MAESTRO'!$D$6:$D$497,MATCH(A100,'UNIVERSO MAESTRO'!$A$6:$A$497,0)),""))</f>
        <v>V6</v>
      </c>
      <c r="E100" s="80" t="s">
        <v>353</v>
      </c>
      <c r="F100" s="80" t="s">
        <v>353</v>
      </c>
      <c r="G100" s="80" t="s">
        <v>353</v>
      </c>
      <c r="H100" s="80" t="s">
        <v>353</v>
      </c>
      <c r="I100" s="80" t="s">
        <v>353</v>
      </c>
      <c r="J100" s="80" t="s">
        <v>353</v>
      </c>
      <c r="K100" s="80" t="s">
        <v>353</v>
      </c>
      <c r="L100" s="80" t="s">
        <v>353</v>
      </c>
      <c r="M100" s="80" t="s">
        <v>353</v>
      </c>
      <c r="N100" s="80" t="s">
        <v>353</v>
      </c>
      <c r="O100" s="80" t="s">
        <v>353</v>
      </c>
      <c r="P100" s="80" t="s">
        <v>353</v>
      </c>
      <c r="Q100" s="80" t="s">
        <v>353</v>
      </c>
      <c r="R100" s="80" t="s">
        <v>353</v>
      </c>
      <c r="S100" s="80" t="s">
        <v>353</v>
      </c>
      <c r="T100" s="80" t="s">
        <v>353</v>
      </c>
      <c r="U100" s="80" t="s">
        <v>353</v>
      </c>
      <c r="V100" s="80" t="s">
        <v>353</v>
      </c>
      <c r="W100" s="80" t="s">
        <v>353</v>
      </c>
      <c r="X100" s="80" t="s">
        <v>353</v>
      </c>
      <c r="Y100" s="80" t="s">
        <v>353</v>
      </c>
      <c r="Z100" s="80" t="s">
        <v>1530</v>
      </c>
      <c r="AA100" s="80" t="s">
        <v>3340</v>
      </c>
      <c r="AB100" s="80" t="s">
        <v>353</v>
      </c>
      <c r="AC100" s="80" t="s">
        <v>353</v>
      </c>
      <c r="AD100" s="80" t="s">
        <v>353</v>
      </c>
      <c r="AE100" s="80" t="s">
        <v>353</v>
      </c>
      <c r="AF100" s="80" t="s">
        <v>353</v>
      </c>
      <c r="AG100" s="80" t="s">
        <v>353</v>
      </c>
      <c r="AH100" s="80" t="s">
        <v>353</v>
      </c>
      <c r="AI100" s="80" t="s">
        <v>353</v>
      </c>
      <c r="AJ100" s="80" t="s">
        <v>353</v>
      </c>
      <c r="AK100" s="80" t="s">
        <v>353</v>
      </c>
      <c r="AL100" s="81">
        <f>IF(E100="Sí",1,IF(E100="Parcial",0.5,0))+IF(F100="Sí",1,IF(F100="Parcial",0.5,0))+IF(G100="Sí",1,IF(G100="Parcial",0.5,0))+IF(H100="Sí",1,IF(H100="Parcial",0.5,0))</f>
        <v>0</v>
      </c>
      <c r="AM100" s="82">
        <f>IF(I100="Sí",1,IF(I100="Parcial",0.5,0))+IF(J100="Sí",1,IF(J100="Parcial",0.5,0))+IF(K100="Sí",1,IF(K100="Parcial",0.5,0))</f>
        <v>0</v>
      </c>
      <c r="AN100" s="83">
        <f>IF(L100="Sí",1,IF(L100="Parcial",0.5,0))+IF(M100="Sí",1,IF(M100="Parcial",0.5,0))+IF(N100="Sí",1,IF(N100="Parcial",0.5,0))+IF(O100="Sí",1,IF(O100="Parcial",0.5,0))</f>
        <v>0</v>
      </c>
      <c r="AO100" s="84">
        <f>IF(P100="Sí",1,IF(P100="Parcial",0.5,0))+IF(Q100="Sí",1,IF(Q100="Parcial",0.5,0))+IF(R100="Sí",1,IF(R100="Parcial",0.5,0))+IF(S100="Sí",1,IF(S100="Parcial",0.5,0))+IF(T100="Sí",1,IF(T100="Parcial",0.5,0))+IF(U100="Sí",1,IF(U100="Parcial",0.5,0))</f>
        <v>0</v>
      </c>
      <c r="AP100" s="85">
        <f>IF(V100="Sí",1,IF(V100="Parcial",0.5,0))+IF(W100="Sí",1,IF(W100="Parcial",0.5,0))+IF(X100="Sí",1,IF(X100="Parcial",0.5,0))+IF(Y100="Sí",1,IF(Y100="Parcial",0.5,0))</f>
        <v>0</v>
      </c>
      <c r="AQ100" s="86">
        <f>IF(Z100="Sí",1,IF(Z100="Parcial",0.5,0))+IF(AA100="Sí",1,IF(AA100="Parcial",0.5,0))+IF(AB100="Sí",1,IF(AB100="Parcial",0.5,0))</f>
        <v>1.5</v>
      </c>
      <c r="AR100" s="87">
        <f>IF(AC100="Sí",1,IF(AC100="Parcial",0.5,0))+IF(AD100="Sí",1,IF(AD100="Parcial",0.5,0))+IF(AE100="Sí",1,IF(AE100="Parcial",0.5,0))</f>
        <v>0</v>
      </c>
      <c r="AS100" s="88">
        <f>IF(AF100="Sí",1,IF(AF100="Parcial",0.5,0))+IF(AG100="Sí",1,IF(AG100="Parcial",0.5,0))+IF(AH100="Sí",1,IF(AH100="Parcial",0.5,0))</f>
        <v>0</v>
      </c>
      <c r="AT100" s="89">
        <f>IF(AI100="Sí",1,IF(AI100="Parcial",0.5,0))+IF(AJ100="Sí",1,IF(AJ100="Parcial",0.5,0))+IF(AK100="Sí",1,IF(AK100="Parcial",0.5,0))</f>
        <v>0</v>
      </c>
      <c r="AU100" s="90">
        <f>SUM(AL100,AM100,AN100,AO100,AP100,AQ100,AR100,AS100,AT100)</f>
        <v>1.5</v>
      </c>
      <c r="AV100" s="225">
        <f>IFERROR(IF(OR(A100="",AU100=0),"",AU100/(IF(AL100&gt;0,1,0)+IF(AM100&gt;0,1,0)+IF(AN100&gt;0,1,0)+IF(AO100&gt;0,1,0)+IF(AP100&gt;0,1,0)+IF(AQ100&gt;0,1,0)+IF(AR100&gt;0,1,0)+IF(AS100&gt;0,1,0)+IF(AT100&gt;0,1,0))),"")</f>
        <v>1.5</v>
      </c>
      <c r="AW100" s="225">
        <f>IFERROR(IF(OR(A100="",AU100=""),"",IF(AND(MAX($AU$8:$AU$156)=0,MAX($AV$8:$AV$156)=0),"",0.5*(AU100/MAX($AU$8:$AU$156))+0.5*(AV100/MAX($AV$8:$AV$156)))),"")</f>
        <v>0.27083333333333331</v>
      </c>
      <c r="AX100" s="79" t="str">
        <f>IF(A100="","",IF((IF(AL100&gt;=1,1,0)+IF(AM100&gt;=1,1,0)+IF(AN100&gt;=1,1,0)+IF(AO100&gt;=1,1,0)+IF(AP100&gt;=1,1,0)+IF(AQ100&gt;=1,1,0)+IF(AR100&gt;=1,1,0)+IF(AS100&gt;=1,1,0)+IF(AT100&gt;=1,1,0))&gt;=5,"Diversificado (5+ verticales)",IF((IF(AL100&gt;=1,1,0)+IF(AM100&gt;=1,1,0)+IF(AN100&gt;=1,1,0)+IF(AO100&gt;=1,1,0)+IF(AP100&gt;=1,1,0)+IF(AQ100&gt;=1,1,0)+IF(AR100&gt;=1,1,0)+IF(AS100&gt;=1,1,0)+IF(AT100&gt;=1,1,0))&gt;=3,"Multi-capacidad (3-4 verticales)",IF((IF(AL100&gt;=1,1,0)+IF(AM100&gt;=1,1,0)+IF(AN100&gt;=1,1,0)+IF(AO100&gt;=1,1,0)+IF(AP100&gt;=1,1,0)+IF(AQ100&gt;=1,1,0)+IF(AR100&gt;=1,1,0)+IF(AS100&gt;=1,1,0)+IF(AT100&gt;=1,1,0))&gt;=1,"Especialista (1-2 verticales)","Sin función mapeada"))))</f>
        <v>Especialista (1-2 verticales)</v>
      </c>
    </row>
    <row r="101" spans="1:50" ht="24" customHeight="1" x14ac:dyDescent="0.2">
      <c r="A101" s="48" t="s">
        <v>1289</v>
      </c>
      <c r="B101" s="48" t="s">
        <v>1290</v>
      </c>
      <c r="C101" s="78" t="str">
        <f>IF(A101="","",IFERROR(INDEX('UNIVERSO MAESTRO'!$C$6:$C$497,MATCH(A101,'UNIVERSO MAESTRO'!$A$6:$A$497,0)),"⚠ ID no encontrado"))</f>
        <v>Scotiabank</v>
      </c>
      <c r="D101" s="79" t="str">
        <f>IF(A101="","",IFERROR(INDEX('UNIVERSO MAESTRO'!$D$6:$D$497,MATCH(A101,'UNIVERSO MAESTRO'!$A$6:$A$497,0)),""))</f>
        <v>V3</v>
      </c>
      <c r="E101" s="80" t="s">
        <v>353</v>
      </c>
      <c r="F101" s="80" t="s">
        <v>353</v>
      </c>
      <c r="G101" s="80" t="s">
        <v>353</v>
      </c>
      <c r="H101" s="80" t="s">
        <v>353</v>
      </c>
      <c r="I101" s="80" t="s">
        <v>353</v>
      </c>
      <c r="J101" s="80" t="s">
        <v>353</v>
      </c>
      <c r="K101" s="80" t="s">
        <v>353</v>
      </c>
      <c r="L101" s="80" t="s">
        <v>3340</v>
      </c>
      <c r="M101" s="80" t="s">
        <v>1530</v>
      </c>
      <c r="N101" s="80" t="s">
        <v>353</v>
      </c>
      <c r="O101" s="80" t="s">
        <v>353</v>
      </c>
      <c r="P101" s="80" t="s">
        <v>353</v>
      </c>
      <c r="Q101" s="80" t="s">
        <v>353</v>
      </c>
      <c r="R101" s="80" t="s">
        <v>353</v>
      </c>
      <c r="S101" s="80" t="s">
        <v>353</v>
      </c>
      <c r="T101" s="80" t="s">
        <v>353</v>
      </c>
      <c r="U101" s="80" t="s">
        <v>353</v>
      </c>
      <c r="V101" s="80" t="s">
        <v>353</v>
      </c>
      <c r="W101" s="80" t="s">
        <v>353</v>
      </c>
      <c r="X101" s="80" t="s">
        <v>353</v>
      </c>
      <c r="Y101" s="80" t="s">
        <v>353</v>
      </c>
      <c r="Z101" s="80" t="s">
        <v>353</v>
      </c>
      <c r="AA101" s="80" t="s">
        <v>353</v>
      </c>
      <c r="AB101" s="80" t="s">
        <v>353</v>
      </c>
      <c r="AC101" s="80" t="s">
        <v>353</v>
      </c>
      <c r="AD101" s="80" t="s">
        <v>353</v>
      </c>
      <c r="AE101" s="80" t="s">
        <v>353</v>
      </c>
      <c r="AF101" s="80" t="s">
        <v>353</v>
      </c>
      <c r="AG101" s="80" t="s">
        <v>353</v>
      </c>
      <c r="AH101" s="80" t="s">
        <v>353</v>
      </c>
      <c r="AI101" s="80" t="s">
        <v>353</v>
      </c>
      <c r="AJ101" s="80" t="s">
        <v>353</v>
      </c>
      <c r="AK101" s="80" t="s">
        <v>353</v>
      </c>
      <c r="AL101" s="81">
        <f>IF(E101="Sí",1,IF(E101="Parcial",0.5,0))+IF(F101="Sí",1,IF(F101="Parcial",0.5,0))+IF(G101="Sí",1,IF(G101="Parcial",0.5,0))+IF(H101="Sí",1,IF(H101="Parcial",0.5,0))</f>
        <v>0</v>
      </c>
      <c r="AM101" s="82">
        <f>IF(I101="Sí",1,IF(I101="Parcial",0.5,0))+IF(J101="Sí",1,IF(J101="Parcial",0.5,0))+IF(K101="Sí",1,IF(K101="Parcial",0.5,0))</f>
        <v>0</v>
      </c>
      <c r="AN101" s="83">
        <f>IF(L101="Sí",1,IF(L101="Parcial",0.5,0))+IF(M101="Sí",1,IF(M101="Parcial",0.5,0))+IF(N101="Sí",1,IF(N101="Parcial",0.5,0))+IF(O101="Sí",1,IF(O101="Parcial",0.5,0))</f>
        <v>1.5</v>
      </c>
      <c r="AO101" s="84">
        <f>IF(P101="Sí",1,IF(P101="Parcial",0.5,0))+IF(Q101="Sí",1,IF(Q101="Parcial",0.5,0))+IF(R101="Sí",1,IF(R101="Parcial",0.5,0))+IF(S101="Sí",1,IF(S101="Parcial",0.5,0))+IF(T101="Sí",1,IF(T101="Parcial",0.5,0))+IF(U101="Sí",1,IF(U101="Parcial",0.5,0))</f>
        <v>0</v>
      </c>
      <c r="AP101" s="85">
        <f>IF(V101="Sí",1,IF(V101="Parcial",0.5,0))+IF(W101="Sí",1,IF(W101="Parcial",0.5,0))+IF(X101="Sí",1,IF(X101="Parcial",0.5,0))+IF(Y101="Sí",1,IF(Y101="Parcial",0.5,0))</f>
        <v>0</v>
      </c>
      <c r="AQ101" s="86">
        <f>IF(Z101="Sí",1,IF(Z101="Parcial",0.5,0))+IF(AA101="Sí",1,IF(AA101="Parcial",0.5,0))+IF(AB101="Sí",1,IF(AB101="Parcial",0.5,0))</f>
        <v>0</v>
      </c>
      <c r="AR101" s="87">
        <f>IF(AC101="Sí",1,IF(AC101="Parcial",0.5,0))+IF(AD101="Sí",1,IF(AD101="Parcial",0.5,0))+IF(AE101="Sí",1,IF(AE101="Parcial",0.5,0))</f>
        <v>0</v>
      </c>
      <c r="AS101" s="88">
        <f>IF(AF101="Sí",1,IF(AF101="Parcial",0.5,0))+IF(AG101="Sí",1,IF(AG101="Parcial",0.5,0))+IF(AH101="Sí",1,IF(AH101="Parcial",0.5,0))</f>
        <v>0</v>
      </c>
      <c r="AT101" s="89">
        <f>IF(AI101="Sí",1,IF(AI101="Parcial",0.5,0))+IF(AJ101="Sí",1,IF(AJ101="Parcial",0.5,0))+IF(AK101="Sí",1,IF(AK101="Parcial",0.5,0))</f>
        <v>0</v>
      </c>
      <c r="AU101" s="90">
        <f>SUM(AL101,AM101,AN101,AO101,AP101,AQ101,AR101,AS101,AT101)</f>
        <v>1.5</v>
      </c>
      <c r="AV101" s="225">
        <f>IFERROR(IF(OR(A101="",AU101=0),"",AU101/(IF(AL101&gt;0,1,0)+IF(AM101&gt;0,1,0)+IF(AN101&gt;0,1,0)+IF(AO101&gt;0,1,0)+IF(AP101&gt;0,1,0)+IF(AQ101&gt;0,1,0)+IF(AR101&gt;0,1,0)+IF(AS101&gt;0,1,0)+IF(AT101&gt;0,1,0))),"")</f>
        <v>1.5</v>
      </c>
      <c r="AW101" s="225">
        <f>IFERROR(IF(OR(A101="",AU101=""),"",IF(AND(MAX($AU$8:$AU$156)=0,MAX($AV$8:$AV$156)=0),"",0.5*(AU101/MAX($AU$8:$AU$156))+0.5*(AV101/MAX($AV$8:$AV$156)))),"")</f>
        <v>0.27083333333333331</v>
      </c>
      <c r="AX101" s="79" t="str">
        <f>IF(A101="","",IF((IF(AL101&gt;=1,1,0)+IF(AM101&gt;=1,1,0)+IF(AN101&gt;=1,1,0)+IF(AO101&gt;=1,1,0)+IF(AP101&gt;=1,1,0)+IF(AQ101&gt;=1,1,0)+IF(AR101&gt;=1,1,0)+IF(AS101&gt;=1,1,0)+IF(AT101&gt;=1,1,0))&gt;=5,"Diversificado (5+ verticales)",IF((IF(AL101&gt;=1,1,0)+IF(AM101&gt;=1,1,0)+IF(AN101&gt;=1,1,0)+IF(AO101&gt;=1,1,0)+IF(AP101&gt;=1,1,0)+IF(AQ101&gt;=1,1,0)+IF(AR101&gt;=1,1,0)+IF(AS101&gt;=1,1,0)+IF(AT101&gt;=1,1,0))&gt;=3,"Multi-capacidad (3-4 verticales)",IF((IF(AL101&gt;=1,1,0)+IF(AM101&gt;=1,1,0)+IF(AN101&gt;=1,1,0)+IF(AO101&gt;=1,1,0)+IF(AP101&gt;=1,1,0)+IF(AQ101&gt;=1,1,0)+IF(AR101&gt;=1,1,0)+IF(AS101&gt;=1,1,0)+IF(AT101&gt;=1,1,0))&gt;=1,"Especialista (1-2 verticales)","Sin función mapeada"))))</f>
        <v>Especialista (1-2 verticales)</v>
      </c>
    </row>
    <row r="102" spans="1:50" ht="24" customHeight="1" x14ac:dyDescent="0.2">
      <c r="A102" s="48" t="s">
        <v>1296</v>
      </c>
      <c r="B102" s="48" t="s">
        <v>1297</v>
      </c>
      <c r="C102" s="78" t="str">
        <f>IF(A102="","",IFERROR(INDEX('UNIVERSO MAESTRO'!$C$6:$C$497,MATCH(A102,'UNIVERSO MAESTRO'!$A$6:$A$497,0)),"⚠ ID no encontrado"))</f>
        <v>Seeuplay</v>
      </c>
      <c r="D102" s="79" t="str">
        <f>IF(A102="","",IFERROR(INDEX('UNIVERSO MAESTRO'!$D$6:$D$497,MATCH(A102,'UNIVERSO MAESTRO'!$A$6:$A$497,0)),""))</f>
        <v>V8</v>
      </c>
      <c r="E102" s="80" t="s">
        <v>353</v>
      </c>
      <c r="F102" s="80" t="s">
        <v>353</v>
      </c>
      <c r="G102" s="80" t="s">
        <v>353</v>
      </c>
      <c r="H102" s="80" t="s">
        <v>353</v>
      </c>
      <c r="I102" s="80" t="s">
        <v>353</v>
      </c>
      <c r="J102" s="80" t="s">
        <v>353</v>
      </c>
      <c r="K102" s="80" t="s">
        <v>353</v>
      </c>
      <c r="L102" s="80" t="s">
        <v>353</v>
      </c>
      <c r="M102" s="80" t="s">
        <v>353</v>
      </c>
      <c r="N102" s="80" t="s">
        <v>353</v>
      </c>
      <c r="O102" s="80" t="s">
        <v>353</v>
      </c>
      <c r="P102" s="80" t="s">
        <v>353</v>
      </c>
      <c r="Q102" s="80" t="s">
        <v>353</v>
      </c>
      <c r="R102" s="80" t="s">
        <v>353</v>
      </c>
      <c r="S102" s="80" t="s">
        <v>353</v>
      </c>
      <c r="T102" s="80" t="s">
        <v>353</v>
      </c>
      <c r="U102" s="80" t="s">
        <v>353</v>
      </c>
      <c r="V102" s="80" t="s">
        <v>353</v>
      </c>
      <c r="W102" s="80" t="s">
        <v>353</v>
      </c>
      <c r="X102" s="80" t="s">
        <v>353</v>
      </c>
      <c r="Y102" s="80" t="s">
        <v>353</v>
      </c>
      <c r="Z102" s="80" t="s">
        <v>353</v>
      </c>
      <c r="AA102" s="80" t="s">
        <v>353</v>
      </c>
      <c r="AB102" s="80" t="s">
        <v>353</v>
      </c>
      <c r="AC102" s="80" t="s">
        <v>353</v>
      </c>
      <c r="AD102" s="80" t="s">
        <v>353</v>
      </c>
      <c r="AE102" s="80" t="s">
        <v>353</v>
      </c>
      <c r="AF102" s="80" t="s">
        <v>353</v>
      </c>
      <c r="AG102" s="80" t="s">
        <v>1530</v>
      </c>
      <c r="AH102" s="80" t="s">
        <v>3340</v>
      </c>
      <c r="AI102" s="80" t="s">
        <v>353</v>
      </c>
      <c r="AJ102" s="80" t="s">
        <v>353</v>
      </c>
      <c r="AK102" s="80" t="s">
        <v>353</v>
      </c>
      <c r="AL102" s="81">
        <f>IF(E102="Sí",1,IF(E102="Parcial",0.5,0))+IF(F102="Sí",1,IF(F102="Parcial",0.5,0))+IF(G102="Sí",1,IF(G102="Parcial",0.5,0))+IF(H102="Sí",1,IF(H102="Parcial",0.5,0))</f>
        <v>0</v>
      </c>
      <c r="AM102" s="82">
        <f>IF(I102="Sí",1,IF(I102="Parcial",0.5,0))+IF(J102="Sí",1,IF(J102="Parcial",0.5,0))+IF(K102="Sí",1,IF(K102="Parcial",0.5,0))</f>
        <v>0</v>
      </c>
      <c r="AN102" s="83">
        <f>IF(L102="Sí",1,IF(L102="Parcial",0.5,0))+IF(M102="Sí",1,IF(M102="Parcial",0.5,0))+IF(N102="Sí",1,IF(N102="Parcial",0.5,0))+IF(O102="Sí",1,IF(O102="Parcial",0.5,0))</f>
        <v>0</v>
      </c>
      <c r="AO102" s="84">
        <f>IF(P102="Sí",1,IF(P102="Parcial",0.5,0))+IF(Q102="Sí",1,IF(Q102="Parcial",0.5,0))+IF(R102="Sí",1,IF(R102="Parcial",0.5,0))+IF(S102="Sí",1,IF(S102="Parcial",0.5,0))+IF(T102="Sí",1,IF(T102="Parcial",0.5,0))+IF(U102="Sí",1,IF(U102="Parcial",0.5,0))</f>
        <v>0</v>
      </c>
      <c r="AP102" s="85">
        <f>IF(V102="Sí",1,IF(V102="Parcial",0.5,0))+IF(W102="Sí",1,IF(W102="Parcial",0.5,0))+IF(X102="Sí",1,IF(X102="Parcial",0.5,0))+IF(Y102="Sí",1,IF(Y102="Parcial",0.5,0))</f>
        <v>0</v>
      </c>
      <c r="AQ102" s="86">
        <f>IF(Z102="Sí",1,IF(Z102="Parcial",0.5,0))+IF(AA102="Sí",1,IF(AA102="Parcial",0.5,0))+IF(AB102="Sí",1,IF(AB102="Parcial",0.5,0))</f>
        <v>0</v>
      </c>
      <c r="AR102" s="87">
        <f>IF(AC102="Sí",1,IF(AC102="Parcial",0.5,0))+IF(AD102="Sí",1,IF(AD102="Parcial",0.5,0))+IF(AE102="Sí",1,IF(AE102="Parcial",0.5,0))</f>
        <v>0</v>
      </c>
      <c r="AS102" s="88">
        <f>IF(AF102="Sí",1,IF(AF102="Parcial",0.5,0))+IF(AG102="Sí",1,IF(AG102="Parcial",0.5,0))+IF(AH102="Sí",1,IF(AH102="Parcial",0.5,0))</f>
        <v>1.5</v>
      </c>
      <c r="AT102" s="89">
        <f>IF(AI102="Sí",1,IF(AI102="Parcial",0.5,0))+IF(AJ102="Sí",1,IF(AJ102="Parcial",0.5,0))+IF(AK102="Sí",1,IF(AK102="Parcial",0.5,0))</f>
        <v>0</v>
      </c>
      <c r="AU102" s="90">
        <f>SUM(AL102,AM102,AN102,AO102,AP102,AQ102,AR102,AS102,AT102)</f>
        <v>1.5</v>
      </c>
      <c r="AV102" s="225">
        <f>IFERROR(IF(OR(A102="",AU102=0),"",AU102/(IF(AL102&gt;0,1,0)+IF(AM102&gt;0,1,0)+IF(AN102&gt;0,1,0)+IF(AO102&gt;0,1,0)+IF(AP102&gt;0,1,0)+IF(AQ102&gt;0,1,0)+IF(AR102&gt;0,1,0)+IF(AS102&gt;0,1,0)+IF(AT102&gt;0,1,0))),"")</f>
        <v>1.5</v>
      </c>
      <c r="AW102" s="225">
        <f>IFERROR(IF(OR(A102="",AU102=""),"",IF(AND(MAX($AU$8:$AU$156)=0,MAX($AV$8:$AV$156)=0),"",0.5*(AU102/MAX($AU$8:$AU$156))+0.5*(AV102/MAX($AV$8:$AV$156)))),"")</f>
        <v>0.27083333333333331</v>
      </c>
      <c r="AX102" s="79" t="str">
        <f>IF(A102="","",IF((IF(AL102&gt;=1,1,0)+IF(AM102&gt;=1,1,0)+IF(AN102&gt;=1,1,0)+IF(AO102&gt;=1,1,0)+IF(AP102&gt;=1,1,0)+IF(AQ102&gt;=1,1,0)+IF(AR102&gt;=1,1,0)+IF(AS102&gt;=1,1,0)+IF(AT102&gt;=1,1,0))&gt;=5,"Diversificado (5+ verticales)",IF((IF(AL102&gt;=1,1,0)+IF(AM102&gt;=1,1,0)+IF(AN102&gt;=1,1,0)+IF(AO102&gt;=1,1,0)+IF(AP102&gt;=1,1,0)+IF(AQ102&gt;=1,1,0)+IF(AR102&gt;=1,1,0)+IF(AS102&gt;=1,1,0)+IF(AT102&gt;=1,1,0))&gt;=3,"Multi-capacidad (3-4 verticales)",IF((IF(AL102&gt;=1,1,0)+IF(AM102&gt;=1,1,0)+IF(AN102&gt;=1,1,0)+IF(AO102&gt;=1,1,0)+IF(AP102&gt;=1,1,0)+IF(AQ102&gt;=1,1,0)+IF(AR102&gt;=1,1,0)+IF(AS102&gt;=1,1,0)+IF(AT102&gt;=1,1,0))&gt;=1,"Especialista (1-2 verticales)","Sin función mapeada"))))</f>
        <v>Especialista (1-2 verticales)</v>
      </c>
    </row>
    <row r="103" spans="1:50" ht="24" customHeight="1" x14ac:dyDescent="0.2">
      <c r="A103" s="48" t="s">
        <v>1349</v>
      </c>
      <c r="B103" s="48" t="s">
        <v>1350</v>
      </c>
      <c r="C103" s="78" t="str">
        <f>IF(A103="","",IFERROR(INDEX('UNIVERSO MAESTRO'!$C$6:$C$497,MATCH(A103,'UNIVERSO MAESTRO'!$A$6:$A$497,0)),"⚠ ID no encontrado"))</f>
        <v>Soccer Media Solutions (SMS)</v>
      </c>
      <c r="D103" s="79" t="str">
        <f>IF(A103="","",IFERROR(INDEX('UNIVERSO MAESTRO'!$D$6:$D$497,MATCH(A103,'UNIVERSO MAESTRO'!$A$6:$A$497,0)),""))</f>
        <v>V4</v>
      </c>
      <c r="E103" s="80" t="s">
        <v>353</v>
      </c>
      <c r="F103" s="80" t="s">
        <v>353</v>
      </c>
      <c r="G103" s="80" t="s">
        <v>353</v>
      </c>
      <c r="H103" s="80" t="s">
        <v>353</v>
      </c>
      <c r="I103" s="80" t="s">
        <v>353</v>
      </c>
      <c r="J103" s="80" t="s">
        <v>353</v>
      </c>
      <c r="K103" s="80" t="s">
        <v>353</v>
      </c>
      <c r="L103" s="80" t="s">
        <v>353</v>
      </c>
      <c r="M103" s="80" t="s">
        <v>353</v>
      </c>
      <c r="N103" s="80" t="s">
        <v>353</v>
      </c>
      <c r="O103" s="80" t="s">
        <v>353</v>
      </c>
      <c r="P103" s="80" t="s">
        <v>353</v>
      </c>
      <c r="Q103" s="80" t="s">
        <v>1530</v>
      </c>
      <c r="R103" s="80" t="s">
        <v>3340</v>
      </c>
      <c r="S103" s="80" t="s">
        <v>353</v>
      </c>
      <c r="T103" s="80" t="s">
        <v>353</v>
      </c>
      <c r="U103" s="80" t="s">
        <v>353</v>
      </c>
      <c r="V103" s="80" t="s">
        <v>353</v>
      </c>
      <c r="W103" s="80" t="s">
        <v>353</v>
      </c>
      <c r="X103" s="80" t="s">
        <v>353</v>
      </c>
      <c r="Y103" s="80" t="s">
        <v>353</v>
      </c>
      <c r="Z103" s="80" t="s">
        <v>353</v>
      </c>
      <c r="AA103" s="80" t="s">
        <v>353</v>
      </c>
      <c r="AB103" s="80" t="s">
        <v>353</v>
      </c>
      <c r="AC103" s="80" t="s">
        <v>353</v>
      </c>
      <c r="AD103" s="80" t="s">
        <v>353</v>
      </c>
      <c r="AE103" s="80" t="s">
        <v>353</v>
      </c>
      <c r="AF103" s="80" t="s">
        <v>353</v>
      </c>
      <c r="AG103" s="80" t="s">
        <v>353</v>
      </c>
      <c r="AH103" s="80" t="s">
        <v>353</v>
      </c>
      <c r="AI103" s="80" t="s">
        <v>353</v>
      </c>
      <c r="AJ103" s="80" t="s">
        <v>353</v>
      </c>
      <c r="AK103" s="80" t="s">
        <v>353</v>
      </c>
      <c r="AL103" s="81">
        <f>IF(E103="Sí",1,IF(E103="Parcial",0.5,0))+IF(F103="Sí",1,IF(F103="Parcial",0.5,0))+IF(G103="Sí",1,IF(G103="Parcial",0.5,0))+IF(H103="Sí",1,IF(H103="Parcial",0.5,0))</f>
        <v>0</v>
      </c>
      <c r="AM103" s="82">
        <f>IF(I103="Sí",1,IF(I103="Parcial",0.5,0))+IF(J103="Sí",1,IF(J103="Parcial",0.5,0))+IF(K103="Sí",1,IF(K103="Parcial",0.5,0))</f>
        <v>0</v>
      </c>
      <c r="AN103" s="83">
        <f>IF(L103="Sí",1,IF(L103="Parcial",0.5,0))+IF(M103="Sí",1,IF(M103="Parcial",0.5,0))+IF(N103="Sí",1,IF(N103="Parcial",0.5,0))+IF(O103="Sí",1,IF(O103="Parcial",0.5,0))</f>
        <v>0</v>
      </c>
      <c r="AO103" s="84">
        <f>IF(P103="Sí",1,IF(P103="Parcial",0.5,0))+IF(Q103="Sí",1,IF(Q103="Parcial",0.5,0))+IF(R103="Sí",1,IF(R103="Parcial",0.5,0))+IF(S103="Sí",1,IF(S103="Parcial",0.5,0))+IF(T103="Sí",1,IF(T103="Parcial",0.5,0))+IF(U103="Sí",1,IF(U103="Parcial",0.5,0))</f>
        <v>1.5</v>
      </c>
      <c r="AP103" s="85">
        <f>IF(V103="Sí",1,IF(V103="Parcial",0.5,0))+IF(W103="Sí",1,IF(W103="Parcial",0.5,0))+IF(X103="Sí",1,IF(X103="Parcial",0.5,0))+IF(Y103="Sí",1,IF(Y103="Parcial",0.5,0))</f>
        <v>0</v>
      </c>
      <c r="AQ103" s="86">
        <f>IF(Z103="Sí",1,IF(Z103="Parcial",0.5,0))+IF(AA103="Sí",1,IF(AA103="Parcial",0.5,0))+IF(AB103="Sí",1,IF(AB103="Parcial",0.5,0))</f>
        <v>0</v>
      </c>
      <c r="AR103" s="87">
        <f>IF(AC103="Sí",1,IF(AC103="Parcial",0.5,0))+IF(AD103="Sí",1,IF(AD103="Parcial",0.5,0))+IF(AE103="Sí",1,IF(AE103="Parcial",0.5,0))</f>
        <v>0</v>
      </c>
      <c r="AS103" s="88">
        <f>IF(AF103="Sí",1,IF(AF103="Parcial",0.5,0))+IF(AG103="Sí",1,IF(AG103="Parcial",0.5,0))+IF(AH103="Sí",1,IF(AH103="Parcial",0.5,0))</f>
        <v>0</v>
      </c>
      <c r="AT103" s="89">
        <f>IF(AI103="Sí",1,IF(AI103="Parcial",0.5,0))+IF(AJ103="Sí",1,IF(AJ103="Parcial",0.5,0))+IF(AK103="Sí",1,IF(AK103="Parcial",0.5,0))</f>
        <v>0</v>
      </c>
      <c r="AU103" s="90">
        <f>SUM(AL103,AM103,AN103,AO103,AP103,AQ103,AR103,AS103,AT103)</f>
        <v>1.5</v>
      </c>
      <c r="AV103" s="225">
        <f>IFERROR(IF(OR(A103="",AU103=0),"",AU103/(IF(AL103&gt;0,1,0)+IF(AM103&gt;0,1,0)+IF(AN103&gt;0,1,0)+IF(AO103&gt;0,1,0)+IF(AP103&gt;0,1,0)+IF(AQ103&gt;0,1,0)+IF(AR103&gt;0,1,0)+IF(AS103&gt;0,1,0)+IF(AT103&gt;0,1,0))),"")</f>
        <v>1.5</v>
      </c>
      <c r="AW103" s="225">
        <f>IFERROR(IF(OR(A103="",AU103=""),"",IF(AND(MAX($AU$8:$AU$156)=0,MAX($AV$8:$AV$156)=0),"",0.5*(AU103/MAX($AU$8:$AU$156))+0.5*(AV103/MAX($AV$8:$AV$156)))),"")</f>
        <v>0.27083333333333331</v>
      </c>
      <c r="AX103" s="79" t="str">
        <f>IF(A103="","",IF((IF(AL103&gt;=1,1,0)+IF(AM103&gt;=1,1,0)+IF(AN103&gt;=1,1,0)+IF(AO103&gt;=1,1,0)+IF(AP103&gt;=1,1,0)+IF(AQ103&gt;=1,1,0)+IF(AR103&gt;=1,1,0)+IF(AS103&gt;=1,1,0)+IF(AT103&gt;=1,1,0))&gt;=5,"Diversificado (5+ verticales)",IF((IF(AL103&gt;=1,1,0)+IF(AM103&gt;=1,1,0)+IF(AN103&gt;=1,1,0)+IF(AO103&gt;=1,1,0)+IF(AP103&gt;=1,1,0)+IF(AQ103&gt;=1,1,0)+IF(AR103&gt;=1,1,0)+IF(AS103&gt;=1,1,0)+IF(AT103&gt;=1,1,0))&gt;=3,"Multi-capacidad (3-4 verticales)",IF((IF(AL103&gt;=1,1,0)+IF(AM103&gt;=1,1,0)+IF(AN103&gt;=1,1,0)+IF(AO103&gt;=1,1,0)+IF(AP103&gt;=1,1,0)+IF(AQ103&gt;=1,1,0)+IF(AR103&gt;=1,1,0)+IF(AS103&gt;=1,1,0)+IF(AT103&gt;=1,1,0))&gt;=1,"Especialista (1-2 verticales)","Sin función mapeada"))))</f>
        <v>Especialista (1-2 verticales)</v>
      </c>
    </row>
    <row r="104" spans="1:50" ht="24" customHeight="1" x14ac:dyDescent="0.2">
      <c r="A104" s="48" t="s">
        <v>1391</v>
      </c>
      <c r="B104" s="48" t="s">
        <v>1392</v>
      </c>
      <c r="C104" s="78" t="str">
        <f>IF(A104="","",IFERROR(INDEX('UNIVERSO MAESTRO'!$C$6:$C$497,MATCH(A104,'UNIVERSO MAESTRO'!$A$6:$A$497,0)),"⚠ ID no encontrado"))</f>
        <v>SUM (Soccer United Marketing)</v>
      </c>
      <c r="D104" s="79" t="str">
        <f>IF(A104="","",IFERROR(INDEX('UNIVERSO MAESTRO'!$D$6:$D$497,MATCH(A104,'UNIVERSO MAESTRO'!$A$6:$A$497,0)),""))</f>
        <v>V4</v>
      </c>
      <c r="E104" s="80" t="s">
        <v>353</v>
      </c>
      <c r="F104" s="80" t="s">
        <v>353</v>
      </c>
      <c r="G104" s="80" t="s">
        <v>353</v>
      </c>
      <c r="H104" s="80" t="s">
        <v>353</v>
      </c>
      <c r="I104" s="80" t="s">
        <v>353</v>
      </c>
      <c r="J104" s="80" t="s">
        <v>353</v>
      </c>
      <c r="K104" s="80" t="s">
        <v>353</v>
      </c>
      <c r="L104" s="80" t="s">
        <v>353</v>
      </c>
      <c r="M104" s="80" t="s">
        <v>353</v>
      </c>
      <c r="N104" s="80" t="s">
        <v>353</v>
      </c>
      <c r="O104" s="80" t="s">
        <v>353</v>
      </c>
      <c r="P104" s="80" t="s">
        <v>3340</v>
      </c>
      <c r="Q104" s="80" t="s">
        <v>1530</v>
      </c>
      <c r="R104" s="80" t="s">
        <v>353</v>
      </c>
      <c r="S104" s="80" t="s">
        <v>353</v>
      </c>
      <c r="T104" s="80" t="s">
        <v>353</v>
      </c>
      <c r="U104" s="80" t="s">
        <v>353</v>
      </c>
      <c r="V104" s="80" t="s">
        <v>353</v>
      </c>
      <c r="W104" s="80" t="s">
        <v>353</v>
      </c>
      <c r="X104" s="80" t="s">
        <v>353</v>
      </c>
      <c r="Y104" s="80" t="s">
        <v>353</v>
      </c>
      <c r="Z104" s="80" t="s">
        <v>353</v>
      </c>
      <c r="AA104" s="80" t="s">
        <v>353</v>
      </c>
      <c r="AB104" s="80" t="s">
        <v>353</v>
      </c>
      <c r="AC104" s="80" t="s">
        <v>353</v>
      </c>
      <c r="AD104" s="80" t="s">
        <v>353</v>
      </c>
      <c r="AE104" s="80" t="s">
        <v>353</v>
      </c>
      <c r="AF104" s="80" t="s">
        <v>353</v>
      </c>
      <c r="AG104" s="80" t="s">
        <v>353</v>
      </c>
      <c r="AH104" s="80" t="s">
        <v>353</v>
      </c>
      <c r="AI104" s="80" t="s">
        <v>353</v>
      </c>
      <c r="AJ104" s="80" t="s">
        <v>353</v>
      </c>
      <c r="AK104" s="80" t="s">
        <v>353</v>
      </c>
      <c r="AL104" s="81">
        <f>IF(E104="Sí",1,IF(E104="Parcial",0.5,0))+IF(F104="Sí",1,IF(F104="Parcial",0.5,0))+IF(G104="Sí",1,IF(G104="Parcial",0.5,0))+IF(H104="Sí",1,IF(H104="Parcial",0.5,0))</f>
        <v>0</v>
      </c>
      <c r="AM104" s="82">
        <f>IF(I104="Sí",1,IF(I104="Parcial",0.5,0))+IF(J104="Sí",1,IF(J104="Parcial",0.5,0))+IF(K104="Sí",1,IF(K104="Parcial",0.5,0))</f>
        <v>0</v>
      </c>
      <c r="AN104" s="83">
        <f>IF(L104="Sí",1,IF(L104="Parcial",0.5,0))+IF(M104="Sí",1,IF(M104="Parcial",0.5,0))+IF(N104="Sí",1,IF(N104="Parcial",0.5,0))+IF(O104="Sí",1,IF(O104="Parcial",0.5,0))</f>
        <v>0</v>
      </c>
      <c r="AO104" s="84">
        <f>IF(P104="Sí",1,IF(P104="Parcial",0.5,0))+IF(Q104="Sí",1,IF(Q104="Parcial",0.5,0))+IF(R104="Sí",1,IF(R104="Parcial",0.5,0))+IF(S104="Sí",1,IF(S104="Parcial",0.5,0))+IF(T104="Sí",1,IF(T104="Parcial",0.5,0))+IF(U104="Sí",1,IF(U104="Parcial",0.5,0))</f>
        <v>1.5</v>
      </c>
      <c r="AP104" s="85">
        <f>IF(V104="Sí",1,IF(V104="Parcial",0.5,0))+IF(W104="Sí",1,IF(W104="Parcial",0.5,0))+IF(X104="Sí",1,IF(X104="Parcial",0.5,0))+IF(Y104="Sí",1,IF(Y104="Parcial",0.5,0))</f>
        <v>0</v>
      </c>
      <c r="AQ104" s="86">
        <f>IF(Z104="Sí",1,IF(Z104="Parcial",0.5,0))+IF(AA104="Sí",1,IF(AA104="Parcial",0.5,0))+IF(AB104="Sí",1,IF(AB104="Parcial",0.5,0))</f>
        <v>0</v>
      </c>
      <c r="AR104" s="87">
        <f>IF(AC104="Sí",1,IF(AC104="Parcial",0.5,0))+IF(AD104="Sí",1,IF(AD104="Parcial",0.5,0))+IF(AE104="Sí",1,IF(AE104="Parcial",0.5,0))</f>
        <v>0</v>
      </c>
      <c r="AS104" s="88">
        <f>IF(AF104="Sí",1,IF(AF104="Parcial",0.5,0))+IF(AG104="Sí",1,IF(AG104="Parcial",0.5,0))+IF(AH104="Sí",1,IF(AH104="Parcial",0.5,0))</f>
        <v>0</v>
      </c>
      <c r="AT104" s="89">
        <f>IF(AI104="Sí",1,IF(AI104="Parcial",0.5,0))+IF(AJ104="Sí",1,IF(AJ104="Parcial",0.5,0))+IF(AK104="Sí",1,IF(AK104="Parcial",0.5,0))</f>
        <v>0</v>
      </c>
      <c r="AU104" s="90">
        <f>SUM(AL104,AM104,AN104,AO104,AP104,AQ104,AR104,AS104,AT104)</f>
        <v>1.5</v>
      </c>
      <c r="AV104" s="225">
        <f>IFERROR(IF(OR(A104="",AU104=0),"",AU104/(IF(AL104&gt;0,1,0)+IF(AM104&gt;0,1,0)+IF(AN104&gt;0,1,0)+IF(AO104&gt;0,1,0)+IF(AP104&gt;0,1,0)+IF(AQ104&gt;0,1,0)+IF(AR104&gt;0,1,0)+IF(AS104&gt;0,1,0)+IF(AT104&gt;0,1,0))),"")</f>
        <v>1.5</v>
      </c>
      <c r="AW104" s="225">
        <f>IFERROR(IF(OR(A104="",AU104=""),"",IF(AND(MAX($AU$8:$AU$156)=0,MAX($AV$8:$AV$156)=0),"",0.5*(AU104/MAX($AU$8:$AU$156))+0.5*(AV104/MAX($AV$8:$AV$156)))),"")</f>
        <v>0.27083333333333331</v>
      </c>
      <c r="AX104" s="79" t="str">
        <f>IF(A104="","",IF((IF(AL104&gt;=1,1,0)+IF(AM104&gt;=1,1,0)+IF(AN104&gt;=1,1,0)+IF(AO104&gt;=1,1,0)+IF(AP104&gt;=1,1,0)+IF(AQ104&gt;=1,1,0)+IF(AR104&gt;=1,1,0)+IF(AS104&gt;=1,1,0)+IF(AT104&gt;=1,1,0))&gt;=5,"Diversificado (5+ verticales)",IF((IF(AL104&gt;=1,1,0)+IF(AM104&gt;=1,1,0)+IF(AN104&gt;=1,1,0)+IF(AO104&gt;=1,1,0)+IF(AP104&gt;=1,1,0)+IF(AQ104&gt;=1,1,0)+IF(AR104&gt;=1,1,0)+IF(AS104&gt;=1,1,0)+IF(AT104&gt;=1,1,0))&gt;=3,"Multi-capacidad (3-4 verticales)",IF((IF(AL104&gt;=1,1,0)+IF(AM104&gt;=1,1,0)+IF(AN104&gt;=1,1,0)+IF(AO104&gt;=1,1,0)+IF(AP104&gt;=1,1,0)+IF(AQ104&gt;=1,1,0)+IF(AR104&gt;=1,1,0)+IF(AS104&gt;=1,1,0)+IF(AT104&gt;=1,1,0))&gt;=1,"Especialista (1-2 verticales)","Sin función mapeada"))))</f>
        <v>Especialista (1-2 verticales)</v>
      </c>
    </row>
    <row r="105" spans="1:50" ht="24" customHeight="1" x14ac:dyDescent="0.2">
      <c r="A105" s="48" t="s">
        <v>1409</v>
      </c>
      <c r="B105" s="48" t="s">
        <v>1410</v>
      </c>
      <c r="C105" s="78" t="str">
        <f>IF(A105="","",IFERROR(INDEX('UNIVERSO MAESTRO'!$C$6:$C$497,MATCH(A105,'UNIVERSO MAESTRO'!$A$6:$A$497,0)),"⚠ ID no encontrado"))</f>
        <v>Tecate / Cuauhtémoc Moctezuma</v>
      </c>
      <c r="D105" s="79" t="str">
        <f>IF(A105="","",IFERROR(INDEX('UNIVERSO MAESTRO'!$D$6:$D$497,MATCH(A105,'UNIVERSO MAESTRO'!$A$6:$A$497,0)),""))</f>
        <v>V3</v>
      </c>
      <c r="E105" s="80" t="s">
        <v>353</v>
      </c>
      <c r="F105" s="80" t="s">
        <v>353</v>
      </c>
      <c r="G105" s="80" t="s">
        <v>353</v>
      </c>
      <c r="H105" s="80" t="s">
        <v>353</v>
      </c>
      <c r="I105" s="80" t="s">
        <v>353</v>
      </c>
      <c r="J105" s="80" t="s">
        <v>353</v>
      </c>
      <c r="K105" s="80" t="s">
        <v>353</v>
      </c>
      <c r="L105" s="80" t="s">
        <v>353</v>
      </c>
      <c r="M105" s="80" t="s">
        <v>1530</v>
      </c>
      <c r="N105" s="80" t="s">
        <v>353</v>
      </c>
      <c r="O105" s="80" t="s">
        <v>3340</v>
      </c>
      <c r="P105" s="80" t="s">
        <v>353</v>
      </c>
      <c r="Q105" s="80" t="s">
        <v>353</v>
      </c>
      <c r="R105" s="80" t="s">
        <v>353</v>
      </c>
      <c r="S105" s="80" t="s">
        <v>353</v>
      </c>
      <c r="T105" s="80" t="s">
        <v>353</v>
      </c>
      <c r="U105" s="80" t="s">
        <v>353</v>
      </c>
      <c r="V105" s="80" t="s">
        <v>353</v>
      </c>
      <c r="W105" s="80" t="s">
        <v>353</v>
      </c>
      <c r="X105" s="80" t="s">
        <v>353</v>
      </c>
      <c r="Y105" s="80" t="s">
        <v>353</v>
      </c>
      <c r="Z105" s="80" t="s">
        <v>353</v>
      </c>
      <c r="AA105" s="80" t="s">
        <v>353</v>
      </c>
      <c r="AB105" s="80" t="s">
        <v>353</v>
      </c>
      <c r="AC105" s="80" t="s">
        <v>353</v>
      </c>
      <c r="AD105" s="80" t="s">
        <v>353</v>
      </c>
      <c r="AE105" s="80" t="s">
        <v>353</v>
      </c>
      <c r="AF105" s="80" t="s">
        <v>353</v>
      </c>
      <c r="AG105" s="80" t="s">
        <v>353</v>
      </c>
      <c r="AH105" s="80" t="s">
        <v>353</v>
      </c>
      <c r="AI105" s="80" t="s">
        <v>353</v>
      </c>
      <c r="AJ105" s="80" t="s">
        <v>353</v>
      </c>
      <c r="AK105" s="80" t="s">
        <v>353</v>
      </c>
      <c r="AL105" s="81">
        <f>IF(E105="Sí",1,IF(E105="Parcial",0.5,0))+IF(F105="Sí",1,IF(F105="Parcial",0.5,0))+IF(G105="Sí",1,IF(G105="Parcial",0.5,0))+IF(H105="Sí",1,IF(H105="Parcial",0.5,0))</f>
        <v>0</v>
      </c>
      <c r="AM105" s="82">
        <f>IF(I105="Sí",1,IF(I105="Parcial",0.5,0))+IF(J105="Sí",1,IF(J105="Parcial",0.5,0))+IF(K105="Sí",1,IF(K105="Parcial",0.5,0))</f>
        <v>0</v>
      </c>
      <c r="AN105" s="83">
        <f>IF(L105="Sí",1,IF(L105="Parcial",0.5,0))+IF(M105="Sí",1,IF(M105="Parcial",0.5,0))+IF(N105="Sí",1,IF(N105="Parcial",0.5,0))+IF(O105="Sí",1,IF(O105="Parcial",0.5,0))</f>
        <v>1.5</v>
      </c>
      <c r="AO105" s="84">
        <f>IF(P105="Sí",1,IF(P105="Parcial",0.5,0))+IF(Q105="Sí",1,IF(Q105="Parcial",0.5,0))+IF(R105="Sí",1,IF(R105="Parcial",0.5,0))+IF(S105="Sí",1,IF(S105="Parcial",0.5,0))+IF(T105="Sí",1,IF(T105="Parcial",0.5,0))+IF(U105="Sí",1,IF(U105="Parcial",0.5,0))</f>
        <v>0</v>
      </c>
      <c r="AP105" s="85">
        <f>IF(V105="Sí",1,IF(V105="Parcial",0.5,0))+IF(W105="Sí",1,IF(W105="Parcial",0.5,0))+IF(X105="Sí",1,IF(X105="Parcial",0.5,0))+IF(Y105="Sí",1,IF(Y105="Parcial",0.5,0))</f>
        <v>0</v>
      </c>
      <c r="AQ105" s="86">
        <f>IF(Z105="Sí",1,IF(Z105="Parcial",0.5,0))+IF(AA105="Sí",1,IF(AA105="Parcial",0.5,0))+IF(AB105="Sí",1,IF(AB105="Parcial",0.5,0))</f>
        <v>0</v>
      </c>
      <c r="AR105" s="87">
        <f>IF(AC105="Sí",1,IF(AC105="Parcial",0.5,0))+IF(AD105="Sí",1,IF(AD105="Parcial",0.5,0))+IF(AE105="Sí",1,IF(AE105="Parcial",0.5,0))</f>
        <v>0</v>
      </c>
      <c r="AS105" s="88">
        <f>IF(AF105="Sí",1,IF(AF105="Parcial",0.5,0))+IF(AG105="Sí",1,IF(AG105="Parcial",0.5,0))+IF(AH105="Sí",1,IF(AH105="Parcial",0.5,0))</f>
        <v>0</v>
      </c>
      <c r="AT105" s="89">
        <f>IF(AI105="Sí",1,IF(AI105="Parcial",0.5,0))+IF(AJ105="Sí",1,IF(AJ105="Parcial",0.5,0))+IF(AK105="Sí",1,IF(AK105="Parcial",0.5,0))</f>
        <v>0</v>
      </c>
      <c r="AU105" s="90">
        <f>SUM(AL105,AM105,AN105,AO105,AP105,AQ105,AR105,AS105,AT105)</f>
        <v>1.5</v>
      </c>
      <c r="AV105" s="225">
        <f>IFERROR(IF(OR(A105="",AU105=0),"",AU105/(IF(AL105&gt;0,1,0)+IF(AM105&gt;0,1,0)+IF(AN105&gt;0,1,0)+IF(AO105&gt;0,1,0)+IF(AP105&gt;0,1,0)+IF(AQ105&gt;0,1,0)+IF(AR105&gt;0,1,0)+IF(AS105&gt;0,1,0)+IF(AT105&gt;0,1,0))),"")</f>
        <v>1.5</v>
      </c>
      <c r="AW105" s="225">
        <f>IFERROR(IF(OR(A105="",AU105=""),"",IF(AND(MAX($AU$8:$AU$156)=0,MAX($AV$8:$AV$156)=0),"",0.5*(AU105/MAX($AU$8:$AU$156))+0.5*(AV105/MAX($AV$8:$AV$156)))),"")</f>
        <v>0.27083333333333331</v>
      </c>
      <c r="AX105" s="79" t="str">
        <f>IF(A105="","",IF((IF(AL105&gt;=1,1,0)+IF(AM105&gt;=1,1,0)+IF(AN105&gt;=1,1,0)+IF(AO105&gt;=1,1,0)+IF(AP105&gt;=1,1,0)+IF(AQ105&gt;=1,1,0)+IF(AR105&gt;=1,1,0)+IF(AS105&gt;=1,1,0)+IF(AT105&gt;=1,1,0))&gt;=5,"Diversificado (5+ verticales)",IF((IF(AL105&gt;=1,1,0)+IF(AM105&gt;=1,1,0)+IF(AN105&gt;=1,1,0)+IF(AO105&gt;=1,1,0)+IF(AP105&gt;=1,1,0)+IF(AQ105&gt;=1,1,0)+IF(AR105&gt;=1,1,0)+IF(AS105&gt;=1,1,0)+IF(AT105&gt;=1,1,0))&gt;=3,"Multi-capacidad (3-4 verticales)",IF((IF(AL105&gt;=1,1,0)+IF(AM105&gt;=1,1,0)+IF(AN105&gt;=1,1,0)+IF(AO105&gt;=1,1,0)+IF(AP105&gt;=1,1,0)+IF(AQ105&gt;=1,1,0)+IF(AR105&gt;=1,1,0)+IF(AS105&gt;=1,1,0)+IF(AT105&gt;=1,1,0))&gt;=1,"Especialista (1-2 verticales)","Sin función mapeada"))))</f>
        <v>Especialista (1-2 verticales)</v>
      </c>
    </row>
    <row r="106" spans="1:50" ht="24" customHeight="1" x14ac:dyDescent="0.2">
      <c r="A106" s="48" t="s">
        <v>1510</v>
      </c>
      <c r="B106" s="48" t="s">
        <v>1511</v>
      </c>
      <c r="C106" s="78" t="str">
        <f>IF(A106="","",IFERROR(INDEX('UNIVERSO MAESTRO'!$C$6:$C$497,MATCH(A106,'UNIVERSO MAESTRO'!$A$6:$A$497,0)),"⚠ ID no encontrado"))</f>
        <v>YouTube (Alphabet/Google)</v>
      </c>
      <c r="D106" s="79" t="str">
        <f>IF(A106="","",IFERROR(INDEX('UNIVERSO MAESTRO'!$D$6:$D$497,MATCH(A106,'UNIVERSO MAESTRO'!$A$6:$A$497,0)),""))</f>
        <v>V2</v>
      </c>
      <c r="E106" s="80" t="s">
        <v>353</v>
      </c>
      <c r="F106" s="80" t="s">
        <v>353</v>
      </c>
      <c r="G106" s="80" t="s">
        <v>353</v>
      </c>
      <c r="H106" s="80" t="s">
        <v>353</v>
      </c>
      <c r="I106" s="80" t="s">
        <v>353</v>
      </c>
      <c r="J106" s="80" t="s">
        <v>1530</v>
      </c>
      <c r="K106" s="80" t="s">
        <v>3340</v>
      </c>
      <c r="L106" s="80" t="s">
        <v>353</v>
      </c>
      <c r="M106" s="80" t="s">
        <v>353</v>
      </c>
      <c r="N106" s="80" t="s">
        <v>353</v>
      </c>
      <c r="O106" s="80" t="s">
        <v>353</v>
      </c>
      <c r="P106" s="80" t="s">
        <v>353</v>
      </c>
      <c r="Q106" s="80" t="s">
        <v>353</v>
      </c>
      <c r="R106" s="80" t="s">
        <v>353</v>
      </c>
      <c r="S106" s="80" t="s">
        <v>353</v>
      </c>
      <c r="T106" s="80" t="s">
        <v>353</v>
      </c>
      <c r="U106" s="80" t="s">
        <v>353</v>
      </c>
      <c r="V106" s="80" t="s">
        <v>353</v>
      </c>
      <c r="W106" s="80" t="s">
        <v>353</v>
      </c>
      <c r="X106" s="80" t="s">
        <v>353</v>
      </c>
      <c r="Y106" s="80" t="s">
        <v>353</v>
      </c>
      <c r="Z106" s="80" t="s">
        <v>353</v>
      </c>
      <c r="AA106" s="80" t="s">
        <v>353</v>
      </c>
      <c r="AB106" s="80" t="s">
        <v>353</v>
      </c>
      <c r="AC106" s="80" t="s">
        <v>353</v>
      </c>
      <c r="AD106" s="80" t="s">
        <v>353</v>
      </c>
      <c r="AE106" s="80" t="s">
        <v>353</v>
      </c>
      <c r="AF106" s="80" t="s">
        <v>353</v>
      </c>
      <c r="AG106" s="80" t="s">
        <v>353</v>
      </c>
      <c r="AH106" s="80" t="s">
        <v>353</v>
      </c>
      <c r="AI106" s="80" t="s">
        <v>353</v>
      </c>
      <c r="AJ106" s="80" t="s">
        <v>353</v>
      </c>
      <c r="AK106" s="80" t="s">
        <v>353</v>
      </c>
      <c r="AL106" s="81">
        <f>IF(E106="Sí",1,IF(E106="Parcial",0.5,0))+IF(F106="Sí",1,IF(F106="Parcial",0.5,0))+IF(G106="Sí",1,IF(G106="Parcial",0.5,0))+IF(H106="Sí",1,IF(H106="Parcial",0.5,0))</f>
        <v>0</v>
      </c>
      <c r="AM106" s="82">
        <f>IF(I106="Sí",1,IF(I106="Parcial",0.5,0))+IF(J106="Sí",1,IF(J106="Parcial",0.5,0))+IF(K106="Sí",1,IF(K106="Parcial",0.5,0))</f>
        <v>1.5</v>
      </c>
      <c r="AN106" s="83">
        <f>IF(L106="Sí",1,IF(L106="Parcial",0.5,0))+IF(M106="Sí",1,IF(M106="Parcial",0.5,0))+IF(N106="Sí",1,IF(N106="Parcial",0.5,0))+IF(O106="Sí",1,IF(O106="Parcial",0.5,0))</f>
        <v>0</v>
      </c>
      <c r="AO106" s="84">
        <f>IF(P106="Sí",1,IF(P106="Parcial",0.5,0))+IF(Q106="Sí",1,IF(Q106="Parcial",0.5,0))+IF(R106="Sí",1,IF(R106="Parcial",0.5,0))+IF(S106="Sí",1,IF(S106="Parcial",0.5,0))+IF(T106="Sí",1,IF(T106="Parcial",0.5,0))+IF(U106="Sí",1,IF(U106="Parcial",0.5,0))</f>
        <v>0</v>
      </c>
      <c r="AP106" s="85">
        <f>IF(V106="Sí",1,IF(V106="Parcial",0.5,0))+IF(W106="Sí",1,IF(W106="Parcial",0.5,0))+IF(X106="Sí",1,IF(X106="Parcial",0.5,0))+IF(Y106="Sí",1,IF(Y106="Parcial",0.5,0))</f>
        <v>0</v>
      </c>
      <c r="AQ106" s="86">
        <f>IF(Z106="Sí",1,IF(Z106="Parcial",0.5,0))+IF(AA106="Sí",1,IF(AA106="Parcial",0.5,0))+IF(AB106="Sí",1,IF(AB106="Parcial",0.5,0))</f>
        <v>0</v>
      </c>
      <c r="AR106" s="87">
        <f>IF(AC106="Sí",1,IF(AC106="Parcial",0.5,0))+IF(AD106="Sí",1,IF(AD106="Parcial",0.5,0))+IF(AE106="Sí",1,IF(AE106="Parcial",0.5,0))</f>
        <v>0</v>
      </c>
      <c r="AS106" s="88">
        <f>IF(AF106="Sí",1,IF(AF106="Parcial",0.5,0))+IF(AG106="Sí",1,IF(AG106="Parcial",0.5,0))+IF(AH106="Sí",1,IF(AH106="Parcial",0.5,0))</f>
        <v>0</v>
      </c>
      <c r="AT106" s="89">
        <f>IF(AI106="Sí",1,IF(AI106="Parcial",0.5,0))+IF(AJ106="Sí",1,IF(AJ106="Parcial",0.5,0))+IF(AK106="Sí",1,IF(AK106="Parcial",0.5,0))</f>
        <v>0</v>
      </c>
      <c r="AU106" s="90">
        <f>SUM(AL106,AM106,AN106,AO106,AP106,AQ106,AR106,AS106,AT106)</f>
        <v>1.5</v>
      </c>
      <c r="AV106" s="225">
        <f>IFERROR(IF(OR(A106="",AU106=0),"",AU106/(IF(AL106&gt;0,1,0)+IF(AM106&gt;0,1,0)+IF(AN106&gt;0,1,0)+IF(AO106&gt;0,1,0)+IF(AP106&gt;0,1,0)+IF(AQ106&gt;0,1,0)+IF(AR106&gt;0,1,0)+IF(AS106&gt;0,1,0)+IF(AT106&gt;0,1,0))),"")</f>
        <v>1.5</v>
      </c>
      <c r="AW106" s="225">
        <f>IFERROR(IF(OR(A106="",AU106=""),"",IF(AND(MAX($AU$8:$AU$156)=0,MAX($AV$8:$AV$156)=0),"",0.5*(AU106/MAX($AU$8:$AU$156))+0.5*(AV106/MAX($AV$8:$AV$156)))),"")</f>
        <v>0.27083333333333331</v>
      </c>
      <c r="AX106" s="79" t="str">
        <f>IF(A106="","",IF((IF(AL106&gt;=1,1,0)+IF(AM106&gt;=1,1,0)+IF(AN106&gt;=1,1,0)+IF(AO106&gt;=1,1,0)+IF(AP106&gt;=1,1,0)+IF(AQ106&gt;=1,1,0)+IF(AR106&gt;=1,1,0)+IF(AS106&gt;=1,1,0)+IF(AT106&gt;=1,1,0))&gt;=5,"Diversificado (5+ verticales)",IF((IF(AL106&gt;=1,1,0)+IF(AM106&gt;=1,1,0)+IF(AN106&gt;=1,1,0)+IF(AO106&gt;=1,1,0)+IF(AP106&gt;=1,1,0)+IF(AQ106&gt;=1,1,0)+IF(AR106&gt;=1,1,0)+IF(AS106&gt;=1,1,0)+IF(AT106&gt;=1,1,0))&gt;=3,"Multi-capacidad (3-4 verticales)",IF((IF(AL106&gt;=1,1,0)+IF(AM106&gt;=1,1,0)+IF(AN106&gt;=1,1,0)+IF(AO106&gt;=1,1,0)+IF(AP106&gt;=1,1,0)+IF(AQ106&gt;=1,1,0)+IF(AR106&gt;=1,1,0)+IF(AS106&gt;=1,1,0)+IF(AT106&gt;=1,1,0))&gt;=1,"Especialista (1-2 verticales)","Sin función mapeada"))))</f>
        <v>Especialista (1-2 verticales)</v>
      </c>
    </row>
    <row r="107" spans="1:50" ht="24" customHeight="1" x14ac:dyDescent="0.2">
      <c r="A107" s="48" t="s">
        <v>367</v>
      </c>
      <c r="B107" s="48" t="s">
        <v>368</v>
      </c>
      <c r="C107" s="78" t="str">
        <f>IF(A107="","",IFERROR(INDEX('UNIVERSO MAESTRO'!$C$6:$C$497,MATCH(A107,'UNIVERSO MAESTRO'!$A$6:$A$497,0)),"⚠ ID no encontrado"))</f>
        <v>Capitanes de Ciudad de México (NBA G-League)</v>
      </c>
      <c r="D107" s="79" t="str">
        <f>IF(A107="","",IFERROR(INDEX('UNIVERSO MAESTRO'!$D$6:$D$497,MATCH(A107,'UNIVERSO MAESTRO'!$A$6:$A$497,0)),""))</f>
        <v>V1</v>
      </c>
      <c r="E107" s="80" t="s">
        <v>1530</v>
      </c>
      <c r="F107" s="80" t="s">
        <v>353</v>
      </c>
      <c r="G107" s="80" t="s">
        <v>3340</v>
      </c>
      <c r="H107" s="80" t="s">
        <v>353</v>
      </c>
      <c r="I107" s="80" t="s">
        <v>353</v>
      </c>
      <c r="J107" s="80" t="s">
        <v>353</v>
      </c>
      <c r="K107" s="80" t="s">
        <v>353</v>
      </c>
      <c r="L107" s="80" t="s">
        <v>353</v>
      </c>
      <c r="M107" s="80" t="s">
        <v>353</v>
      </c>
      <c r="N107" s="80" t="s">
        <v>353</v>
      </c>
      <c r="O107" s="80" t="s">
        <v>353</v>
      </c>
      <c r="P107" s="80" t="s">
        <v>353</v>
      </c>
      <c r="Q107" s="80" t="s">
        <v>353</v>
      </c>
      <c r="R107" s="80" t="s">
        <v>353</v>
      </c>
      <c r="S107" s="80" t="s">
        <v>353</v>
      </c>
      <c r="T107" s="80" t="s">
        <v>353</v>
      </c>
      <c r="U107" s="80" t="s">
        <v>353</v>
      </c>
      <c r="V107" s="80" t="s">
        <v>353</v>
      </c>
      <c r="W107" s="80" t="s">
        <v>353</v>
      </c>
      <c r="X107" s="80" t="s">
        <v>353</v>
      </c>
      <c r="Y107" s="80" t="s">
        <v>353</v>
      </c>
      <c r="Z107" s="80" t="s">
        <v>353</v>
      </c>
      <c r="AA107" s="80" t="s">
        <v>353</v>
      </c>
      <c r="AB107" s="80" t="s">
        <v>353</v>
      </c>
      <c r="AC107" s="80" t="s">
        <v>353</v>
      </c>
      <c r="AD107" s="80" t="s">
        <v>3340</v>
      </c>
      <c r="AE107" s="80" t="s">
        <v>353</v>
      </c>
      <c r="AF107" s="80" t="s">
        <v>353</v>
      </c>
      <c r="AG107" s="80" t="s">
        <v>353</v>
      </c>
      <c r="AH107" s="80" t="s">
        <v>353</v>
      </c>
      <c r="AI107" s="80" t="s">
        <v>353</v>
      </c>
      <c r="AJ107" s="80" t="s">
        <v>353</v>
      </c>
      <c r="AK107" s="80" t="s">
        <v>353</v>
      </c>
      <c r="AL107" s="81">
        <f>IF(E107="Sí",1,IF(E107="Parcial",0.5,0))+IF(F107="Sí",1,IF(F107="Parcial",0.5,0))+IF(G107="Sí",1,IF(G107="Parcial",0.5,0))+IF(H107="Sí",1,IF(H107="Parcial",0.5,0))</f>
        <v>1.5</v>
      </c>
      <c r="AM107" s="82">
        <f>IF(I107="Sí",1,IF(I107="Parcial",0.5,0))+IF(J107="Sí",1,IF(J107="Parcial",0.5,0))+IF(K107="Sí",1,IF(K107="Parcial",0.5,0))</f>
        <v>0</v>
      </c>
      <c r="AN107" s="83">
        <f>IF(L107="Sí",1,IF(L107="Parcial",0.5,0))+IF(M107="Sí",1,IF(M107="Parcial",0.5,0))+IF(N107="Sí",1,IF(N107="Parcial",0.5,0))+IF(O107="Sí",1,IF(O107="Parcial",0.5,0))</f>
        <v>0</v>
      </c>
      <c r="AO107" s="84">
        <f>IF(P107="Sí",1,IF(P107="Parcial",0.5,0))+IF(Q107="Sí",1,IF(Q107="Parcial",0.5,0))+IF(R107="Sí",1,IF(R107="Parcial",0.5,0))+IF(S107="Sí",1,IF(S107="Parcial",0.5,0))+IF(T107="Sí",1,IF(T107="Parcial",0.5,0))+IF(U107="Sí",1,IF(U107="Parcial",0.5,0))</f>
        <v>0</v>
      </c>
      <c r="AP107" s="85">
        <f>IF(V107="Sí",1,IF(V107="Parcial",0.5,0))+IF(W107="Sí",1,IF(W107="Parcial",0.5,0))+IF(X107="Sí",1,IF(X107="Parcial",0.5,0))+IF(Y107="Sí",1,IF(Y107="Parcial",0.5,0))</f>
        <v>0</v>
      </c>
      <c r="AQ107" s="86">
        <f>IF(Z107="Sí",1,IF(Z107="Parcial",0.5,0))+IF(AA107="Sí",1,IF(AA107="Parcial",0.5,0))+IF(AB107="Sí",1,IF(AB107="Parcial",0.5,0))</f>
        <v>0</v>
      </c>
      <c r="AR107" s="87">
        <f>IF(AC107="Sí",1,IF(AC107="Parcial",0.5,0))+IF(AD107="Sí",1,IF(AD107="Parcial",0.5,0))+IF(AE107="Sí",1,IF(AE107="Parcial",0.5,0))</f>
        <v>0.5</v>
      </c>
      <c r="AS107" s="88">
        <f>IF(AF107="Sí",1,IF(AF107="Parcial",0.5,0))+IF(AG107="Sí",1,IF(AG107="Parcial",0.5,0))+IF(AH107="Sí",1,IF(AH107="Parcial",0.5,0))</f>
        <v>0</v>
      </c>
      <c r="AT107" s="89">
        <f>IF(AI107="Sí",1,IF(AI107="Parcial",0.5,0))+IF(AJ107="Sí",1,IF(AJ107="Parcial",0.5,0))+IF(AK107="Sí",1,IF(AK107="Parcial",0.5,0))</f>
        <v>0</v>
      </c>
      <c r="AU107" s="90">
        <f>SUM(AL107,AM107,AN107,AO107,AP107,AQ107,AR107,AS107,AT107)</f>
        <v>2</v>
      </c>
      <c r="AV107" s="225">
        <f>IFERROR(IF(OR(A107="",AU107=0),"",AU107/(IF(AL107&gt;0,1,0)+IF(AM107&gt;0,1,0)+IF(AN107&gt;0,1,0)+IF(AO107&gt;0,1,0)+IF(AP107&gt;0,1,0)+IF(AQ107&gt;0,1,0)+IF(AR107&gt;0,1,0)+IF(AS107&gt;0,1,0)+IF(AT107&gt;0,1,0))),"")</f>
        <v>1</v>
      </c>
      <c r="AW107" s="225">
        <f>IFERROR(IF(OR(A107="",AU107=""),"",IF(AND(MAX($AU$8:$AU$156)=0,MAX($AV$8:$AV$156)=0),"",0.5*(AU107/MAX($AU$8:$AU$156))+0.5*(AV107/MAX($AV$8:$AV$156)))),"")</f>
        <v>0.2361111111111111</v>
      </c>
      <c r="AX107" s="79" t="str">
        <f>IF(A107="","",IF((IF(AL107&gt;=1,1,0)+IF(AM107&gt;=1,1,0)+IF(AN107&gt;=1,1,0)+IF(AO107&gt;=1,1,0)+IF(AP107&gt;=1,1,0)+IF(AQ107&gt;=1,1,0)+IF(AR107&gt;=1,1,0)+IF(AS107&gt;=1,1,0)+IF(AT107&gt;=1,1,0))&gt;=5,"Diversificado (5+ verticales)",IF((IF(AL107&gt;=1,1,0)+IF(AM107&gt;=1,1,0)+IF(AN107&gt;=1,1,0)+IF(AO107&gt;=1,1,0)+IF(AP107&gt;=1,1,0)+IF(AQ107&gt;=1,1,0)+IF(AR107&gt;=1,1,0)+IF(AS107&gt;=1,1,0)+IF(AT107&gt;=1,1,0))&gt;=3,"Multi-capacidad (3-4 verticales)",IF((IF(AL107&gt;=1,1,0)+IF(AM107&gt;=1,1,0)+IF(AN107&gt;=1,1,0)+IF(AO107&gt;=1,1,0)+IF(AP107&gt;=1,1,0)+IF(AQ107&gt;=1,1,0)+IF(AR107&gt;=1,1,0)+IF(AS107&gt;=1,1,0)+IF(AT107&gt;=1,1,0))&gt;=1,"Especialista (1-2 verticales)","Sin función mapeada"))))</f>
        <v>Especialista (1-2 verticales)</v>
      </c>
    </row>
    <row r="108" spans="1:50" ht="24" customHeight="1" x14ac:dyDescent="0.2">
      <c r="A108" s="48" t="s">
        <v>1381</v>
      </c>
      <c r="B108" s="48" t="s">
        <v>1382</v>
      </c>
      <c r="C108" s="78" t="str">
        <f>IF(A108="","",IFERROR(INDEX('UNIVERSO MAESTRO'!$C$6:$C$497,MATCH(A108,'UNIVERSO MAESTRO'!$A$6:$A$497,0)),"⚠ ID no encontrado"))</f>
        <v>Sultanes de Monterrey (LMB)</v>
      </c>
      <c r="D108" s="79" t="str">
        <f>IF(A108="","",IFERROR(INDEX('UNIVERSO MAESTRO'!$D$6:$D$497,MATCH(A108,'UNIVERSO MAESTRO'!$A$6:$A$497,0)),""))</f>
        <v>V1</v>
      </c>
      <c r="E108" s="80" t="s">
        <v>1530</v>
      </c>
      <c r="F108" s="80" t="s">
        <v>353</v>
      </c>
      <c r="G108" s="80" t="s">
        <v>353</v>
      </c>
      <c r="H108" s="80" t="s">
        <v>353</v>
      </c>
      <c r="I108" s="80" t="s">
        <v>353</v>
      </c>
      <c r="J108" s="80" t="s">
        <v>353</v>
      </c>
      <c r="K108" s="80" t="s">
        <v>353</v>
      </c>
      <c r="L108" s="80" t="s">
        <v>353</v>
      </c>
      <c r="M108" s="80" t="s">
        <v>353</v>
      </c>
      <c r="N108" s="80" t="s">
        <v>353</v>
      </c>
      <c r="O108" s="80" t="s">
        <v>353</v>
      </c>
      <c r="P108" s="80" t="s">
        <v>353</v>
      </c>
      <c r="Q108" s="80" t="s">
        <v>353</v>
      </c>
      <c r="R108" s="80" t="s">
        <v>353</v>
      </c>
      <c r="S108" s="80" t="s">
        <v>353</v>
      </c>
      <c r="T108" s="80" t="s">
        <v>353</v>
      </c>
      <c r="U108" s="80" t="s">
        <v>353</v>
      </c>
      <c r="V108" s="80" t="s">
        <v>353</v>
      </c>
      <c r="W108" s="80" t="s">
        <v>353</v>
      </c>
      <c r="X108" s="80" t="s">
        <v>353</v>
      </c>
      <c r="Y108" s="80" t="s">
        <v>353</v>
      </c>
      <c r="Z108" s="80" t="s">
        <v>353</v>
      </c>
      <c r="AA108" s="80" t="s">
        <v>353</v>
      </c>
      <c r="AB108" s="80" t="s">
        <v>353</v>
      </c>
      <c r="AC108" s="80" t="s">
        <v>353</v>
      </c>
      <c r="AD108" s="80" t="s">
        <v>1530</v>
      </c>
      <c r="AE108" s="80" t="s">
        <v>353</v>
      </c>
      <c r="AF108" s="80" t="s">
        <v>353</v>
      </c>
      <c r="AG108" s="80" t="s">
        <v>353</v>
      </c>
      <c r="AH108" s="80" t="s">
        <v>353</v>
      </c>
      <c r="AI108" s="80" t="s">
        <v>353</v>
      </c>
      <c r="AJ108" s="80" t="s">
        <v>353</v>
      </c>
      <c r="AK108" s="80" t="s">
        <v>353</v>
      </c>
      <c r="AL108" s="81">
        <f>IF(E108="Sí",1,IF(E108="Parcial",0.5,0))+IF(F108="Sí",1,IF(F108="Parcial",0.5,0))+IF(G108="Sí",1,IF(G108="Parcial",0.5,0))+IF(H108="Sí",1,IF(H108="Parcial",0.5,0))</f>
        <v>1</v>
      </c>
      <c r="AM108" s="82">
        <f>IF(I108="Sí",1,IF(I108="Parcial",0.5,0))+IF(J108="Sí",1,IF(J108="Parcial",0.5,0))+IF(K108="Sí",1,IF(K108="Parcial",0.5,0))</f>
        <v>0</v>
      </c>
      <c r="AN108" s="83">
        <f>IF(L108="Sí",1,IF(L108="Parcial",0.5,0))+IF(M108="Sí",1,IF(M108="Parcial",0.5,0))+IF(N108="Sí",1,IF(N108="Parcial",0.5,0))+IF(O108="Sí",1,IF(O108="Parcial",0.5,0))</f>
        <v>0</v>
      </c>
      <c r="AO108" s="84">
        <f>IF(P108="Sí",1,IF(P108="Parcial",0.5,0))+IF(Q108="Sí",1,IF(Q108="Parcial",0.5,0))+IF(R108="Sí",1,IF(R108="Parcial",0.5,0))+IF(S108="Sí",1,IF(S108="Parcial",0.5,0))+IF(T108="Sí",1,IF(T108="Parcial",0.5,0))+IF(U108="Sí",1,IF(U108="Parcial",0.5,0))</f>
        <v>0</v>
      </c>
      <c r="AP108" s="85">
        <f>IF(V108="Sí",1,IF(V108="Parcial",0.5,0))+IF(W108="Sí",1,IF(W108="Parcial",0.5,0))+IF(X108="Sí",1,IF(X108="Parcial",0.5,0))+IF(Y108="Sí",1,IF(Y108="Parcial",0.5,0))</f>
        <v>0</v>
      </c>
      <c r="AQ108" s="86">
        <f>IF(Z108="Sí",1,IF(Z108="Parcial",0.5,0))+IF(AA108="Sí",1,IF(AA108="Parcial",0.5,0))+IF(AB108="Sí",1,IF(AB108="Parcial",0.5,0))</f>
        <v>0</v>
      </c>
      <c r="AR108" s="87">
        <f>IF(AC108="Sí",1,IF(AC108="Parcial",0.5,0))+IF(AD108="Sí",1,IF(AD108="Parcial",0.5,0))+IF(AE108="Sí",1,IF(AE108="Parcial",0.5,0))</f>
        <v>1</v>
      </c>
      <c r="AS108" s="88">
        <f>IF(AF108="Sí",1,IF(AF108="Parcial",0.5,0))+IF(AG108="Sí",1,IF(AG108="Parcial",0.5,0))+IF(AH108="Sí",1,IF(AH108="Parcial",0.5,0))</f>
        <v>0</v>
      </c>
      <c r="AT108" s="89">
        <f>IF(AI108="Sí",1,IF(AI108="Parcial",0.5,0))+IF(AJ108="Sí",1,IF(AJ108="Parcial",0.5,0))+IF(AK108="Sí",1,IF(AK108="Parcial",0.5,0))</f>
        <v>0</v>
      </c>
      <c r="AU108" s="90">
        <f>SUM(AL108,AM108,AN108,AO108,AP108,AQ108,AR108,AS108,AT108)</f>
        <v>2</v>
      </c>
      <c r="AV108" s="225">
        <f>IFERROR(IF(OR(A108="",AU108=0),"",AU108/(IF(AL108&gt;0,1,0)+IF(AM108&gt;0,1,0)+IF(AN108&gt;0,1,0)+IF(AO108&gt;0,1,0)+IF(AP108&gt;0,1,0)+IF(AQ108&gt;0,1,0)+IF(AR108&gt;0,1,0)+IF(AS108&gt;0,1,0)+IF(AT108&gt;0,1,0))),"")</f>
        <v>1</v>
      </c>
      <c r="AW108" s="225">
        <f>IFERROR(IF(OR(A108="",AU108=""),"",IF(AND(MAX($AU$8:$AU$156)=0,MAX($AV$8:$AV$156)=0),"",0.5*(AU108/MAX($AU$8:$AU$156))+0.5*(AV108/MAX($AV$8:$AV$156)))),"")</f>
        <v>0.2361111111111111</v>
      </c>
      <c r="AX108" s="79" t="str">
        <f>IF(A108="","",IF((IF(AL108&gt;=1,1,0)+IF(AM108&gt;=1,1,0)+IF(AN108&gt;=1,1,0)+IF(AO108&gt;=1,1,0)+IF(AP108&gt;=1,1,0)+IF(AQ108&gt;=1,1,0)+IF(AR108&gt;=1,1,0)+IF(AS108&gt;=1,1,0)+IF(AT108&gt;=1,1,0))&gt;=5,"Diversificado (5+ verticales)",IF((IF(AL108&gt;=1,1,0)+IF(AM108&gt;=1,1,0)+IF(AN108&gt;=1,1,0)+IF(AO108&gt;=1,1,0)+IF(AP108&gt;=1,1,0)+IF(AQ108&gt;=1,1,0)+IF(AR108&gt;=1,1,0)+IF(AS108&gt;=1,1,0)+IF(AT108&gt;=1,1,0))&gt;=3,"Multi-capacidad (3-4 verticales)",IF((IF(AL108&gt;=1,1,0)+IF(AM108&gt;=1,1,0)+IF(AN108&gt;=1,1,0)+IF(AO108&gt;=1,1,0)+IF(AP108&gt;=1,1,0)+IF(AQ108&gt;=1,1,0)+IF(AR108&gt;=1,1,0)+IF(AS108&gt;=1,1,0)+IF(AT108&gt;=1,1,0))&gt;=1,"Especialista (1-2 verticales)","Sin función mapeada"))))</f>
        <v>Especialista (1-2 verticales)</v>
      </c>
    </row>
    <row r="109" spans="1:50" ht="24" customHeight="1" x14ac:dyDescent="0.2">
      <c r="A109" s="48" t="s">
        <v>214</v>
      </c>
      <c r="B109" s="48" t="s">
        <v>215</v>
      </c>
      <c r="C109" s="78" t="str">
        <f>IF(A109="","",IFERROR(INDEX('UNIVERSO MAESTRO'!$C$6:$C$497,MATCH(A109,'UNIVERSO MAESTRO'!$A$6:$A$497,0)),"⚠ ID no encontrado"))</f>
        <v>Akta Cloud Video Platform</v>
      </c>
      <c r="D109" s="79" t="str">
        <f>IF(A109="","",IFERROR(INDEX('UNIVERSO MAESTRO'!$D$6:$D$497,MATCH(A109,'UNIVERSO MAESTRO'!$A$6:$A$497,0)),""))</f>
        <v>V8</v>
      </c>
      <c r="E109" s="80" t="s">
        <v>353</v>
      </c>
      <c r="F109" s="80" t="s">
        <v>353</v>
      </c>
      <c r="G109" s="80" t="s">
        <v>353</v>
      </c>
      <c r="H109" s="80" t="s">
        <v>353</v>
      </c>
      <c r="I109" s="80" t="s">
        <v>353</v>
      </c>
      <c r="J109" s="80" t="s">
        <v>353</v>
      </c>
      <c r="K109" s="80" t="s">
        <v>353</v>
      </c>
      <c r="L109" s="80" t="s">
        <v>353</v>
      </c>
      <c r="M109" s="80" t="s">
        <v>353</v>
      </c>
      <c r="N109" s="80" t="s">
        <v>353</v>
      </c>
      <c r="O109" s="80" t="s">
        <v>353</v>
      </c>
      <c r="P109" s="80" t="s">
        <v>353</v>
      </c>
      <c r="Q109" s="80" t="s">
        <v>353</v>
      </c>
      <c r="R109" s="80" t="s">
        <v>353</v>
      </c>
      <c r="S109" s="80" t="s">
        <v>353</v>
      </c>
      <c r="T109" s="80" t="s">
        <v>353</v>
      </c>
      <c r="U109" s="80" t="s">
        <v>353</v>
      </c>
      <c r="V109" s="80" t="s">
        <v>353</v>
      </c>
      <c r="W109" s="80" t="s">
        <v>353</v>
      </c>
      <c r="X109" s="80" t="s">
        <v>353</v>
      </c>
      <c r="Y109" s="80" t="s">
        <v>353</v>
      </c>
      <c r="Z109" s="80" t="s">
        <v>353</v>
      </c>
      <c r="AA109" s="80" t="s">
        <v>353</v>
      </c>
      <c r="AB109" s="80" t="s">
        <v>353</v>
      </c>
      <c r="AC109" s="80" t="s">
        <v>353</v>
      </c>
      <c r="AD109" s="80" t="s">
        <v>353</v>
      </c>
      <c r="AE109" s="80" t="s">
        <v>353</v>
      </c>
      <c r="AF109" s="80" t="s">
        <v>353</v>
      </c>
      <c r="AG109" s="80" t="s">
        <v>1530</v>
      </c>
      <c r="AH109" s="80" t="s">
        <v>353</v>
      </c>
      <c r="AI109" s="80" t="s">
        <v>353</v>
      </c>
      <c r="AJ109" s="80" t="s">
        <v>353</v>
      </c>
      <c r="AK109" s="80" t="s">
        <v>353</v>
      </c>
      <c r="AL109" s="81">
        <f>IF(E109="Sí",1,IF(E109="Parcial",0.5,0))+IF(F109="Sí",1,IF(F109="Parcial",0.5,0))+IF(G109="Sí",1,IF(G109="Parcial",0.5,0))+IF(H109="Sí",1,IF(H109="Parcial",0.5,0))</f>
        <v>0</v>
      </c>
      <c r="AM109" s="82">
        <f>IF(I109="Sí",1,IF(I109="Parcial",0.5,0))+IF(J109="Sí",1,IF(J109="Parcial",0.5,0))+IF(K109="Sí",1,IF(K109="Parcial",0.5,0))</f>
        <v>0</v>
      </c>
      <c r="AN109" s="83">
        <f>IF(L109="Sí",1,IF(L109="Parcial",0.5,0))+IF(M109="Sí",1,IF(M109="Parcial",0.5,0))+IF(N109="Sí",1,IF(N109="Parcial",0.5,0))+IF(O109="Sí",1,IF(O109="Parcial",0.5,0))</f>
        <v>0</v>
      </c>
      <c r="AO109" s="84">
        <f>IF(P109="Sí",1,IF(P109="Parcial",0.5,0))+IF(Q109="Sí",1,IF(Q109="Parcial",0.5,0))+IF(R109="Sí",1,IF(R109="Parcial",0.5,0))+IF(S109="Sí",1,IF(S109="Parcial",0.5,0))+IF(T109="Sí",1,IF(T109="Parcial",0.5,0))+IF(U109="Sí",1,IF(U109="Parcial",0.5,0))</f>
        <v>0</v>
      </c>
      <c r="AP109" s="85">
        <f>IF(V109="Sí",1,IF(V109="Parcial",0.5,0))+IF(W109="Sí",1,IF(W109="Parcial",0.5,0))+IF(X109="Sí",1,IF(X109="Parcial",0.5,0))+IF(Y109="Sí",1,IF(Y109="Parcial",0.5,0))</f>
        <v>0</v>
      </c>
      <c r="AQ109" s="86">
        <f>IF(Z109="Sí",1,IF(Z109="Parcial",0.5,0))+IF(AA109="Sí",1,IF(AA109="Parcial",0.5,0))+IF(AB109="Sí",1,IF(AB109="Parcial",0.5,0))</f>
        <v>0</v>
      </c>
      <c r="AR109" s="87">
        <f>IF(AC109="Sí",1,IF(AC109="Parcial",0.5,0))+IF(AD109="Sí",1,IF(AD109="Parcial",0.5,0))+IF(AE109="Sí",1,IF(AE109="Parcial",0.5,0))</f>
        <v>0</v>
      </c>
      <c r="AS109" s="88">
        <f>IF(AF109="Sí",1,IF(AF109="Parcial",0.5,0))+IF(AG109="Sí",1,IF(AG109="Parcial",0.5,0))+IF(AH109="Sí",1,IF(AH109="Parcial",0.5,0))</f>
        <v>1</v>
      </c>
      <c r="AT109" s="89">
        <f>IF(AI109="Sí",1,IF(AI109="Parcial",0.5,0))+IF(AJ109="Sí",1,IF(AJ109="Parcial",0.5,0))+IF(AK109="Sí",1,IF(AK109="Parcial",0.5,0))</f>
        <v>0</v>
      </c>
      <c r="AU109" s="90">
        <f>SUM(AL109,AM109,AN109,AO109,AP109,AQ109,AR109,AS109,AT109)</f>
        <v>1</v>
      </c>
      <c r="AV109" s="225">
        <f>IFERROR(IF(OR(A109="",AU109=0),"",AU109/(IF(AL109&gt;0,1,0)+IF(AM109&gt;0,1,0)+IF(AN109&gt;0,1,0)+IF(AO109&gt;0,1,0)+IF(AP109&gt;0,1,0)+IF(AQ109&gt;0,1,0)+IF(AR109&gt;0,1,0)+IF(AS109&gt;0,1,0)+IF(AT109&gt;0,1,0))),"")</f>
        <v>1</v>
      </c>
      <c r="AW109" s="225">
        <f>IFERROR(IF(OR(A109="",AU109=""),"",IF(AND(MAX($AU$8:$AU$156)=0,MAX($AV$8:$AV$156)=0),"",0.5*(AU109/MAX($AU$8:$AU$156))+0.5*(AV109/MAX($AV$8:$AV$156)))),"")</f>
        <v>0.18055555555555555</v>
      </c>
      <c r="AX109" s="79" t="str">
        <f>IF(A109="","",IF((IF(AL109&gt;=1,1,0)+IF(AM109&gt;=1,1,0)+IF(AN109&gt;=1,1,0)+IF(AO109&gt;=1,1,0)+IF(AP109&gt;=1,1,0)+IF(AQ109&gt;=1,1,0)+IF(AR109&gt;=1,1,0)+IF(AS109&gt;=1,1,0)+IF(AT109&gt;=1,1,0))&gt;=5,"Diversificado (5+ verticales)",IF((IF(AL109&gt;=1,1,0)+IF(AM109&gt;=1,1,0)+IF(AN109&gt;=1,1,0)+IF(AO109&gt;=1,1,0)+IF(AP109&gt;=1,1,0)+IF(AQ109&gt;=1,1,0)+IF(AR109&gt;=1,1,0)+IF(AS109&gt;=1,1,0)+IF(AT109&gt;=1,1,0))&gt;=3,"Multi-capacidad (3-4 verticales)",IF((IF(AL109&gt;=1,1,0)+IF(AM109&gt;=1,1,0)+IF(AN109&gt;=1,1,0)+IF(AO109&gt;=1,1,0)+IF(AP109&gt;=1,1,0)+IF(AQ109&gt;=1,1,0)+IF(AR109&gt;=1,1,0)+IF(AS109&gt;=1,1,0)+IF(AT109&gt;=1,1,0))&gt;=1,"Especialista (1-2 verticales)","Sin función mapeada"))))</f>
        <v>Especialista (1-2 verticales)</v>
      </c>
    </row>
    <row r="110" spans="1:50" ht="24" customHeight="1" x14ac:dyDescent="0.2">
      <c r="A110" s="48" t="s">
        <v>226</v>
      </c>
      <c r="B110" s="48" t="s">
        <v>227</v>
      </c>
      <c r="C110" s="78" t="str">
        <f>IF(A110="","",IFERROR(INDEX('UNIVERSO MAESTRO'!$C$6:$C$497,MATCH(A110,'UNIVERSO MAESTRO'!$A$6:$A$497,0)),"⚠ ID no encontrado"))</f>
        <v>Amazon / AWS</v>
      </c>
      <c r="D110" s="79" t="str">
        <f>IF(A110="","",IFERROR(INDEX('UNIVERSO MAESTRO'!$D$6:$D$497,MATCH(A110,'UNIVERSO MAESTRO'!$A$6:$A$497,0)),""))</f>
        <v>V3</v>
      </c>
      <c r="E110" s="80" t="s">
        <v>353</v>
      </c>
      <c r="F110" s="80" t="s">
        <v>353</v>
      </c>
      <c r="G110" s="80" t="s">
        <v>353</v>
      </c>
      <c r="H110" s="80" t="s">
        <v>353</v>
      </c>
      <c r="I110" s="80" t="s">
        <v>353</v>
      </c>
      <c r="J110" s="80" t="s">
        <v>353</v>
      </c>
      <c r="K110" s="80" t="s">
        <v>353</v>
      </c>
      <c r="L110" s="80" t="s">
        <v>353</v>
      </c>
      <c r="M110" s="80" t="s">
        <v>1530</v>
      </c>
      <c r="N110" s="80" t="s">
        <v>353</v>
      </c>
      <c r="O110" s="80" t="s">
        <v>353</v>
      </c>
      <c r="P110" s="80" t="s">
        <v>353</v>
      </c>
      <c r="Q110" s="80" t="s">
        <v>353</v>
      </c>
      <c r="R110" s="80" t="s">
        <v>353</v>
      </c>
      <c r="S110" s="80" t="s">
        <v>353</v>
      </c>
      <c r="T110" s="80" t="s">
        <v>353</v>
      </c>
      <c r="U110" s="80" t="s">
        <v>353</v>
      </c>
      <c r="V110" s="80" t="s">
        <v>353</v>
      </c>
      <c r="W110" s="80" t="s">
        <v>353</v>
      </c>
      <c r="X110" s="80" t="s">
        <v>353</v>
      </c>
      <c r="Y110" s="80" t="s">
        <v>353</v>
      </c>
      <c r="Z110" s="80" t="s">
        <v>353</v>
      </c>
      <c r="AA110" s="80" t="s">
        <v>353</v>
      </c>
      <c r="AB110" s="80" t="s">
        <v>353</v>
      </c>
      <c r="AC110" s="80" t="s">
        <v>353</v>
      </c>
      <c r="AD110" s="80" t="s">
        <v>353</v>
      </c>
      <c r="AE110" s="80" t="s">
        <v>353</v>
      </c>
      <c r="AF110" s="80" t="s">
        <v>353</v>
      </c>
      <c r="AG110" s="80" t="s">
        <v>353</v>
      </c>
      <c r="AH110" s="80" t="s">
        <v>353</v>
      </c>
      <c r="AI110" s="80" t="s">
        <v>353</v>
      </c>
      <c r="AJ110" s="80" t="s">
        <v>353</v>
      </c>
      <c r="AK110" s="80" t="s">
        <v>353</v>
      </c>
      <c r="AL110" s="81">
        <f>IF(E110="Sí",1,IF(E110="Parcial",0.5,0))+IF(F110="Sí",1,IF(F110="Parcial",0.5,0))+IF(G110="Sí",1,IF(G110="Parcial",0.5,0))+IF(H110="Sí",1,IF(H110="Parcial",0.5,0))</f>
        <v>0</v>
      </c>
      <c r="AM110" s="82">
        <f>IF(I110="Sí",1,IF(I110="Parcial",0.5,0))+IF(J110="Sí",1,IF(J110="Parcial",0.5,0))+IF(K110="Sí",1,IF(K110="Parcial",0.5,0))</f>
        <v>0</v>
      </c>
      <c r="AN110" s="83">
        <f>IF(L110="Sí",1,IF(L110="Parcial",0.5,0))+IF(M110="Sí",1,IF(M110="Parcial",0.5,0))+IF(N110="Sí",1,IF(N110="Parcial",0.5,0))+IF(O110="Sí",1,IF(O110="Parcial",0.5,0))</f>
        <v>1</v>
      </c>
      <c r="AO110" s="84">
        <f>IF(P110="Sí",1,IF(P110="Parcial",0.5,0))+IF(Q110="Sí",1,IF(Q110="Parcial",0.5,0))+IF(R110="Sí",1,IF(R110="Parcial",0.5,0))+IF(S110="Sí",1,IF(S110="Parcial",0.5,0))+IF(T110="Sí",1,IF(T110="Parcial",0.5,0))+IF(U110="Sí",1,IF(U110="Parcial",0.5,0))</f>
        <v>0</v>
      </c>
      <c r="AP110" s="85">
        <f>IF(V110="Sí",1,IF(V110="Parcial",0.5,0))+IF(W110="Sí",1,IF(W110="Parcial",0.5,0))+IF(X110="Sí",1,IF(X110="Parcial",0.5,0))+IF(Y110="Sí",1,IF(Y110="Parcial",0.5,0))</f>
        <v>0</v>
      </c>
      <c r="AQ110" s="86">
        <f>IF(Z110="Sí",1,IF(Z110="Parcial",0.5,0))+IF(AA110="Sí",1,IF(AA110="Parcial",0.5,0))+IF(AB110="Sí",1,IF(AB110="Parcial",0.5,0))</f>
        <v>0</v>
      </c>
      <c r="AR110" s="87">
        <f>IF(AC110="Sí",1,IF(AC110="Parcial",0.5,0))+IF(AD110="Sí",1,IF(AD110="Parcial",0.5,0))+IF(AE110="Sí",1,IF(AE110="Parcial",0.5,0))</f>
        <v>0</v>
      </c>
      <c r="AS110" s="88">
        <f>IF(AF110="Sí",1,IF(AF110="Parcial",0.5,0))+IF(AG110="Sí",1,IF(AG110="Parcial",0.5,0))+IF(AH110="Sí",1,IF(AH110="Parcial",0.5,0))</f>
        <v>0</v>
      </c>
      <c r="AT110" s="89">
        <f>IF(AI110="Sí",1,IF(AI110="Parcial",0.5,0))+IF(AJ110="Sí",1,IF(AJ110="Parcial",0.5,0))+IF(AK110="Sí",1,IF(AK110="Parcial",0.5,0))</f>
        <v>0</v>
      </c>
      <c r="AU110" s="90">
        <f>SUM(AL110,AM110,AN110,AO110,AP110,AQ110,AR110,AS110,AT110)</f>
        <v>1</v>
      </c>
      <c r="AV110" s="225">
        <f>IFERROR(IF(OR(A110="",AU110=0),"",AU110/(IF(AL110&gt;0,1,0)+IF(AM110&gt;0,1,0)+IF(AN110&gt;0,1,0)+IF(AO110&gt;0,1,0)+IF(AP110&gt;0,1,0)+IF(AQ110&gt;0,1,0)+IF(AR110&gt;0,1,0)+IF(AS110&gt;0,1,0)+IF(AT110&gt;0,1,0))),"")</f>
        <v>1</v>
      </c>
      <c r="AW110" s="225">
        <f>IFERROR(IF(OR(A110="",AU110=""),"",IF(AND(MAX($AU$8:$AU$156)=0,MAX($AV$8:$AV$156)=0),"",0.5*(AU110/MAX($AU$8:$AU$156))+0.5*(AV110/MAX($AV$8:$AV$156)))),"")</f>
        <v>0.18055555555555555</v>
      </c>
      <c r="AX110" s="79" t="str">
        <f>IF(A110="","",IF((IF(AL110&gt;=1,1,0)+IF(AM110&gt;=1,1,0)+IF(AN110&gt;=1,1,0)+IF(AO110&gt;=1,1,0)+IF(AP110&gt;=1,1,0)+IF(AQ110&gt;=1,1,0)+IF(AR110&gt;=1,1,0)+IF(AS110&gt;=1,1,0)+IF(AT110&gt;=1,1,0))&gt;=5,"Diversificado (5+ verticales)",IF((IF(AL110&gt;=1,1,0)+IF(AM110&gt;=1,1,0)+IF(AN110&gt;=1,1,0)+IF(AO110&gt;=1,1,0)+IF(AP110&gt;=1,1,0)+IF(AQ110&gt;=1,1,0)+IF(AR110&gt;=1,1,0)+IF(AS110&gt;=1,1,0)+IF(AT110&gt;=1,1,0))&gt;=3,"Multi-capacidad (3-4 verticales)",IF((IF(AL110&gt;=1,1,0)+IF(AM110&gt;=1,1,0)+IF(AN110&gt;=1,1,0)+IF(AO110&gt;=1,1,0)+IF(AP110&gt;=1,1,0)+IF(AQ110&gt;=1,1,0)+IF(AR110&gt;=1,1,0)+IF(AS110&gt;=1,1,0)+IF(AT110&gt;=1,1,0))&gt;=1,"Especialista (1-2 verticales)","Sin función mapeada"))))</f>
        <v>Especialista (1-2 verticales)</v>
      </c>
    </row>
    <row r="111" spans="1:50" ht="24" customHeight="1" x14ac:dyDescent="0.2">
      <c r="A111" s="48" t="s">
        <v>279</v>
      </c>
      <c r="B111" s="48" t="s">
        <v>280</v>
      </c>
      <c r="C111" s="78" t="str">
        <f>IF(A111="","",IFERROR(INDEX('UNIVERSO MAESTRO'!$C$6:$C$497,MATCH(A111,'UNIVERSO MAESTRO'!$A$6:$A$497,0)),"⚠ ID no encontrado"))</f>
        <v>AT&amp;T México</v>
      </c>
      <c r="D111" s="79" t="str">
        <f>IF(A111="","",IFERROR(INDEX('UNIVERSO MAESTRO'!$D$6:$D$497,MATCH(A111,'UNIVERSO MAESTRO'!$A$6:$A$497,0)),""))</f>
        <v>V3</v>
      </c>
      <c r="E111" s="80" t="s">
        <v>353</v>
      </c>
      <c r="F111" s="80" t="s">
        <v>353</v>
      </c>
      <c r="G111" s="80" t="s">
        <v>353</v>
      </c>
      <c r="H111" s="80" t="s">
        <v>353</v>
      </c>
      <c r="I111" s="80" t="s">
        <v>353</v>
      </c>
      <c r="J111" s="80" t="s">
        <v>353</v>
      </c>
      <c r="K111" s="80" t="s">
        <v>353</v>
      </c>
      <c r="L111" s="80" t="s">
        <v>353</v>
      </c>
      <c r="M111" s="80" t="s">
        <v>1530</v>
      </c>
      <c r="N111" s="80" t="s">
        <v>353</v>
      </c>
      <c r="O111" s="80" t="s">
        <v>353</v>
      </c>
      <c r="P111" s="80" t="s">
        <v>353</v>
      </c>
      <c r="Q111" s="80" t="s">
        <v>353</v>
      </c>
      <c r="R111" s="80" t="s">
        <v>353</v>
      </c>
      <c r="S111" s="80" t="s">
        <v>353</v>
      </c>
      <c r="T111" s="80" t="s">
        <v>353</v>
      </c>
      <c r="U111" s="80" t="s">
        <v>353</v>
      </c>
      <c r="V111" s="80" t="s">
        <v>353</v>
      </c>
      <c r="W111" s="80" t="s">
        <v>353</v>
      </c>
      <c r="X111" s="80" t="s">
        <v>353</v>
      </c>
      <c r="Y111" s="80" t="s">
        <v>353</v>
      </c>
      <c r="Z111" s="80" t="s">
        <v>353</v>
      </c>
      <c r="AA111" s="80" t="s">
        <v>353</v>
      </c>
      <c r="AB111" s="80" t="s">
        <v>353</v>
      </c>
      <c r="AC111" s="80" t="s">
        <v>353</v>
      </c>
      <c r="AD111" s="80" t="s">
        <v>353</v>
      </c>
      <c r="AE111" s="80" t="s">
        <v>353</v>
      </c>
      <c r="AF111" s="80" t="s">
        <v>353</v>
      </c>
      <c r="AG111" s="80" t="s">
        <v>353</v>
      </c>
      <c r="AH111" s="80" t="s">
        <v>353</v>
      </c>
      <c r="AI111" s="80" t="s">
        <v>353</v>
      </c>
      <c r="AJ111" s="80" t="s">
        <v>353</v>
      </c>
      <c r="AK111" s="80" t="s">
        <v>353</v>
      </c>
      <c r="AL111" s="81">
        <f>IF(E111="Sí",1,IF(E111="Parcial",0.5,0))+IF(F111="Sí",1,IF(F111="Parcial",0.5,0))+IF(G111="Sí",1,IF(G111="Parcial",0.5,0))+IF(H111="Sí",1,IF(H111="Parcial",0.5,0))</f>
        <v>0</v>
      </c>
      <c r="AM111" s="82">
        <f>IF(I111="Sí",1,IF(I111="Parcial",0.5,0))+IF(J111="Sí",1,IF(J111="Parcial",0.5,0))+IF(K111="Sí",1,IF(K111="Parcial",0.5,0))</f>
        <v>0</v>
      </c>
      <c r="AN111" s="83">
        <f>IF(L111="Sí",1,IF(L111="Parcial",0.5,0))+IF(M111="Sí",1,IF(M111="Parcial",0.5,0))+IF(N111="Sí",1,IF(N111="Parcial",0.5,0))+IF(O111="Sí",1,IF(O111="Parcial",0.5,0))</f>
        <v>1</v>
      </c>
      <c r="AO111" s="84">
        <f>IF(P111="Sí",1,IF(P111="Parcial",0.5,0))+IF(Q111="Sí",1,IF(Q111="Parcial",0.5,0))+IF(R111="Sí",1,IF(R111="Parcial",0.5,0))+IF(S111="Sí",1,IF(S111="Parcial",0.5,0))+IF(T111="Sí",1,IF(T111="Parcial",0.5,0))+IF(U111="Sí",1,IF(U111="Parcial",0.5,0))</f>
        <v>0</v>
      </c>
      <c r="AP111" s="85">
        <f>IF(V111="Sí",1,IF(V111="Parcial",0.5,0))+IF(W111="Sí",1,IF(W111="Parcial",0.5,0))+IF(X111="Sí",1,IF(X111="Parcial",0.5,0))+IF(Y111="Sí",1,IF(Y111="Parcial",0.5,0))</f>
        <v>0</v>
      </c>
      <c r="AQ111" s="86">
        <f>IF(Z111="Sí",1,IF(Z111="Parcial",0.5,0))+IF(AA111="Sí",1,IF(AA111="Parcial",0.5,0))+IF(AB111="Sí",1,IF(AB111="Parcial",0.5,0))</f>
        <v>0</v>
      </c>
      <c r="AR111" s="87">
        <f>IF(AC111="Sí",1,IF(AC111="Parcial",0.5,0))+IF(AD111="Sí",1,IF(AD111="Parcial",0.5,0))+IF(AE111="Sí",1,IF(AE111="Parcial",0.5,0))</f>
        <v>0</v>
      </c>
      <c r="AS111" s="88">
        <f>IF(AF111="Sí",1,IF(AF111="Parcial",0.5,0))+IF(AG111="Sí",1,IF(AG111="Parcial",0.5,0))+IF(AH111="Sí",1,IF(AH111="Parcial",0.5,0))</f>
        <v>0</v>
      </c>
      <c r="AT111" s="89">
        <f>IF(AI111="Sí",1,IF(AI111="Parcial",0.5,0))+IF(AJ111="Sí",1,IF(AJ111="Parcial",0.5,0))+IF(AK111="Sí",1,IF(AK111="Parcial",0.5,0))</f>
        <v>0</v>
      </c>
      <c r="AU111" s="90">
        <f>SUM(AL111,AM111,AN111,AO111,AP111,AQ111,AR111,AS111,AT111)</f>
        <v>1</v>
      </c>
      <c r="AV111" s="225">
        <f>IFERROR(IF(OR(A111="",AU111=0),"",AU111/(IF(AL111&gt;0,1,0)+IF(AM111&gt;0,1,0)+IF(AN111&gt;0,1,0)+IF(AO111&gt;0,1,0)+IF(AP111&gt;0,1,0)+IF(AQ111&gt;0,1,0)+IF(AR111&gt;0,1,0)+IF(AS111&gt;0,1,0)+IF(AT111&gt;0,1,0))),"")</f>
        <v>1</v>
      </c>
      <c r="AW111" s="225">
        <f>IFERROR(IF(OR(A111="",AU111=""),"",IF(AND(MAX($AU$8:$AU$156)=0,MAX($AV$8:$AV$156)=0),"",0.5*(AU111/MAX($AU$8:$AU$156))+0.5*(AV111/MAX($AV$8:$AV$156)))),"")</f>
        <v>0.18055555555555555</v>
      </c>
      <c r="AX111" s="79" t="str">
        <f>IF(A111="","",IF((IF(AL111&gt;=1,1,0)+IF(AM111&gt;=1,1,0)+IF(AN111&gt;=1,1,0)+IF(AO111&gt;=1,1,0)+IF(AP111&gt;=1,1,0)+IF(AQ111&gt;=1,1,0)+IF(AR111&gt;=1,1,0)+IF(AS111&gt;=1,1,0)+IF(AT111&gt;=1,1,0))&gt;=5,"Diversificado (5+ verticales)",IF((IF(AL111&gt;=1,1,0)+IF(AM111&gt;=1,1,0)+IF(AN111&gt;=1,1,0)+IF(AO111&gt;=1,1,0)+IF(AP111&gt;=1,1,0)+IF(AQ111&gt;=1,1,0)+IF(AR111&gt;=1,1,0)+IF(AS111&gt;=1,1,0)+IF(AT111&gt;=1,1,0))&gt;=3,"Multi-capacidad (3-4 verticales)",IF((IF(AL111&gt;=1,1,0)+IF(AM111&gt;=1,1,0)+IF(AN111&gt;=1,1,0)+IF(AO111&gt;=1,1,0)+IF(AP111&gt;=1,1,0)+IF(AQ111&gt;=1,1,0)+IF(AR111&gt;=1,1,0)+IF(AS111&gt;=1,1,0)+IF(AT111&gt;=1,1,0))&gt;=1,"Especialista (1-2 verticales)","Sin función mapeada"))))</f>
        <v>Especialista (1-2 verticales)</v>
      </c>
    </row>
    <row r="112" spans="1:50" ht="24" customHeight="1" x14ac:dyDescent="0.2">
      <c r="A112" s="48" t="s">
        <v>319</v>
      </c>
      <c r="B112" s="48" t="s">
        <v>320</v>
      </c>
      <c r="C112" s="78" t="str">
        <f>IF(A112="","",IFERROR(INDEX('UNIVERSO MAESTRO'!$C$6:$C$497,MATCH(A112,'UNIVERSO MAESTRO'!$A$6:$A$497,0)),"⚠ ID no encontrado"))</f>
        <v>Bimbo</v>
      </c>
      <c r="D112" s="79" t="str">
        <f>IF(A112="","",IFERROR(INDEX('UNIVERSO MAESTRO'!$D$6:$D$497,MATCH(A112,'UNIVERSO MAESTRO'!$A$6:$A$497,0)),""))</f>
        <v>V3</v>
      </c>
      <c r="E112" s="80" t="s">
        <v>353</v>
      </c>
      <c r="F112" s="80" t="s">
        <v>353</v>
      </c>
      <c r="G112" s="80" t="s">
        <v>353</v>
      </c>
      <c r="H112" s="80" t="s">
        <v>353</v>
      </c>
      <c r="I112" s="80" t="s">
        <v>353</v>
      </c>
      <c r="J112" s="80" t="s">
        <v>353</v>
      </c>
      <c r="K112" s="80" t="s">
        <v>353</v>
      </c>
      <c r="L112" s="80" t="s">
        <v>1530</v>
      </c>
      <c r="M112" s="80" t="s">
        <v>353</v>
      </c>
      <c r="N112" s="80" t="s">
        <v>353</v>
      </c>
      <c r="O112" s="80" t="s">
        <v>353</v>
      </c>
      <c r="P112" s="80" t="s">
        <v>353</v>
      </c>
      <c r="Q112" s="80" t="s">
        <v>353</v>
      </c>
      <c r="R112" s="80" t="s">
        <v>353</v>
      </c>
      <c r="S112" s="80" t="s">
        <v>353</v>
      </c>
      <c r="T112" s="80" t="s">
        <v>353</v>
      </c>
      <c r="U112" s="80" t="s">
        <v>353</v>
      </c>
      <c r="V112" s="80" t="s">
        <v>353</v>
      </c>
      <c r="W112" s="80" t="s">
        <v>353</v>
      </c>
      <c r="X112" s="80" t="s">
        <v>353</v>
      </c>
      <c r="Y112" s="80" t="s">
        <v>353</v>
      </c>
      <c r="Z112" s="80" t="s">
        <v>353</v>
      </c>
      <c r="AA112" s="80" t="s">
        <v>353</v>
      </c>
      <c r="AB112" s="80" t="s">
        <v>353</v>
      </c>
      <c r="AC112" s="80" t="s">
        <v>353</v>
      </c>
      <c r="AD112" s="80" t="s">
        <v>353</v>
      </c>
      <c r="AE112" s="80" t="s">
        <v>353</v>
      </c>
      <c r="AF112" s="80" t="s">
        <v>353</v>
      </c>
      <c r="AG112" s="80" t="s">
        <v>353</v>
      </c>
      <c r="AH112" s="80" t="s">
        <v>353</v>
      </c>
      <c r="AI112" s="80" t="s">
        <v>353</v>
      </c>
      <c r="AJ112" s="80" t="s">
        <v>353</v>
      </c>
      <c r="AK112" s="80" t="s">
        <v>353</v>
      </c>
      <c r="AL112" s="81">
        <f>IF(E112="Sí",1,IF(E112="Parcial",0.5,0))+IF(F112="Sí",1,IF(F112="Parcial",0.5,0))+IF(G112="Sí",1,IF(G112="Parcial",0.5,0))+IF(H112="Sí",1,IF(H112="Parcial",0.5,0))</f>
        <v>0</v>
      </c>
      <c r="AM112" s="82">
        <f>IF(I112="Sí",1,IF(I112="Parcial",0.5,0))+IF(J112="Sí",1,IF(J112="Parcial",0.5,0))+IF(K112="Sí",1,IF(K112="Parcial",0.5,0))</f>
        <v>0</v>
      </c>
      <c r="AN112" s="83">
        <f>IF(L112="Sí",1,IF(L112="Parcial",0.5,0))+IF(M112="Sí",1,IF(M112="Parcial",0.5,0))+IF(N112="Sí",1,IF(N112="Parcial",0.5,0))+IF(O112="Sí",1,IF(O112="Parcial",0.5,0))</f>
        <v>1</v>
      </c>
      <c r="AO112" s="84">
        <f>IF(P112="Sí",1,IF(P112="Parcial",0.5,0))+IF(Q112="Sí",1,IF(Q112="Parcial",0.5,0))+IF(R112="Sí",1,IF(R112="Parcial",0.5,0))+IF(S112="Sí",1,IF(S112="Parcial",0.5,0))+IF(T112="Sí",1,IF(T112="Parcial",0.5,0))+IF(U112="Sí",1,IF(U112="Parcial",0.5,0))</f>
        <v>0</v>
      </c>
      <c r="AP112" s="85">
        <f>IF(V112="Sí",1,IF(V112="Parcial",0.5,0))+IF(W112="Sí",1,IF(W112="Parcial",0.5,0))+IF(X112="Sí",1,IF(X112="Parcial",0.5,0))+IF(Y112="Sí",1,IF(Y112="Parcial",0.5,0))</f>
        <v>0</v>
      </c>
      <c r="AQ112" s="86">
        <f>IF(Z112="Sí",1,IF(Z112="Parcial",0.5,0))+IF(AA112="Sí",1,IF(AA112="Parcial",0.5,0))+IF(AB112="Sí",1,IF(AB112="Parcial",0.5,0))</f>
        <v>0</v>
      </c>
      <c r="AR112" s="87">
        <f>IF(AC112="Sí",1,IF(AC112="Parcial",0.5,0))+IF(AD112="Sí",1,IF(AD112="Parcial",0.5,0))+IF(AE112="Sí",1,IF(AE112="Parcial",0.5,0))</f>
        <v>0</v>
      </c>
      <c r="AS112" s="88">
        <f>IF(AF112="Sí",1,IF(AF112="Parcial",0.5,0))+IF(AG112="Sí",1,IF(AG112="Parcial",0.5,0))+IF(AH112="Sí",1,IF(AH112="Parcial",0.5,0))</f>
        <v>0</v>
      </c>
      <c r="AT112" s="89">
        <f>IF(AI112="Sí",1,IF(AI112="Parcial",0.5,0))+IF(AJ112="Sí",1,IF(AJ112="Parcial",0.5,0))+IF(AK112="Sí",1,IF(AK112="Parcial",0.5,0))</f>
        <v>0</v>
      </c>
      <c r="AU112" s="90">
        <f>SUM(AL112,AM112,AN112,AO112,AP112,AQ112,AR112,AS112,AT112)</f>
        <v>1</v>
      </c>
      <c r="AV112" s="225">
        <f>IFERROR(IF(OR(A112="",AU112=0),"",AU112/(IF(AL112&gt;0,1,0)+IF(AM112&gt;0,1,0)+IF(AN112&gt;0,1,0)+IF(AO112&gt;0,1,0)+IF(AP112&gt;0,1,0)+IF(AQ112&gt;0,1,0)+IF(AR112&gt;0,1,0)+IF(AS112&gt;0,1,0)+IF(AT112&gt;0,1,0))),"")</f>
        <v>1</v>
      </c>
      <c r="AW112" s="225">
        <f>IFERROR(IF(OR(A112="",AU112=""),"",IF(AND(MAX($AU$8:$AU$156)=0,MAX($AV$8:$AV$156)=0),"",0.5*(AU112/MAX($AU$8:$AU$156))+0.5*(AV112/MAX($AV$8:$AV$156)))),"")</f>
        <v>0.18055555555555555</v>
      </c>
      <c r="AX112" s="79" t="str">
        <f>IF(A112="","",IF((IF(AL112&gt;=1,1,0)+IF(AM112&gt;=1,1,0)+IF(AN112&gt;=1,1,0)+IF(AO112&gt;=1,1,0)+IF(AP112&gt;=1,1,0)+IF(AQ112&gt;=1,1,0)+IF(AR112&gt;=1,1,0)+IF(AS112&gt;=1,1,0)+IF(AT112&gt;=1,1,0))&gt;=5,"Diversificado (5+ verticales)",IF((IF(AL112&gt;=1,1,0)+IF(AM112&gt;=1,1,0)+IF(AN112&gt;=1,1,0)+IF(AO112&gt;=1,1,0)+IF(AP112&gt;=1,1,0)+IF(AQ112&gt;=1,1,0)+IF(AR112&gt;=1,1,0)+IF(AS112&gt;=1,1,0)+IF(AT112&gt;=1,1,0))&gt;=3,"Multi-capacidad (3-4 verticales)",IF((IF(AL112&gt;=1,1,0)+IF(AM112&gt;=1,1,0)+IF(AN112&gt;=1,1,0)+IF(AO112&gt;=1,1,0)+IF(AP112&gt;=1,1,0)+IF(AQ112&gt;=1,1,0)+IF(AR112&gt;=1,1,0)+IF(AS112&gt;=1,1,0)+IF(AT112&gt;=1,1,0))&gt;=1,"Especialista (1-2 verticales)","Sin función mapeada"))))</f>
        <v>Especialista (1-2 verticales)</v>
      </c>
    </row>
    <row r="113" spans="1:50" ht="24" customHeight="1" x14ac:dyDescent="0.2">
      <c r="A113" s="48" t="s">
        <v>336</v>
      </c>
      <c r="B113" s="48" t="s">
        <v>337</v>
      </c>
      <c r="C113" s="78" t="str">
        <f>IF(A113="","",IFERROR(INDEX('UNIVERSO MAESTRO'!$C$6:$C$497,MATCH(A113,'UNIVERSO MAESTRO'!$A$6:$A$497,0)),"⚠ ID no encontrado"))</f>
        <v>Box to Box Films (LATAM operations)</v>
      </c>
      <c r="D113" s="79" t="str">
        <f>IF(A113="","",IFERROR(INDEX('UNIVERSO MAESTRO'!$D$6:$D$497,MATCH(A113,'UNIVERSO MAESTRO'!$A$6:$A$497,0)),""))</f>
        <v>V2</v>
      </c>
      <c r="E113" s="80" t="s">
        <v>353</v>
      </c>
      <c r="F113" s="80" t="s">
        <v>353</v>
      </c>
      <c r="G113" s="80" t="s">
        <v>353</v>
      </c>
      <c r="H113" s="80" t="s">
        <v>353</v>
      </c>
      <c r="I113" s="80" t="s">
        <v>353</v>
      </c>
      <c r="J113" s="80" t="s">
        <v>353</v>
      </c>
      <c r="K113" s="80" t="s">
        <v>1530</v>
      </c>
      <c r="L113" s="80" t="s">
        <v>353</v>
      </c>
      <c r="M113" s="80" t="s">
        <v>353</v>
      </c>
      <c r="N113" s="80" t="s">
        <v>353</v>
      </c>
      <c r="O113" s="80" t="s">
        <v>353</v>
      </c>
      <c r="P113" s="80" t="s">
        <v>353</v>
      </c>
      <c r="Q113" s="80" t="s">
        <v>353</v>
      </c>
      <c r="R113" s="80" t="s">
        <v>353</v>
      </c>
      <c r="S113" s="80" t="s">
        <v>353</v>
      </c>
      <c r="T113" s="80" t="s">
        <v>353</v>
      </c>
      <c r="U113" s="80" t="s">
        <v>353</v>
      </c>
      <c r="V113" s="80" t="s">
        <v>353</v>
      </c>
      <c r="W113" s="80" t="s">
        <v>353</v>
      </c>
      <c r="X113" s="80" t="s">
        <v>353</v>
      </c>
      <c r="Y113" s="80" t="s">
        <v>353</v>
      </c>
      <c r="Z113" s="80" t="s">
        <v>353</v>
      </c>
      <c r="AA113" s="80" t="s">
        <v>353</v>
      </c>
      <c r="AB113" s="80" t="s">
        <v>353</v>
      </c>
      <c r="AC113" s="80" t="s">
        <v>353</v>
      </c>
      <c r="AD113" s="80" t="s">
        <v>353</v>
      </c>
      <c r="AE113" s="80" t="s">
        <v>353</v>
      </c>
      <c r="AF113" s="80" t="s">
        <v>353</v>
      </c>
      <c r="AG113" s="80" t="s">
        <v>353</v>
      </c>
      <c r="AH113" s="80" t="s">
        <v>353</v>
      </c>
      <c r="AI113" s="80" t="s">
        <v>353</v>
      </c>
      <c r="AJ113" s="80" t="s">
        <v>353</v>
      </c>
      <c r="AK113" s="80" t="s">
        <v>353</v>
      </c>
      <c r="AL113" s="81">
        <f>IF(E113="Sí",1,IF(E113="Parcial",0.5,0))+IF(F113="Sí",1,IF(F113="Parcial",0.5,0))+IF(G113="Sí",1,IF(G113="Parcial",0.5,0))+IF(H113="Sí",1,IF(H113="Parcial",0.5,0))</f>
        <v>0</v>
      </c>
      <c r="AM113" s="82">
        <f>IF(I113="Sí",1,IF(I113="Parcial",0.5,0))+IF(J113="Sí",1,IF(J113="Parcial",0.5,0))+IF(K113="Sí",1,IF(K113="Parcial",0.5,0))</f>
        <v>1</v>
      </c>
      <c r="AN113" s="83">
        <f>IF(L113="Sí",1,IF(L113="Parcial",0.5,0))+IF(M113="Sí",1,IF(M113="Parcial",0.5,0))+IF(N113="Sí",1,IF(N113="Parcial",0.5,0))+IF(O113="Sí",1,IF(O113="Parcial",0.5,0))</f>
        <v>0</v>
      </c>
      <c r="AO113" s="84">
        <f>IF(P113="Sí",1,IF(P113="Parcial",0.5,0))+IF(Q113="Sí",1,IF(Q113="Parcial",0.5,0))+IF(R113="Sí",1,IF(R113="Parcial",0.5,0))+IF(S113="Sí",1,IF(S113="Parcial",0.5,0))+IF(T113="Sí",1,IF(T113="Parcial",0.5,0))+IF(U113="Sí",1,IF(U113="Parcial",0.5,0))</f>
        <v>0</v>
      </c>
      <c r="AP113" s="85">
        <f>IF(V113="Sí",1,IF(V113="Parcial",0.5,0))+IF(W113="Sí",1,IF(W113="Parcial",0.5,0))+IF(X113="Sí",1,IF(X113="Parcial",0.5,0))+IF(Y113="Sí",1,IF(Y113="Parcial",0.5,0))</f>
        <v>0</v>
      </c>
      <c r="AQ113" s="86">
        <f>IF(Z113="Sí",1,IF(Z113="Parcial",0.5,0))+IF(AA113="Sí",1,IF(AA113="Parcial",0.5,0))+IF(AB113="Sí",1,IF(AB113="Parcial",0.5,0))</f>
        <v>0</v>
      </c>
      <c r="AR113" s="87">
        <f>IF(AC113="Sí",1,IF(AC113="Parcial",0.5,0))+IF(AD113="Sí",1,IF(AD113="Parcial",0.5,0))+IF(AE113="Sí",1,IF(AE113="Parcial",0.5,0))</f>
        <v>0</v>
      </c>
      <c r="AS113" s="88">
        <f>IF(AF113="Sí",1,IF(AF113="Parcial",0.5,0))+IF(AG113="Sí",1,IF(AG113="Parcial",0.5,0))+IF(AH113="Sí",1,IF(AH113="Parcial",0.5,0))</f>
        <v>0</v>
      </c>
      <c r="AT113" s="89">
        <f>IF(AI113="Sí",1,IF(AI113="Parcial",0.5,0))+IF(AJ113="Sí",1,IF(AJ113="Parcial",0.5,0))+IF(AK113="Sí",1,IF(AK113="Parcial",0.5,0))</f>
        <v>0</v>
      </c>
      <c r="AU113" s="90">
        <f>SUM(AL113,AM113,AN113,AO113,AP113,AQ113,AR113,AS113,AT113)</f>
        <v>1</v>
      </c>
      <c r="AV113" s="225">
        <f>IFERROR(IF(OR(A113="",AU113=0),"",AU113/(IF(AL113&gt;0,1,0)+IF(AM113&gt;0,1,0)+IF(AN113&gt;0,1,0)+IF(AO113&gt;0,1,0)+IF(AP113&gt;0,1,0)+IF(AQ113&gt;0,1,0)+IF(AR113&gt;0,1,0)+IF(AS113&gt;0,1,0)+IF(AT113&gt;0,1,0))),"")</f>
        <v>1</v>
      </c>
      <c r="AW113" s="225">
        <f>IFERROR(IF(OR(A113="",AU113=""),"",IF(AND(MAX($AU$8:$AU$156)=0,MAX($AV$8:$AV$156)=0),"",0.5*(AU113/MAX($AU$8:$AU$156))+0.5*(AV113/MAX($AV$8:$AV$156)))),"")</f>
        <v>0.18055555555555555</v>
      </c>
      <c r="AX113" s="79" t="str">
        <f>IF(A113="","",IF((IF(AL113&gt;=1,1,0)+IF(AM113&gt;=1,1,0)+IF(AN113&gt;=1,1,0)+IF(AO113&gt;=1,1,0)+IF(AP113&gt;=1,1,0)+IF(AQ113&gt;=1,1,0)+IF(AR113&gt;=1,1,0)+IF(AS113&gt;=1,1,0)+IF(AT113&gt;=1,1,0))&gt;=5,"Diversificado (5+ verticales)",IF((IF(AL113&gt;=1,1,0)+IF(AM113&gt;=1,1,0)+IF(AN113&gt;=1,1,0)+IF(AO113&gt;=1,1,0)+IF(AP113&gt;=1,1,0)+IF(AQ113&gt;=1,1,0)+IF(AR113&gt;=1,1,0)+IF(AS113&gt;=1,1,0)+IF(AT113&gt;=1,1,0))&gt;=3,"Multi-capacidad (3-4 verticales)",IF((IF(AL113&gt;=1,1,0)+IF(AM113&gt;=1,1,0)+IF(AN113&gt;=1,1,0)+IF(AO113&gt;=1,1,0)+IF(AP113&gt;=1,1,0)+IF(AQ113&gt;=1,1,0)+IF(AR113&gt;=1,1,0)+IF(AS113&gt;=1,1,0)+IF(AT113&gt;=1,1,0))&gt;=1,"Especialista (1-2 verticales)","Sin función mapeada"))))</f>
        <v>Especialista (1-2 verticales)</v>
      </c>
    </row>
    <row r="114" spans="1:50" ht="24" customHeight="1" x14ac:dyDescent="0.2">
      <c r="A114" s="48" t="s">
        <v>482</v>
      </c>
      <c r="B114" s="48" t="s">
        <v>483</v>
      </c>
      <c r="C114" s="78" t="str">
        <f>IF(A114="","",IFERROR(INDEX('UNIVERSO MAESTRO'!$C$6:$C$497,MATCH(A114,'UNIVERSO MAESTRO'!$A$6:$A$497,0)),"⚠ ID no encontrado"))</f>
        <v>Corona / Grupo Modelo — AB InBev</v>
      </c>
      <c r="D114" s="79" t="str">
        <f>IF(A114="","",IFERROR(INDEX('UNIVERSO MAESTRO'!$D$6:$D$497,MATCH(A114,'UNIVERSO MAESTRO'!$A$6:$A$497,0)),""))</f>
        <v>V3</v>
      </c>
      <c r="E114" s="80" t="s">
        <v>353</v>
      </c>
      <c r="F114" s="80" t="s">
        <v>353</v>
      </c>
      <c r="G114" s="80" t="s">
        <v>353</v>
      </c>
      <c r="H114" s="80" t="s">
        <v>353</v>
      </c>
      <c r="I114" s="80" t="s">
        <v>353</v>
      </c>
      <c r="J114" s="80" t="s">
        <v>353</v>
      </c>
      <c r="K114" s="80" t="s">
        <v>353</v>
      </c>
      <c r="L114" s="80" t="s">
        <v>353</v>
      </c>
      <c r="M114" s="80" t="s">
        <v>1530</v>
      </c>
      <c r="N114" s="80" t="s">
        <v>353</v>
      </c>
      <c r="O114" s="80" t="s">
        <v>353</v>
      </c>
      <c r="P114" s="80" t="s">
        <v>353</v>
      </c>
      <c r="Q114" s="80" t="s">
        <v>353</v>
      </c>
      <c r="R114" s="80" t="s">
        <v>353</v>
      </c>
      <c r="S114" s="80" t="s">
        <v>353</v>
      </c>
      <c r="T114" s="80" t="s">
        <v>353</v>
      </c>
      <c r="U114" s="80" t="s">
        <v>353</v>
      </c>
      <c r="V114" s="80" t="s">
        <v>353</v>
      </c>
      <c r="W114" s="80" t="s">
        <v>353</v>
      </c>
      <c r="X114" s="80" t="s">
        <v>353</v>
      </c>
      <c r="Y114" s="80" t="s">
        <v>353</v>
      </c>
      <c r="Z114" s="80" t="s">
        <v>353</v>
      </c>
      <c r="AA114" s="80" t="s">
        <v>353</v>
      </c>
      <c r="AB114" s="80" t="s">
        <v>353</v>
      </c>
      <c r="AC114" s="80" t="s">
        <v>353</v>
      </c>
      <c r="AD114" s="80" t="s">
        <v>353</v>
      </c>
      <c r="AE114" s="80" t="s">
        <v>353</v>
      </c>
      <c r="AF114" s="80" t="s">
        <v>353</v>
      </c>
      <c r="AG114" s="80" t="s">
        <v>353</v>
      </c>
      <c r="AH114" s="80" t="s">
        <v>353</v>
      </c>
      <c r="AI114" s="80" t="s">
        <v>353</v>
      </c>
      <c r="AJ114" s="80" t="s">
        <v>353</v>
      </c>
      <c r="AK114" s="80" t="s">
        <v>353</v>
      </c>
      <c r="AL114" s="81">
        <f>IF(E114="Sí",1,IF(E114="Parcial",0.5,0))+IF(F114="Sí",1,IF(F114="Parcial",0.5,0))+IF(G114="Sí",1,IF(G114="Parcial",0.5,0))+IF(H114="Sí",1,IF(H114="Parcial",0.5,0))</f>
        <v>0</v>
      </c>
      <c r="AM114" s="82">
        <f>IF(I114="Sí",1,IF(I114="Parcial",0.5,0))+IF(J114="Sí",1,IF(J114="Parcial",0.5,0))+IF(K114="Sí",1,IF(K114="Parcial",0.5,0))</f>
        <v>0</v>
      </c>
      <c r="AN114" s="83">
        <f>IF(L114="Sí",1,IF(L114="Parcial",0.5,0))+IF(M114="Sí",1,IF(M114="Parcial",0.5,0))+IF(N114="Sí",1,IF(N114="Parcial",0.5,0))+IF(O114="Sí",1,IF(O114="Parcial",0.5,0))</f>
        <v>1</v>
      </c>
      <c r="AO114" s="84">
        <f>IF(P114="Sí",1,IF(P114="Parcial",0.5,0))+IF(Q114="Sí",1,IF(Q114="Parcial",0.5,0))+IF(R114="Sí",1,IF(R114="Parcial",0.5,0))+IF(S114="Sí",1,IF(S114="Parcial",0.5,0))+IF(T114="Sí",1,IF(T114="Parcial",0.5,0))+IF(U114="Sí",1,IF(U114="Parcial",0.5,0))</f>
        <v>0</v>
      </c>
      <c r="AP114" s="85">
        <f>IF(V114="Sí",1,IF(V114="Parcial",0.5,0))+IF(W114="Sí",1,IF(W114="Parcial",0.5,0))+IF(X114="Sí",1,IF(X114="Parcial",0.5,0))+IF(Y114="Sí",1,IF(Y114="Parcial",0.5,0))</f>
        <v>0</v>
      </c>
      <c r="AQ114" s="86">
        <f>IF(Z114="Sí",1,IF(Z114="Parcial",0.5,0))+IF(AA114="Sí",1,IF(AA114="Parcial",0.5,0))+IF(AB114="Sí",1,IF(AB114="Parcial",0.5,0))</f>
        <v>0</v>
      </c>
      <c r="AR114" s="87">
        <f>IF(AC114="Sí",1,IF(AC114="Parcial",0.5,0))+IF(AD114="Sí",1,IF(AD114="Parcial",0.5,0))+IF(AE114="Sí",1,IF(AE114="Parcial",0.5,0))</f>
        <v>0</v>
      </c>
      <c r="AS114" s="88">
        <f>IF(AF114="Sí",1,IF(AF114="Parcial",0.5,0))+IF(AG114="Sí",1,IF(AG114="Parcial",0.5,0))+IF(AH114="Sí",1,IF(AH114="Parcial",0.5,0))</f>
        <v>0</v>
      </c>
      <c r="AT114" s="89">
        <f>IF(AI114="Sí",1,IF(AI114="Parcial",0.5,0))+IF(AJ114="Sí",1,IF(AJ114="Parcial",0.5,0))+IF(AK114="Sí",1,IF(AK114="Parcial",0.5,0))</f>
        <v>0</v>
      </c>
      <c r="AU114" s="90">
        <f>SUM(AL114,AM114,AN114,AO114,AP114,AQ114,AR114,AS114,AT114)</f>
        <v>1</v>
      </c>
      <c r="AV114" s="225">
        <f>IFERROR(IF(OR(A114="",AU114=0),"",AU114/(IF(AL114&gt;0,1,0)+IF(AM114&gt;0,1,0)+IF(AN114&gt;0,1,0)+IF(AO114&gt;0,1,0)+IF(AP114&gt;0,1,0)+IF(AQ114&gt;0,1,0)+IF(AR114&gt;0,1,0)+IF(AS114&gt;0,1,0)+IF(AT114&gt;0,1,0))),"")</f>
        <v>1</v>
      </c>
      <c r="AW114" s="225">
        <f>IFERROR(IF(OR(A114="",AU114=""),"",IF(AND(MAX($AU$8:$AU$156)=0,MAX($AV$8:$AV$156)=0),"",0.5*(AU114/MAX($AU$8:$AU$156))+0.5*(AV114/MAX($AV$8:$AV$156)))),"")</f>
        <v>0.18055555555555555</v>
      </c>
      <c r="AX114" s="79" t="str">
        <f>IF(A114="","",IF((IF(AL114&gt;=1,1,0)+IF(AM114&gt;=1,1,0)+IF(AN114&gt;=1,1,0)+IF(AO114&gt;=1,1,0)+IF(AP114&gt;=1,1,0)+IF(AQ114&gt;=1,1,0)+IF(AR114&gt;=1,1,0)+IF(AS114&gt;=1,1,0)+IF(AT114&gt;=1,1,0))&gt;=5,"Diversificado (5+ verticales)",IF((IF(AL114&gt;=1,1,0)+IF(AM114&gt;=1,1,0)+IF(AN114&gt;=1,1,0)+IF(AO114&gt;=1,1,0)+IF(AP114&gt;=1,1,0)+IF(AQ114&gt;=1,1,0)+IF(AR114&gt;=1,1,0)+IF(AS114&gt;=1,1,0)+IF(AT114&gt;=1,1,0))&gt;=3,"Multi-capacidad (3-4 verticales)",IF((IF(AL114&gt;=1,1,0)+IF(AM114&gt;=1,1,0)+IF(AN114&gt;=1,1,0)+IF(AO114&gt;=1,1,0)+IF(AP114&gt;=1,1,0)+IF(AQ114&gt;=1,1,0)+IF(AR114&gt;=1,1,0)+IF(AS114&gt;=1,1,0)+IF(AT114&gt;=1,1,0))&gt;=1,"Especialista (1-2 verticales)","Sin función mapeada"))))</f>
        <v>Especialista (1-2 verticales)</v>
      </c>
    </row>
    <row r="115" spans="1:50" ht="24" customHeight="1" x14ac:dyDescent="0.2">
      <c r="A115" s="48" t="s">
        <v>496</v>
      </c>
      <c r="B115" s="48" t="s">
        <v>497</v>
      </c>
      <c r="C115" s="78" t="str">
        <f>IF(A115="","",IFERROR(INDEX('UNIVERSO MAESTRO'!$C$6:$C$497,MATCH(A115,'UNIVERSO MAESTRO'!$A$6:$A$497,0)),"⚠ ID no encontrado"))</f>
        <v>CVC Capital Partners</v>
      </c>
      <c r="D115" s="79" t="str">
        <f>IF(A115="","",IFERROR(INDEX('UNIVERSO MAESTRO'!$D$6:$D$497,MATCH(A115,'UNIVERSO MAESTRO'!$A$6:$A$497,0)),""))</f>
        <v>V9</v>
      </c>
      <c r="E115" s="80" t="s">
        <v>353</v>
      </c>
      <c r="F115" s="80" t="s">
        <v>353</v>
      </c>
      <c r="G115" s="80" t="s">
        <v>353</v>
      </c>
      <c r="H115" s="80" t="s">
        <v>353</v>
      </c>
      <c r="I115" s="80" t="s">
        <v>353</v>
      </c>
      <c r="J115" s="80" t="s">
        <v>353</v>
      </c>
      <c r="K115" s="80" t="s">
        <v>353</v>
      </c>
      <c r="L115" s="80" t="s">
        <v>353</v>
      </c>
      <c r="M115" s="80" t="s">
        <v>353</v>
      </c>
      <c r="N115" s="80" t="s">
        <v>353</v>
      </c>
      <c r="O115" s="80" t="s">
        <v>353</v>
      </c>
      <c r="P115" s="80" t="s">
        <v>353</v>
      </c>
      <c r="Q115" s="80" t="s">
        <v>353</v>
      </c>
      <c r="R115" s="80" t="s">
        <v>353</v>
      </c>
      <c r="S115" s="80" t="s">
        <v>353</v>
      </c>
      <c r="T115" s="80" t="s">
        <v>353</v>
      </c>
      <c r="U115" s="80" t="s">
        <v>353</v>
      </c>
      <c r="V115" s="80" t="s">
        <v>353</v>
      </c>
      <c r="W115" s="80" t="s">
        <v>353</v>
      </c>
      <c r="X115" s="80" t="s">
        <v>353</v>
      </c>
      <c r="Y115" s="80" t="s">
        <v>353</v>
      </c>
      <c r="Z115" s="80" t="s">
        <v>353</v>
      </c>
      <c r="AA115" s="80" t="s">
        <v>353</v>
      </c>
      <c r="AB115" s="80" t="s">
        <v>353</v>
      </c>
      <c r="AC115" s="80" t="s">
        <v>353</v>
      </c>
      <c r="AD115" s="80" t="s">
        <v>353</v>
      </c>
      <c r="AE115" s="80" t="s">
        <v>353</v>
      </c>
      <c r="AF115" s="80" t="s">
        <v>353</v>
      </c>
      <c r="AG115" s="80" t="s">
        <v>353</v>
      </c>
      <c r="AH115" s="80" t="s">
        <v>353</v>
      </c>
      <c r="AI115" s="80" t="s">
        <v>353</v>
      </c>
      <c r="AJ115" s="80" t="s">
        <v>353</v>
      </c>
      <c r="AK115" s="80" t="s">
        <v>1530</v>
      </c>
      <c r="AL115" s="81">
        <f>IF(E115="Sí",1,IF(E115="Parcial",0.5,0))+IF(F115="Sí",1,IF(F115="Parcial",0.5,0))+IF(G115="Sí",1,IF(G115="Parcial",0.5,0))+IF(H115="Sí",1,IF(H115="Parcial",0.5,0))</f>
        <v>0</v>
      </c>
      <c r="AM115" s="82">
        <f>IF(I115="Sí",1,IF(I115="Parcial",0.5,0))+IF(J115="Sí",1,IF(J115="Parcial",0.5,0))+IF(K115="Sí",1,IF(K115="Parcial",0.5,0))</f>
        <v>0</v>
      </c>
      <c r="AN115" s="83">
        <f>IF(L115="Sí",1,IF(L115="Parcial",0.5,0))+IF(M115="Sí",1,IF(M115="Parcial",0.5,0))+IF(N115="Sí",1,IF(N115="Parcial",0.5,0))+IF(O115="Sí",1,IF(O115="Parcial",0.5,0))</f>
        <v>0</v>
      </c>
      <c r="AO115" s="84">
        <f>IF(P115="Sí",1,IF(P115="Parcial",0.5,0))+IF(Q115="Sí",1,IF(Q115="Parcial",0.5,0))+IF(R115="Sí",1,IF(R115="Parcial",0.5,0))+IF(S115="Sí",1,IF(S115="Parcial",0.5,0))+IF(T115="Sí",1,IF(T115="Parcial",0.5,0))+IF(U115="Sí",1,IF(U115="Parcial",0.5,0))</f>
        <v>0</v>
      </c>
      <c r="AP115" s="85">
        <f>IF(V115="Sí",1,IF(V115="Parcial",0.5,0))+IF(W115="Sí",1,IF(W115="Parcial",0.5,0))+IF(X115="Sí",1,IF(X115="Parcial",0.5,0))+IF(Y115="Sí",1,IF(Y115="Parcial",0.5,0))</f>
        <v>0</v>
      </c>
      <c r="AQ115" s="86">
        <f>IF(Z115="Sí",1,IF(Z115="Parcial",0.5,0))+IF(AA115="Sí",1,IF(AA115="Parcial",0.5,0))+IF(AB115="Sí",1,IF(AB115="Parcial",0.5,0))</f>
        <v>0</v>
      </c>
      <c r="AR115" s="87">
        <f>IF(AC115="Sí",1,IF(AC115="Parcial",0.5,0))+IF(AD115="Sí",1,IF(AD115="Parcial",0.5,0))+IF(AE115="Sí",1,IF(AE115="Parcial",0.5,0))</f>
        <v>0</v>
      </c>
      <c r="AS115" s="88">
        <f>IF(AF115="Sí",1,IF(AF115="Parcial",0.5,0))+IF(AG115="Sí",1,IF(AG115="Parcial",0.5,0))+IF(AH115="Sí",1,IF(AH115="Parcial",0.5,0))</f>
        <v>0</v>
      </c>
      <c r="AT115" s="89">
        <f>IF(AI115="Sí",1,IF(AI115="Parcial",0.5,0))+IF(AJ115="Sí",1,IF(AJ115="Parcial",0.5,0))+IF(AK115="Sí",1,IF(AK115="Parcial",0.5,0))</f>
        <v>1</v>
      </c>
      <c r="AU115" s="90">
        <f>SUM(AL115,AM115,AN115,AO115,AP115,AQ115,AR115,AS115,AT115)</f>
        <v>1</v>
      </c>
      <c r="AV115" s="225">
        <f>IFERROR(IF(OR(A115="",AU115=0),"",AU115/(IF(AL115&gt;0,1,0)+IF(AM115&gt;0,1,0)+IF(AN115&gt;0,1,0)+IF(AO115&gt;0,1,0)+IF(AP115&gt;0,1,0)+IF(AQ115&gt;0,1,0)+IF(AR115&gt;0,1,0)+IF(AS115&gt;0,1,0)+IF(AT115&gt;0,1,0))),"")</f>
        <v>1</v>
      </c>
      <c r="AW115" s="225">
        <f>IFERROR(IF(OR(A115="",AU115=""),"",IF(AND(MAX($AU$8:$AU$156)=0,MAX($AV$8:$AV$156)=0),"",0.5*(AU115/MAX($AU$8:$AU$156))+0.5*(AV115/MAX($AV$8:$AV$156)))),"")</f>
        <v>0.18055555555555555</v>
      </c>
      <c r="AX115" s="79" t="str">
        <f>IF(A115="","",IF((IF(AL115&gt;=1,1,0)+IF(AM115&gt;=1,1,0)+IF(AN115&gt;=1,1,0)+IF(AO115&gt;=1,1,0)+IF(AP115&gt;=1,1,0)+IF(AQ115&gt;=1,1,0)+IF(AR115&gt;=1,1,0)+IF(AS115&gt;=1,1,0)+IF(AT115&gt;=1,1,0))&gt;=5,"Diversificado (5+ verticales)",IF((IF(AL115&gt;=1,1,0)+IF(AM115&gt;=1,1,0)+IF(AN115&gt;=1,1,0)+IF(AO115&gt;=1,1,0)+IF(AP115&gt;=1,1,0)+IF(AQ115&gt;=1,1,0)+IF(AR115&gt;=1,1,0)+IF(AS115&gt;=1,1,0)+IF(AT115&gt;=1,1,0))&gt;=3,"Multi-capacidad (3-4 verticales)",IF((IF(AL115&gt;=1,1,0)+IF(AM115&gt;=1,1,0)+IF(AN115&gt;=1,1,0)+IF(AO115&gt;=1,1,0)+IF(AP115&gt;=1,1,0)+IF(AQ115&gt;=1,1,0)+IF(AR115&gt;=1,1,0)+IF(AS115&gt;=1,1,0)+IF(AT115&gt;=1,1,0))&gt;=1,"Especialista (1-2 verticales)","Sin función mapeada"))))</f>
        <v>Especialista (1-2 verticales)</v>
      </c>
    </row>
    <row r="116" spans="1:50" ht="24" customHeight="1" x14ac:dyDescent="0.2">
      <c r="A116" s="48" t="s">
        <v>513</v>
      </c>
      <c r="B116" s="48" t="s">
        <v>514</v>
      </c>
      <c r="C116" s="78" t="str">
        <f>IF(A116="","",IFERROR(INDEX('UNIVERSO MAESTRO'!$C$6:$C$497,MATCH(A116,'UNIVERSO MAESTRO'!$A$6:$A$497,0)),"⚠ ID no encontrado"))</f>
        <v>Draftea</v>
      </c>
      <c r="D116" s="79" t="str">
        <f>IF(A116="","",IFERROR(INDEX('UNIVERSO MAESTRO'!$D$6:$D$497,MATCH(A116,'UNIVERSO MAESTRO'!$A$6:$A$497,0)),""))</f>
        <v>V8</v>
      </c>
      <c r="E116" s="80" t="s">
        <v>353</v>
      </c>
      <c r="F116" s="80" t="s">
        <v>353</v>
      </c>
      <c r="G116" s="80" t="s">
        <v>353</v>
      </c>
      <c r="H116" s="80" t="s">
        <v>353</v>
      </c>
      <c r="I116" s="80" t="s">
        <v>353</v>
      </c>
      <c r="J116" s="80" t="s">
        <v>353</v>
      </c>
      <c r="K116" s="80" t="s">
        <v>353</v>
      </c>
      <c r="L116" s="80" t="s">
        <v>353</v>
      </c>
      <c r="M116" s="80" t="s">
        <v>353</v>
      </c>
      <c r="N116" s="80" t="s">
        <v>353</v>
      </c>
      <c r="O116" s="80" t="s">
        <v>353</v>
      </c>
      <c r="P116" s="80" t="s">
        <v>353</v>
      </c>
      <c r="Q116" s="80" t="s">
        <v>353</v>
      </c>
      <c r="R116" s="80" t="s">
        <v>353</v>
      </c>
      <c r="S116" s="80" t="s">
        <v>353</v>
      </c>
      <c r="T116" s="80" t="s">
        <v>353</v>
      </c>
      <c r="U116" s="80" t="s">
        <v>353</v>
      </c>
      <c r="V116" s="80" t="s">
        <v>353</v>
      </c>
      <c r="W116" s="80" t="s">
        <v>353</v>
      </c>
      <c r="X116" s="80" t="s">
        <v>353</v>
      </c>
      <c r="Y116" s="80" t="s">
        <v>353</v>
      </c>
      <c r="Z116" s="80" t="s">
        <v>353</v>
      </c>
      <c r="AA116" s="80" t="s">
        <v>353</v>
      </c>
      <c r="AB116" s="80" t="s">
        <v>353</v>
      </c>
      <c r="AC116" s="80" t="s">
        <v>353</v>
      </c>
      <c r="AD116" s="80" t="s">
        <v>353</v>
      </c>
      <c r="AE116" s="80" t="s">
        <v>353</v>
      </c>
      <c r="AF116" s="80" t="s">
        <v>1530</v>
      </c>
      <c r="AG116" s="80" t="s">
        <v>353</v>
      </c>
      <c r="AH116" s="80" t="s">
        <v>353</v>
      </c>
      <c r="AI116" s="80" t="s">
        <v>353</v>
      </c>
      <c r="AJ116" s="80" t="s">
        <v>353</v>
      </c>
      <c r="AK116" s="80" t="s">
        <v>353</v>
      </c>
      <c r="AL116" s="81">
        <f>IF(E116="Sí",1,IF(E116="Parcial",0.5,0))+IF(F116="Sí",1,IF(F116="Parcial",0.5,0))+IF(G116="Sí",1,IF(G116="Parcial",0.5,0))+IF(H116="Sí",1,IF(H116="Parcial",0.5,0))</f>
        <v>0</v>
      </c>
      <c r="AM116" s="82">
        <f>IF(I116="Sí",1,IF(I116="Parcial",0.5,0))+IF(J116="Sí",1,IF(J116="Parcial",0.5,0))+IF(K116="Sí",1,IF(K116="Parcial",0.5,0))</f>
        <v>0</v>
      </c>
      <c r="AN116" s="83">
        <f>IF(L116="Sí",1,IF(L116="Parcial",0.5,0))+IF(M116="Sí",1,IF(M116="Parcial",0.5,0))+IF(N116="Sí",1,IF(N116="Parcial",0.5,0))+IF(O116="Sí",1,IF(O116="Parcial",0.5,0))</f>
        <v>0</v>
      </c>
      <c r="AO116" s="84">
        <f>IF(P116="Sí",1,IF(P116="Parcial",0.5,0))+IF(Q116="Sí",1,IF(Q116="Parcial",0.5,0))+IF(R116="Sí",1,IF(R116="Parcial",0.5,0))+IF(S116="Sí",1,IF(S116="Parcial",0.5,0))+IF(T116="Sí",1,IF(T116="Parcial",0.5,0))+IF(U116="Sí",1,IF(U116="Parcial",0.5,0))</f>
        <v>0</v>
      </c>
      <c r="AP116" s="85">
        <f>IF(V116="Sí",1,IF(V116="Parcial",0.5,0))+IF(W116="Sí",1,IF(W116="Parcial",0.5,0))+IF(X116="Sí",1,IF(X116="Parcial",0.5,0))+IF(Y116="Sí",1,IF(Y116="Parcial",0.5,0))</f>
        <v>0</v>
      </c>
      <c r="AQ116" s="86">
        <f>IF(Z116="Sí",1,IF(Z116="Parcial",0.5,0))+IF(AA116="Sí",1,IF(AA116="Parcial",0.5,0))+IF(AB116="Sí",1,IF(AB116="Parcial",0.5,0))</f>
        <v>0</v>
      </c>
      <c r="AR116" s="87">
        <f>IF(AC116="Sí",1,IF(AC116="Parcial",0.5,0))+IF(AD116="Sí",1,IF(AD116="Parcial",0.5,0))+IF(AE116="Sí",1,IF(AE116="Parcial",0.5,0))</f>
        <v>0</v>
      </c>
      <c r="AS116" s="88">
        <f>IF(AF116="Sí",1,IF(AF116="Parcial",0.5,0))+IF(AG116="Sí",1,IF(AG116="Parcial",0.5,0))+IF(AH116="Sí",1,IF(AH116="Parcial",0.5,0))</f>
        <v>1</v>
      </c>
      <c r="AT116" s="89">
        <f>IF(AI116="Sí",1,IF(AI116="Parcial",0.5,0))+IF(AJ116="Sí",1,IF(AJ116="Parcial",0.5,0))+IF(AK116="Sí",1,IF(AK116="Parcial",0.5,0))</f>
        <v>0</v>
      </c>
      <c r="AU116" s="90">
        <f>SUM(AL116,AM116,AN116,AO116,AP116,AQ116,AR116,AS116,AT116)</f>
        <v>1</v>
      </c>
      <c r="AV116" s="225">
        <f>IFERROR(IF(OR(A116="",AU116=0),"",AU116/(IF(AL116&gt;0,1,0)+IF(AM116&gt;0,1,0)+IF(AN116&gt;0,1,0)+IF(AO116&gt;0,1,0)+IF(AP116&gt;0,1,0)+IF(AQ116&gt;0,1,0)+IF(AR116&gt;0,1,0)+IF(AS116&gt;0,1,0)+IF(AT116&gt;0,1,0))),"")</f>
        <v>1</v>
      </c>
      <c r="AW116" s="225">
        <f>IFERROR(IF(OR(A116="",AU116=""),"",IF(AND(MAX($AU$8:$AU$156)=0,MAX($AV$8:$AV$156)=0),"",0.5*(AU116/MAX($AU$8:$AU$156))+0.5*(AV116/MAX($AV$8:$AV$156)))),"")</f>
        <v>0.18055555555555555</v>
      </c>
      <c r="AX116" s="79" t="str">
        <f>IF(A116="","",IF((IF(AL116&gt;=1,1,0)+IF(AM116&gt;=1,1,0)+IF(AN116&gt;=1,1,0)+IF(AO116&gt;=1,1,0)+IF(AP116&gt;=1,1,0)+IF(AQ116&gt;=1,1,0)+IF(AR116&gt;=1,1,0)+IF(AS116&gt;=1,1,0)+IF(AT116&gt;=1,1,0))&gt;=5,"Diversificado (5+ verticales)",IF((IF(AL116&gt;=1,1,0)+IF(AM116&gt;=1,1,0)+IF(AN116&gt;=1,1,0)+IF(AO116&gt;=1,1,0)+IF(AP116&gt;=1,1,0)+IF(AQ116&gt;=1,1,0)+IF(AR116&gt;=1,1,0)+IF(AS116&gt;=1,1,0)+IF(AT116&gt;=1,1,0))&gt;=3,"Multi-capacidad (3-4 verticales)",IF((IF(AL116&gt;=1,1,0)+IF(AM116&gt;=1,1,0)+IF(AN116&gt;=1,1,0)+IF(AO116&gt;=1,1,0)+IF(AP116&gt;=1,1,0)+IF(AQ116&gt;=1,1,0)+IF(AR116&gt;=1,1,0)+IF(AS116&gt;=1,1,0)+IF(AT116&gt;=1,1,0))&gt;=1,"Especialista (1-2 verticales)","Sin función mapeada"))))</f>
        <v>Especialista (1-2 verticales)</v>
      </c>
    </row>
    <row r="117" spans="1:50" ht="24" customHeight="1" x14ac:dyDescent="0.2">
      <c r="A117" s="48" t="s">
        <v>696</v>
      </c>
      <c r="B117" s="48" t="s">
        <v>697</v>
      </c>
      <c r="C117" s="78" t="str">
        <f>IF(A117="","",IFERROR(INDEX('UNIVERSO MAESTRO'!$C$6:$C$497,MATCH(A117,'UNIVERSO MAESTRO'!$A$6:$A$497,0)),"⚠ ID no encontrado"))</f>
        <v>GNP Seguros / Grupo BAL</v>
      </c>
      <c r="D117" s="79" t="str">
        <f>IF(A117="","",IFERROR(INDEX('UNIVERSO MAESTRO'!$D$6:$D$497,MATCH(A117,'UNIVERSO MAESTRO'!$A$6:$A$497,0)),""))</f>
        <v>V3</v>
      </c>
      <c r="E117" s="80" t="s">
        <v>353</v>
      </c>
      <c r="F117" s="80" t="s">
        <v>353</v>
      </c>
      <c r="G117" s="80" t="s">
        <v>353</v>
      </c>
      <c r="H117" s="80" t="s">
        <v>353</v>
      </c>
      <c r="I117" s="80" t="s">
        <v>353</v>
      </c>
      <c r="J117" s="80" t="s">
        <v>353</v>
      </c>
      <c r="K117" s="80" t="s">
        <v>353</v>
      </c>
      <c r="L117" s="80" t="s">
        <v>353</v>
      </c>
      <c r="M117" s="80" t="s">
        <v>353</v>
      </c>
      <c r="N117" s="80" t="s">
        <v>1530</v>
      </c>
      <c r="O117" s="80" t="s">
        <v>353</v>
      </c>
      <c r="P117" s="80" t="s">
        <v>353</v>
      </c>
      <c r="Q117" s="80" t="s">
        <v>353</v>
      </c>
      <c r="R117" s="80" t="s">
        <v>353</v>
      </c>
      <c r="S117" s="80" t="s">
        <v>353</v>
      </c>
      <c r="T117" s="80" t="s">
        <v>353</v>
      </c>
      <c r="U117" s="80" t="s">
        <v>353</v>
      </c>
      <c r="V117" s="80" t="s">
        <v>353</v>
      </c>
      <c r="W117" s="80" t="s">
        <v>353</v>
      </c>
      <c r="X117" s="80" t="s">
        <v>353</v>
      </c>
      <c r="Y117" s="80" t="s">
        <v>353</v>
      </c>
      <c r="Z117" s="80" t="s">
        <v>353</v>
      </c>
      <c r="AA117" s="80" t="s">
        <v>353</v>
      </c>
      <c r="AB117" s="80" t="s">
        <v>353</v>
      </c>
      <c r="AC117" s="80" t="s">
        <v>353</v>
      </c>
      <c r="AD117" s="80" t="s">
        <v>353</v>
      </c>
      <c r="AE117" s="80" t="s">
        <v>353</v>
      </c>
      <c r="AF117" s="80" t="s">
        <v>353</v>
      </c>
      <c r="AG117" s="80" t="s">
        <v>353</v>
      </c>
      <c r="AH117" s="80" t="s">
        <v>353</v>
      </c>
      <c r="AI117" s="80" t="s">
        <v>353</v>
      </c>
      <c r="AJ117" s="80" t="s">
        <v>353</v>
      </c>
      <c r="AK117" s="80" t="s">
        <v>353</v>
      </c>
      <c r="AL117" s="81">
        <f>IF(E117="Sí",1,IF(E117="Parcial",0.5,0))+IF(F117="Sí",1,IF(F117="Parcial",0.5,0))+IF(G117="Sí",1,IF(G117="Parcial",0.5,0))+IF(H117="Sí",1,IF(H117="Parcial",0.5,0))</f>
        <v>0</v>
      </c>
      <c r="AM117" s="82">
        <f>IF(I117="Sí",1,IF(I117="Parcial",0.5,0))+IF(J117="Sí",1,IF(J117="Parcial",0.5,0))+IF(K117="Sí",1,IF(K117="Parcial",0.5,0))</f>
        <v>0</v>
      </c>
      <c r="AN117" s="83">
        <f>IF(L117="Sí",1,IF(L117="Parcial",0.5,0))+IF(M117="Sí",1,IF(M117="Parcial",0.5,0))+IF(N117="Sí",1,IF(N117="Parcial",0.5,0))+IF(O117="Sí",1,IF(O117="Parcial",0.5,0))</f>
        <v>1</v>
      </c>
      <c r="AO117" s="84">
        <f>IF(P117="Sí",1,IF(P117="Parcial",0.5,0))+IF(Q117="Sí",1,IF(Q117="Parcial",0.5,0))+IF(R117="Sí",1,IF(R117="Parcial",0.5,0))+IF(S117="Sí",1,IF(S117="Parcial",0.5,0))+IF(T117="Sí",1,IF(T117="Parcial",0.5,0))+IF(U117="Sí",1,IF(U117="Parcial",0.5,0))</f>
        <v>0</v>
      </c>
      <c r="AP117" s="85">
        <f>IF(V117="Sí",1,IF(V117="Parcial",0.5,0))+IF(W117="Sí",1,IF(W117="Parcial",0.5,0))+IF(X117="Sí",1,IF(X117="Parcial",0.5,0))+IF(Y117="Sí",1,IF(Y117="Parcial",0.5,0))</f>
        <v>0</v>
      </c>
      <c r="AQ117" s="86">
        <f>IF(Z117="Sí",1,IF(Z117="Parcial",0.5,0))+IF(AA117="Sí",1,IF(AA117="Parcial",0.5,0))+IF(AB117="Sí",1,IF(AB117="Parcial",0.5,0))</f>
        <v>0</v>
      </c>
      <c r="AR117" s="87">
        <f>IF(AC117="Sí",1,IF(AC117="Parcial",0.5,0))+IF(AD117="Sí",1,IF(AD117="Parcial",0.5,0))+IF(AE117="Sí",1,IF(AE117="Parcial",0.5,0))</f>
        <v>0</v>
      </c>
      <c r="AS117" s="88">
        <f>IF(AF117="Sí",1,IF(AF117="Parcial",0.5,0))+IF(AG117="Sí",1,IF(AG117="Parcial",0.5,0))+IF(AH117="Sí",1,IF(AH117="Parcial",0.5,0))</f>
        <v>0</v>
      </c>
      <c r="AT117" s="89">
        <f>IF(AI117="Sí",1,IF(AI117="Parcial",0.5,0))+IF(AJ117="Sí",1,IF(AJ117="Parcial",0.5,0))+IF(AK117="Sí",1,IF(AK117="Parcial",0.5,0))</f>
        <v>0</v>
      </c>
      <c r="AU117" s="90">
        <f>SUM(AL117,AM117,AN117,AO117,AP117,AQ117,AR117,AS117,AT117)</f>
        <v>1</v>
      </c>
      <c r="AV117" s="225">
        <f>IFERROR(IF(OR(A117="",AU117=0),"",AU117/(IF(AL117&gt;0,1,0)+IF(AM117&gt;0,1,0)+IF(AN117&gt;0,1,0)+IF(AO117&gt;0,1,0)+IF(AP117&gt;0,1,0)+IF(AQ117&gt;0,1,0)+IF(AR117&gt;0,1,0)+IF(AS117&gt;0,1,0)+IF(AT117&gt;0,1,0))),"")</f>
        <v>1</v>
      </c>
      <c r="AW117" s="225">
        <f>IFERROR(IF(OR(A117="",AU117=""),"",IF(AND(MAX($AU$8:$AU$156)=0,MAX($AV$8:$AV$156)=0),"",0.5*(AU117/MAX($AU$8:$AU$156))+0.5*(AV117/MAX($AV$8:$AV$156)))),"")</f>
        <v>0.18055555555555555</v>
      </c>
      <c r="AX117" s="79" t="str">
        <f>IF(A117="","",IF((IF(AL117&gt;=1,1,0)+IF(AM117&gt;=1,1,0)+IF(AN117&gt;=1,1,0)+IF(AO117&gt;=1,1,0)+IF(AP117&gt;=1,1,0)+IF(AQ117&gt;=1,1,0)+IF(AR117&gt;=1,1,0)+IF(AS117&gt;=1,1,0)+IF(AT117&gt;=1,1,0))&gt;=5,"Diversificado (5+ verticales)",IF((IF(AL117&gt;=1,1,0)+IF(AM117&gt;=1,1,0)+IF(AN117&gt;=1,1,0)+IF(AO117&gt;=1,1,0)+IF(AP117&gt;=1,1,0)+IF(AQ117&gt;=1,1,0)+IF(AR117&gt;=1,1,0)+IF(AS117&gt;=1,1,0)+IF(AT117&gt;=1,1,0))&gt;=3,"Multi-capacidad (3-4 verticales)",IF((IF(AL117&gt;=1,1,0)+IF(AM117&gt;=1,1,0)+IF(AN117&gt;=1,1,0)+IF(AO117&gt;=1,1,0)+IF(AP117&gt;=1,1,0)+IF(AQ117&gt;=1,1,0)+IF(AR117&gt;=1,1,0)+IF(AS117&gt;=1,1,0)+IF(AT117&gt;=1,1,0))&gt;=1,"Especialista (1-2 verticales)","Sin función mapeada"))))</f>
        <v>Especialista (1-2 verticales)</v>
      </c>
    </row>
    <row r="118" spans="1:50" ht="24" customHeight="1" x14ac:dyDescent="0.2">
      <c r="A118" s="48" t="s">
        <v>704</v>
      </c>
      <c r="B118" s="48" t="s">
        <v>705</v>
      </c>
      <c r="C118" s="78" t="str">
        <f>IF(A118="","",IFERROR(INDEX('UNIVERSO MAESTRO'!$C$6:$C$497,MATCH(A118,'UNIVERSO MAESTRO'!$A$6:$A$497,0)),"⚠ ID no encontrado"))</f>
        <v>Golstats</v>
      </c>
      <c r="D118" s="79" t="str">
        <f>IF(A118="","",IFERROR(INDEX('UNIVERSO MAESTRO'!$D$6:$D$497,MATCH(A118,'UNIVERSO MAESTRO'!$A$6:$A$497,0)),""))</f>
        <v>V8</v>
      </c>
      <c r="E118" s="80" t="s">
        <v>353</v>
      </c>
      <c r="F118" s="80" t="s">
        <v>353</v>
      </c>
      <c r="G118" s="80" t="s">
        <v>353</v>
      </c>
      <c r="H118" s="80" t="s">
        <v>353</v>
      </c>
      <c r="I118" s="80" t="s">
        <v>353</v>
      </c>
      <c r="J118" s="80" t="s">
        <v>353</v>
      </c>
      <c r="K118" s="80" t="s">
        <v>353</v>
      </c>
      <c r="L118" s="80" t="s">
        <v>353</v>
      </c>
      <c r="M118" s="80" t="s">
        <v>353</v>
      </c>
      <c r="N118" s="80" t="s">
        <v>353</v>
      </c>
      <c r="O118" s="80" t="s">
        <v>353</v>
      </c>
      <c r="P118" s="80" t="s">
        <v>353</v>
      </c>
      <c r="Q118" s="80" t="s">
        <v>353</v>
      </c>
      <c r="R118" s="80" t="s">
        <v>353</v>
      </c>
      <c r="S118" s="80" t="s">
        <v>353</v>
      </c>
      <c r="T118" s="80" t="s">
        <v>353</v>
      </c>
      <c r="U118" s="80" t="s">
        <v>353</v>
      </c>
      <c r="V118" s="80" t="s">
        <v>353</v>
      </c>
      <c r="W118" s="80" t="s">
        <v>353</v>
      </c>
      <c r="X118" s="80" t="s">
        <v>353</v>
      </c>
      <c r="Y118" s="80" t="s">
        <v>353</v>
      </c>
      <c r="Z118" s="80" t="s">
        <v>353</v>
      </c>
      <c r="AA118" s="80" t="s">
        <v>353</v>
      </c>
      <c r="AB118" s="80" t="s">
        <v>353</v>
      </c>
      <c r="AC118" s="80" t="s">
        <v>353</v>
      </c>
      <c r="AD118" s="80" t="s">
        <v>353</v>
      </c>
      <c r="AE118" s="80" t="s">
        <v>353</v>
      </c>
      <c r="AF118" s="80" t="s">
        <v>353</v>
      </c>
      <c r="AG118" s="80" t="s">
        <v>1530</v>
      </c>
      <c r="AH118" s="80" t="s">
        <v>353</v>
      </c>
      <c r="AI118" s="80" t="s">
        <v>353</v>
      </c>
      <c r="AJ118" s="80" t="s">
        <v>353</v>
      </c>
      <c r="AK118" s="80" t="s">
        <v>353</v>
      </c>
      <c r="AL118" s="81">
        <f>IF(E118="Sí",1,IF(E118="Parcial",0.5,0))+IF(F118="Sí",1,IF(F118="Parcial",0.5,0))+IF(G118="Sí",1,IF(G118="Parcial",0.5,0))+IF(H118="Sí",1,IF(H118="Parcial",0.5,0))</f>
        <v>0</v>
      </c>
      <c r="AM118" s="82">
        <f>IF(I118="Sí",1,IF(I118="Parcial",0.5,0))+IF(J118="Sí",1,IF(J118="Parcial",0.5,0))+IF(K118="Sí",1,IF(K118="Parcial",0.5,0))</f>
        <v>0</v>
      </c>
      <c r="AN118" s="83">
        <f>IF(L118="Sí",1,IF(L118="Parcial",0.5,0))+IF(M118="Sí",1,IF(M118="Parcial",0.5,0))+IF(N118="Sí",1,IF(N118="Parcial",0.5,0))+IF(O118="Sí",1,IF(O118="Parcial",0.5,0))</f>
        <v>0</v>
      </c>
      <c r="AO118" s="84">
        <f>IF(P118="Sí",1,IF(P118="Parcial",0.5,0))+IF(Q118="Sí",1,IF(Q118="Parcial",0.5,0))+IF(R118="Sí",1,IF(R118="Parcial",0.5,0))+IF(S118="Sí",1,IF(S118="Parcial",0.5,0))+IF(T118="Sí",1,IF(T118="Parcial",0.5,0))+IF(U118="Sí",1,IF(U118="Parcial",0.5,0))</f>
        <v>0</v>
      </c>
      <c r="AP118" s="85">
        <f>IF(V118="Sí",1,IF(V118="Parcial",0.5,0))+IF(W118="Sí",1,IF(W118="Parcial",0.5,0))+IF(X118="Sí",1,IF(X118="Parcial",0.5,0))+IF(Y118="Sí",1,IF(Y118="Parcial",0.5,0))</f>
        <v>0</v>
      </c>
      <c r="AQ118" s="86">
        <f>IF(Z118="Sí",1,IF(Z118="Parcial",0.5,0))+IF(AA118="Sí",1,IF(AA118="Parcial",0.5,0))+IF(AB118="Sí",1,IF(AB118="Parcial",0.5,0))</f>
        <v>0</v>
      </c>
      <c r="AR118" s="87">
        <f>IF(AC118="Sí",1,IF(AC118="Parcial",0.5,0))+IF(AD118="Sí",1,IF(AD118="Parcial",0.5,0))+IF(AE118="Sí",1,IF(AE118="Parcial",0.5,0))</f>
        <v>0</v>
      </c>
      <c r="AS118" s="88">
        <f>IF(AF118="Sí",1,IF(AF118="Parcial",0.5,0))+IF(AG118="Sí",1,IF(AG118="Parcial",0.5,0))+IF(AH118="Sí",1,IF(AH118="Parcial",0.5,0))</f>
        <v>1</v>
      </c>
      <c r="AT118" s="89">
        <f>IF(AI118="Sí",1,IF(AI118="Parcial",0.5,0))+IF(AJ118="Sí",1,IF(AJ118="Parcial",0.5,0))+IF(AK118="Sí",1,IF(AK118="Parcial",0.5,0))</f>
        <v>0</v>
      </c>
      <c r="AU118" s="90">
        <f>SUM(AL118,AM118,AN118,AO118,AP118,AQ118,AR118,AS118,AT118)</f>
        <v>1</v>
      </c>
      <c r="AV118" s="225">
        <f>IFERROR(IF(OR(A118="",AU118=0),"",AU118/(IF(AL118&gt;0,1,0)+IF(AM118&gt;0,1,0)+IF(AN118&gt;0,1,0)+IF(AO118&gt;0,1,0)+IF(AP118&gt;0,1,0)+IF(AQ118&gt;0,1,0)+IF(AR118&gt;0,1,0)+IF(AS118&gt;0,1,0)+IF(AT118&gt;0,1,0))),"")</f>
        <v>1</v>
      </c>
      <c r="AW118" s="225">
        <f>IFERROR(IF(OR(A118="",AU118=""),"",IF(AND(MAX($AU$8:$AU$156)=0,MAX($AV$8:$AV$156)=0),"",0.5*(AU118/MAX($AU$8:$AU$156))+0.5*(AV118/MAX($AV$8:$AV$156)))),"")</f>
        <v>0.18055555555555555</v>
      </c>
      <c r="AX118" s="79" t="str">
        <f>IF(A118="","",IF((IF(AL118&gt;=1,1,0)+IF(AM118&gt;=1,1,0)+IF(AN118&gt;=1,1,0)+IF(AO118&gt;=1,1,0)+IF(AP118&gt;=1,1,0)+IF(AQ118&gt;=1,1,0)+IF(AR118&gt;=1,1,0)+IF(AS118&gt;=1,1,0)+IF(AT118&gt;=1,1,0))&gt;=5,"Diversificado (5+ verticales)",IF((IF(AL118&gt;=1,1,0)+IF(AM118&gt;=1,1,0)+IF(AN118&gt;=1,1,0)+IF(AO118&gt;=1,1,0)+IF(AP118&gt;=1,1,0)+IF(AQ118&gt;=1,1,0)+IF(AR118&gt;=1,1,0)+IF(AS118&gt;=1,1,0)+IF(AT118&gt;=1,1,0))&gt;=3,"Multi-capacidad (3-4 verticales)",IF((IF(AL118&gt;=1,1,0)+IF(AM118&gt;=1,1,0)+IF(AN118&gt;=1,1,0)+IF(AO118&gt;=1,1,0)+IF(AP118&gt;=1,1,0)+IF(AQ118&gt;=1,1,0)+IF(AR118&gt;=1,1,0)+IF(AS118&gt;=1,1,0)+IF(AT118&gt;=1,1,0))&gt;=1,"Especialista (1-2 verticales)","Sin función mapeada"))))</f>
        <v>Especialista (1-2 verticales)</v>
      </c>
    </row>
    <row r="119" spans="1:50" ht="24" customHeight="1" x14ac:dyDescent="0.2">
      <c r="A119" s="48" t="s">
        <v>846</v>
      </c>
      <c r="B119" s="48" t="s">
        <v>847</v>
      </c>
      <c r="C119" s="78" t="str">
        <f>IF(A119="","",IFERROR(INDEX('UNIVERSO MAESTRO'!$C$6:$C$497,MATCH(A119,'UNIVERSO MAESTRO'!$A$6:$A$497,0)),"⚠ ID no encontrado"))</f>
        <v>Hawk-Eye Innovations (Sony)</v>
      </c>
      <c r="D119" s="79" t="str">
        <f>IF(A119="","",IFERROR(INDEX('UNIVERSO MAESTRO'!$D$6:$D$497,MATCH(A119,'UNIVERSO MAESTRO'!$A$6:$A$497,0)),""))</f>
        <v>V8</v>
      </c>
      <c r="E119" s="80" t="s">
        <v>353</v>
      </c>
      <c r="F119" s="80" t="s">
        <v>353</v>
      </c>
      <c r="G119" s="80" t="s">
        <v>353</v>
      </c>
      <c r="H119" s="80" t="s">
        <v>353</v>
      </c>
      <c r="I119" s="80" t="s">
        <v>353</v>
      </c>
      <c r="J119" s="80" t="s">
        <v>353</v>
      </c>
      <c r="K119" s="80" t="s">
        <v>353</v>
      </c>
      <c r="L119" s="80" t="s">
        <v>353</v>
      </c>
      <c r="M119" s="80" t="s">
        <v>353</v>
      </c>
      <c r="N119" s="80" t="s">
        <v>353</v>
      </c>
      <c r="O119" s="80" t="s">
        <v>353</v>
      </c>
      <c r="P119" s="80" t="s">
        <v>353</v>
      </c>
      <c r="Q119" s="80" t="s">
        <v>353</v>
      </c>
      <c r="R119" s="80" t="s">
        <v>353</v>
      </c>
      <c r="S119" s="80" t="s">
        <v>353</v>
      </c>
      <c r="T119" s="80" t="s">
        <v>353</v>
      </c>
      <c r="U119" s="80" t="s">
        <v>353</v>
      </c>
      <c r="V119" s="80" t="s">
        <v>353</v>
      </c>
      <c r="W119" s="80" t="s">
        <v>353</v>
      </c>
      <c r="X119" s="80" t="s">
        <v>353</v>
      </c>
      <c r="Y119" s="80" t="s">
        <v>353</v>
      </c>
      <c r="Z119" s="80" t="s">
        <v>353</v>
      </c>
      <c r="AA119" s="80" t="s">
        <v>353</v>
      </c>
      <c r="AB119" s="80" t="s">
        <v>353</v>
      </c>
      <c r="AC119" s="80" t="s">
        <v>353</v>
      </c>
      <c r="AD119" s="80" t="s">
        <v>353</v>
      </c>
      <c r="AE119" s="80" t="s">
        <v>353</v>
      </c>
      <c r="AF119" s="80" t="s">
        <v>353</v>
      </c>
      <c r="AG119" s="80" t="s">
        <v>1530</v>
      </c>
      <c r="AH119" s="80" t="s">
        <v>353</v>
      </c>
      <c r="AI119" s="80" t="s">
        <v>353</v>
      </c>
      <c r="AJ119" s="80" t="s">
        <v>353</v>
      </c>
      <c r="AK119" s="80" t="s">
        <v>353</v>
      </c>
      <c r="AL119" s="81">
        <f>IF(E119="Sí",1,IF(E119="Parcial",0.5,0))+IF(F119="Sí",1,IF(F119="Parcial",0.5,0))+IF(G119="Sí",1,IF(G119="Parcial",0.5,0))+IF(H119="Sí",1,IF(H119="Parcial",0.5,0))</f>
        <v>0</v>
      </c>
      <c r="AM119" s="82">
        <f>IF(I119="Sí",1,IF(I119="Parcial",0.5,0))+IF(J119="Sí",1,IF(J119="Parcial",0.5,0))+IF(K119="Sí",1,IF(K119="Parcial",0.5,0))</f>
        <v>0</v>
      </c>
      <c r="AN119" s="83">
        <f>IF(L119="Sí",1,IF(L119="Parcial",0.5,0))+IF(M119="Sí",1,IF(M119="Parcial",0.5,0))+IF(N119="Sí",1,IF(N119="Parcial",0.5,0))+IF(O119="Sí",1,IF(O119="Parcial",0.5,0))</f>
        <v>0</v>
      </c>
      <c r="AO119" s="84">
        <f>IF(P119="Sí",1,IF(P119="Parcial",0.5,0))+IF(Q119="Sí",1,IF(Q119="Parcial",0.5,0))+IF(R119="Sí",1,IF(R119="Parcial",0.5,0))+IF(S119="Sí",1,IF(S119="Parcial",0.5,0))+IF(T119="Sí",1,IF(T119="Parcial",0.5,0))+IF(U119="Sí",1,IF(U119="Parcial",0.5,0))</f>
        <v>0</v>
      </c>
      <c r="AP119" s="85">
        <f>IF(V119="Sí",1,IF(V119="Parcial",0.5,0))+IF(W119="Sí",1,IF(W119="Parcial",0.5,0))+IF(X119="Sí",1,IF(X119="Parcial",0.5,0))+IF(Y119="Sí",1,IF(Y119="Parcial",0.5,0))</f>
        <v>0</v>
      </c>
      <c r="AQ119" s="86">
        <f>IF(Z119="Sí",1,IF(Z119="Parcial",0.5,0))+IF(AA119="Sí",1,IF(AA119="Parcial",0.5,0))+IF(AB119="Sí",1,IF(AB119="Parcial",0.5,0))</f>
        <v>0</v>
      </c>
      <c r="AR119" s="87">
        <f>IF(AC119="Sí",1,IF(AC119="Parcial",0.5,0))+IF(AD119="Sí",1,IF(AD119="Parcial",0.5,0))+IF(AE119="Sí",1,IF(AE119="Parcial",0.5,0))</f>
        <v>0</v>
      </c>
      <c r="AS119" s="88">
        <f>IF(AF119="Sí",1,IF(AF119="Parcial",0.5,0))+IF(AG119="Sí",1,IF(AG119="Parcial",0.5,0))+IF(AH119="Sí",1,IF(AH119="Parcial",0.5,0))</f>
        <v>1</v>
      </c>
      <c r="AT119" s="89">
        <f>IF(AI119="Sí",1,IF(AI119="Parcial",0.5,0))+IF(AJ119="Sí",1,IF(AJ119="Parcial",0.5,0))+IF(AK119="Sí",1,IF(AK119="Parcial",0.5,0))</f>
        <v>0</v>
      </c>
      <c r="AU119" s="90">
        <f>SUM(AL119,AM119,AN119,AO119,AP119,AQ119,AR119,AS119,AT119)</f>
        <v>1</v>
      </c>
      <c r="AV119" s="225">
        <f>IFERROR(IF(OR(A119="",AU119=0),"",AU119/(IF(AL119&gt;0,1,0)+IF(AM119&gt;0,1,0)+IF(AN119&gt;0,1,0)+IF(AO119&gt;0,1,0)+IF(AP119&gt;0,1,0)+IF(AQ119&gt;0,1,0)+IF(AR119&gt;0,1,0)+IF(AS119&gt;0,1,0)+IF(AT119&gt;0,1,0))),"")</f>
        <v>1</v>
      </c>
      <c r="AW119" s="225">
        <f>IFERROR(IF(OR(A119="",AU119=""),"",IF(AND(MAX($AU$8:$AU$156)=0,MAX($AV$8:$AV$156)=0),"",0.5*(AU119/MAX($AU$8:$AU$156))+0.5*(AV119/MAX($AV$8:$AV$156)))),"")</f>
        <v>0.18055555555555555</v>
      </c>
      <c r="AX119" s="79" t="str">
        <f>IF(A119="","",IF((IF(AL119&gt;=1,1,0)+IF(AM119&gt;=1,1,0)+IF(AN119&gt;=1,1,0)+IF(AO119&gt;=1,1,0)+IF(AP119&gt;=1,1,0)+IF(AQ119&gt;=1,1,0)+IF(AR119&gt;=1,1,0)+IF(AS119&gt;=1,1,0)+IF(AT119&gt;=1,1,0))&gt;=5,"Diversificado (5+ verticales)",IF((IF(AL119&gt;=1,1,0)+IF(AM119&gt;=1,1,0)+IF(AN119&gt;=1,1,0)+IF(AO119&gt;=1,1,0)+IF(AP119&gt;=1,1,0)+IF(AQ119&gt;=1,1,0)+IF(AR119&gt;=1,1,0)+IF(AS119&gt;=1,1,0)+IF(AT119&gt;=1,1,0))&gt;=3,"Multi-capacidad (3-4 verticales)",IF((IF(AL119&gt;=1,1,0)+IF(AM119&gt;=1,1,0)+IF(AN119&gt;=1,1,0)+IF(AO119&gt;=1,1,0)+IF(AP119&gt;=1,1,0)+IF(AQ119&gt;=1,1,0)+IF(AR119&gt;=1,1,0)+IF(AS119&gt;=1,1,0)+IF(AT119&gt;=1,1,0))&gt;=1,"Especialista (1-2 verticales)","Sin función mapeada"))))</f>
        <v>Especialista (1-2 verticales)</v>
      </c>
    </row>
    <row r="120" spans="1:50" ht="24" customHeight="1" x14ac:dyDescent="0.2">
      <c r="A120" s="48" t="s">
        <v>869</v>
      </c>
      <c r="B120" s="48" t="s">
        <v>870</v>
      </c>
      <c r="C120" s="78" t="str">
        <f>IF(A120="","",IFERROR(INDEX('UNIVERSO MAESTRO'!$C$6:$C$497,MATCH(A120,'UNIVERSO MAESTRO'!$A$6:$A$497,0)),"⚠ ID no encontrado"))</f>
        <v>Hisense</v>
      </c>
      <c r="D120" s="79" t="str">
        <f>IF(A120="","",IFERROR(INDEX('UNIVERSO MAESTRO'!$D$6:$D$497,MATCH(A120,'UNIVERSO MAESTRO'!$A$6:$A$497,0)),""))</f>
        <v>V3</v>
      </c>
      <c r="E120" s="80" t="s">
        <v>353</v>
      </c>
      <c r="F120" s="80" t="s">
        <v>353</v>
      </c>
      <c r="G120" s="80" t="s">
        <v>353</v>
      </c>
      <c r="H120" s="80" t="s">
        <v>353</v>
      </c>
      <c r="I120" s="80" t="s">
        <v>353</v>
      </c>
      <c r="J120" s="80" t="s">
        <v>353</v>
      </c>
      <c r="K120" s="80" t="s">
        <v>353</v>
      </c>
      <c r="L120" s="80" t="s">
        <v>353</v>
      </c>
      <c r="M120" s="80" t="s">
        <v>1530</v>
      </c>
      <c r="N120" s="80" t="s">
        <v>353</v>
      </c>
      <c r="O120" s="80" t="s">
        <v>353</v>
      </c>
      <c r="P120" s="80" t="s">
        <v>353</v>
      </c>
      <c r="Q120" s="80" t="s">
        <v>353</v>
      </c>
      <c r="R120" s="80" t="s">
        <v>353</v>
      </c>
      <c r="S120" s="80" t="s">
        <v>353</v>
      </c>
      <c r="T120" s="80" t="s">
        <v>353</v>
      </c>
      <c r="U120" s="80" t="s">
        <v>353</v>
      </c>
      <c r="V120" s="80" t="s">
        <v>353</v>
      </c>
      <c r="W120" s="80" t="s">
        <v>353</v>
      </c>
      <c r="X120" s="80" t="s">
        <v>353</v>
      </c>
      <c r="Y120" s="80" t="s">
        <v>353</v>
      </c>
      <c r="Z120" s="80" t="s">
        <v>353</v>
      </c>
      <c r="AA120" s="80" t="s">
        <v>353</v>
      </c>
      <c r="AB120" s="80" t="s">
        <v>353</v>
      </c>
      <c r="AC120" s="80" t="s">
        <v>353</v>
      </c>
      <c r="AD120" s="80" t="s">
        <v>353</v>
      </c>
      <c r="AE120" s="80" t="s">
        <v>353</v>
      </c>
      <c r="AF120" s="80" t="s">
        <v>353</v>
      </c>
      <c r="AG120" s="80" t="s">
        <v>353</v>
      </c>
      <c r="AH120" s="80" t="s">
        <v>353</v>
      </c>
      <c r="AI120" s="80" t="s">
        <v>353</v>
      </c>
      <c r="AJ120" s="80" t="s">
        <v>353</v>
      </c>
      <c r="AK120" s="80" t="s">
        <v>353</v>
      </c>
      <c r="AL120" s="81">
        <f>IF(E120="Sí",1,IF(E120="Parcial",0.5,0))+IF(F120="Sí",1,IF(F120="Parcial",0.5,0))+IF(G120="Sí",1,IF(G120="Parcial",0.5,0))+IF(H120="Sí",1,IF(H120="Parcial",0.5,0))</f>
        <v>0</v>
      </c>
      <c r="AM120" s="82">
        <f>IF(I120="Sí",1,IF(I120="Parcial",0.5,0))+IF(J120="Sí",1,IF(J120="Parcial",0.5,0))+IF(K120="Sí",1,IF(K120="Parcial",0.5,0))</f>
        <v>0</v>
      </c>
      <c r="AN120" s="83">
        <f>IF(L120="Sí",1,IF(L120="Parcial",0.5,0))+IF(M120="Sí",1,IF(M120="Parcial",0.5,0))+IF(N120="Sí",1,IF(N120="Parcial",0.5,0))+IF(O120="Sí",1,IF(O120="Parcial",0.5,0))</f>
        <v>1</v>
      </c>
      <c r="AO120" s="84">
        <f>IF(P120="Sí",1,IF(P120="Parcial",0.5,0))+IF(Q120="Sí",1,IF(Q120="Parcial",0.5,0))+IF(R120="Sí",1,IF(R120="Parcial",0.5,0))+IF(S120="Sí",1,IF(S120="Parcial",0.5,0))+IF(T120="Sí",1,IF(T120="Parcial",0.5,0))+IF(U120="Sí",1,IF(U120="Parcial",0.5,0))</f>
        <v>0</v>
      </c>
      <c r="AP120" s="85">
        <f>IF(V120="Sí",1,IF(V120="Parcial",0.5,0))+IF(W120="Sí",1,IF(W120="Parcial",0.5,0))+IF(X120="Sí",1,IF(X120="Parcial",0.5,0))+IF(Y120="Sí",1,IF(Y120="Parcial",0.5,0))</f>
        <v>0</v>
      </c>
      <c r="AQ120" s="86">
        <f>IF(Z120="Sí",1,IF(Z120="Parcial",0.5,0))+IF(AA120="Sí",1,IF(AA120="Parcial",0.5,0))+IF(AB120="Sí",1,IF(AB120="Parcial",0.5,0))</f>
        <v>0</v>
      </c>
      <c r="AR120" s="87">
        <f>IF(AC120="Sí",1,IF(AC120="Parcial",0.5,0))+IF(AD120="Sí",1,IF(AD120="Parcial",0.5,0))+IF(AE120="Sí",1,IF(AE120="Parcial",0.5,0))</f>
        <v>0</v>
      </c>
      <c r="AS120" s="88">
        <f>IF(AF120="Sí",1,IF(AF120="Parcial",0.5,0))+IF(AG120="Sí",1,IF(AG120="Parcial",0.5,0))+IF(AH120="Sí",1,IF(AH120="Parcial",0.5,0))</f>
        <v>0</v>
      </c>
      <c r="AT120" s="89">
        <f>IF(AI120="Sí",1,IF(AI120="Parcial",0.5,0))+IF(AJ120="Sí",1,IF(AJ120="Parcial",0.5,0))+IF(AK120="Sí",1,IF(AK120="Parcial",0.5,0))</f>
        <v>0</v>
      </c>
      <c r="AU120" s="90">
        <f>SUM(AL120,AM120,AN120,AO120,AP120,AQ120,AR120,AS120,AT120)</f>
        <v>1</v>
      </c>
      <c r="AV120" s="225">
        <f>IFERROR(IF(OR(A120="",AU120=0),"",AU120/(IF(AL120&gt;0,1,0)+IF(AM120&gt;0,1,0)+IF(AN120&gt;0,1,0)+IF(AO120&gt;0,1,0)+IF(AP120&gt;0,1,0)+IF(AQ120&gt;0,1,0)+IF(AR120&gt;0,1,0)+IF(AS120&gt;0,1,0)+IF(AT120&gt;0,1,0))),"")</f>
        <v>1</v>
      </c>
      <c r="AW120" s="225">
        <f>IFERROR(IF(OR(A120="",AU120=""),"",IF(AND(MAX($AU$8:$AU$156)=0,MAX($AV$8:$AV$156)=0),"",0.5*(AU120/MAX($AU$8:$AU$156))+0.5*(AV120/MAX($AV$8:$AV$156)))),"")</f>
        <v>0.18055555555555555</v>
      </c>
      <c r="AX120" s="79" t="str">
        <f>IF(A120="","",IF((IF(AL120&gt;=1,1,0)+IF(AM120&gt;=1,1,0)+IF(AN120&gt;=1,1,0)+IF(AO120&gt;=1,1,0)+IF(AP120&gt;=1,1,0)+IF(AQ120&gt;=1,1,0)+IF(AR120&gt;=1,1,0)+IF(AS120&gt;=1,1,0)+IF(AT120&gt;=1,1,0))&gt;=5,"Diversificado (5+ verticales)",IF((IF(AL120&gt;=1,1,0)+IF(AM120&gt;=1,1,0)+IF(AN120&gt;=1,1,0)+IF(AO120&gt;=1,1,0)+IF(AP120&gt;=1,1,0)+IF(AQ120&gt;=1,1,0)+IF(AR120&gt;=1,1,0)+IF(AS120&gt;=1,1,0)+IF(AT120&gt;=1,1,0))&gt;=3,"Multi-capacidad (3-4 verticales)",IF((IF(AL120&gt;=1,1,0)+IF(AM120&gt;=1,1,0)+IF(AN120&gt;=1,1,0)+IF(AO120&gt;=1,1,0)+IF(AP120&gt;=1,1,0)+IF(AQ120&gt;=1,1,0)+IF(AR120&gt;=1,1,0)+IF(AS120&gt;=1,1,0)+IF(AT120&gt;=1,1,0))&gt;=1,"Especialista (1-2 verticales)","Sin función mapeada"))))</f>
        <v>Especialista (1-2 verticales)</v>
      </c>
    </row>
    <row r="121" spans="1:50" ht="24" customHeight="1" x14ac:dyDescent="0.2">
      <c r="A121" s="48" t="s">
        <v>877</v>
      </c>
      <c r="B121" s="48" t="s">
        <v>878</v>
      </c>
      <c r="C121" s="78" t="str">
        <f>IF(A121="","",IFERROR(INDEX('UNIVERSO MAESTRO'!$C$6:$C$497,MATCH(A121,'UNIVERSO MAESTRO'!$A$6:$A$497,0)),"⚠ ID no encontrado"))</f>
        <v>Hudl (Sportscode + Wyscout + Wimu + StatsBomb + Signal)</v>
      </c>
      <c r="D121" s="79" t="str">
        <f>IF(A121="","",IFERROR(INDEX('UNIVERSO MAESTRO'!$D$6:$D$497,MATCH(A121,'UNIVERSO MAESTRO'!$A$6:$A$497,0)),""))</f>
        <v>V8</v>
      </c>
      <c r="E121" s="80" t="s">
        <v>353</v>
      </c>
      <c r="F121" s="80" t="s">
        <v>353</v>
      </c>
      <c r="G121" s="80" t="s">
        <v>353</v>
      </c>
      <c r="H121" s="80" t="s">
        <v>353</v>
      </c>
      <c r="I121" s="80" t="s">
        <v>353</v>
      </c>
      <c r="J121" s="80" t="s">
        <v>353</v>
      </c>
      <c r="K121" s="80" t="s">
        <v>353</v>
      </c>
      <c r="L121" s="80" t="s">
        <v>353</v>
      </c>
      <c r="M121" s="80" t="s">
        <v>353</v>
      </c>
      <c r="N121" s="80" t="s">
        <v>353</v>
      </c>
      <c r="O121" s="80" t="s">
        <v>353</v>
      </c>
      <c r="P121" s="80" t="s">
        <v>353</v>
      </c>
      <c r="Q121" s="80" t="s">
        <v>353</v>
      </c>
      <c r="R121" s="80" t="s">
        <v>353</v>
      </c>
      <c r="S121" s="80" t="s">
        <v>353</v>
      </c>
      <c r="T121" s="80" t="s">
        <v>353</v>
      </c>
      <c r="U121" s="80" t="s">
        <v>353</v>
      </c>
      <c r="V121" s="80" t="s">
        <v>353</v>
      </c>
      <c r="W121" s="80" t="s">
        <v>353</v>
      </c>
      <c r="X121" s="80" t="s">
        <v>353</v>
      </c>
      <c r="Y121" s="80" t="s">
        <v>353</v>
      </c>
      <c r="Z121" s="80" t="s">
        <v>353</v>
      </c>
      <c r="AA121" s="80" t="s">
        <v>353</v>
      </c>
      <c r="AB121" s="80" t="s">
        <v>353</v>
      </c>
      <c r="AC121" s="80" t="s">
        <v>353</v>
      </c>
      <c r="AD121" s="80" t="s">
        <v>353</v>
      </c>
      <c r="AE121" s="80" t="s">
        <v>353</v>
      </c>
      <c r="AF121" s="80" t="s">
        <v>353</v>
      </c>
      <c r="AG121" s="80" t="s">
        <v>1530</v>
      </c>
      <c r="AH121" s="80" t="s">
        <v>353</v>
      </c>
      <c r="AI121" s="80" t="s">
        <v>353</v>
      </c>
      <c r="AJ121" s="80" t="s">
        <v>353</v>
      </c>
      <c r="AK121" s="80" t="s">
        <v>353</v>
      </c>
      <c r="AL121" s="81">
        <f>IF(E121="Sí",1,IF(E121="Parcial",0.5,0))+IF(F121="Sí",1,IF(F121="Parcial",0.5,0))+IF(G121="Sí",1,IF(G121="Parcial",0.5,0))+IF(H121="Sí",1,IF(H121="Parcial",0.5,0))</f>
        <v>0</v>
      </c>
      <c r="AM121" s="82">
        <f>IF(I121="Sí",1,IF(I121="Parcial",0.5,0))+IF(J121="Sí",1,IF(J121="Parcial",0.5,0))+IF(K121="Sí",1,IF(K121="Parcial",0.5,0))</f>
        <v>0</v>
      </c>
      <c r="AN121" s="83">
        <f>IF(L121="Sí",1,IF(L121="Parcial",0.5,0))+IF(M121="Sí",1,IF(M121="Parcial",0.5,0))+IF(N121="Sí",1,IF(N121="Parcial",0.5,0))+IF(O121="Sí",1,IF(O121="Parcial",0.5,0))</f>
        <v>0</v>
      </c>
      <c r="AO121" s="84">
        <f>IF(P121="Sí",1,IF(P121="Parcial",0.5,0))+IF(Q121="Sí",1,IF(Q121="Parcial",0.5,0))+IF(R121="Sí",1,IF(R121="Parcial",0.5,0))+IF(S121="Sí",1,IF(S121="Parcial",0.5,0))+IF(T121="Sí",1,IF(T121="Parcial",0.5,0))+IF(U121="Sí",1,IF(U121="Parcial",0.5,0))</f>
        <v>0</v>
      </c>
      <c r="AP121" s="85">
        <f>IF(V121="Sí",1,IF(V121="Parcial",0.5,0))+IF(W121="Sí",1,IF(W121="Parcial",0.5,0))+IF(X121="Sí",1,IF(X121="Parcial",0.5,0))+IF(Y121="Sí",1,IF(Y121="Parcial",0.5,0))</f>
        <v>0</v>
      </c>
      <c r="AQ121" s="86">
        <f>IF(Z121="Sí",1,IF(Z121="Parcial",0.5,0))+IF(AA121="Sí",1,IF(AA121="Parcial",0.5,0))+IF(AB121="Sí",1,IF(AB121="Parcial",0.5,0))</f>
        <v>0</v>
      </c>
      <c r="AR121" s="87">
        <f>IF(AC121="Sí",1,IF(AC121="Parcial",0.5,0))+IF(AD121="Sí",1,IF(AD121="Parcial",0.5,0))+IF(AE121="Sí",1,IF(AE121="Parcial",0.5,0))</f>
        <v>0</v>
      </c>
      <c r="AS121" s="88">
        <f>IF(AF121="Sí",1,IF(AF121="Parcial",0.5,0))+IF(AG121="Sí",1,IF(AG121="Parcial",0.5,0))+IF(AH121="Sí",1,IF(AH121="Parcial",0.5,0))</f>
        <v>1</v>
      </c>
      <c r="AT121" s="89">
        <f>IF(AI121="Sí",1,IF(AI121="Parcial",0.5,0))+IF(AJ121="Sí",1,IF(AJ121="Parcial",0.5,0))+IF(AK121="Sí",1,IF(AK121="Parcial",0.5,0))</f>
        <v>0</v>
      </c>
      <c r="AU121" s="90">
        <f>SUM(AL121,AM121,AN121,AO121,AP121,AQ121,AR121,AS121,AT121)</f>
        <v>1</v>
      </c>
      <c r="AV121" s="225">
        <f>IFERROR(IF(OR(A121="",AU121=0),"",AU121/(IF(AL121&gt;0,1,0)+IF(AM121&gt;0,1,0)+IF(AN121&gt;0,1,0)+IF(AO121&gt;0,1,0)+IF(AP121&gt;0,1,0)+IF(AQ121&gt;0,1,0)+IF(AR121&gt;0,1,0)+IF(AS121&gt;0,1,0)+IF(AT121&gt;0,1,0))),"")</f>
        <v>1</v>
      </c>
      <c r="AW121" s="225">
        <f>IFERROR(IF(OR(A121="",AU121=""),"",IF(AND(MAX($AU$8:$AU$156)=0,MAX($AV$8:$AV$156)=0),"",0.5*(AU121/MAX($AU$8:$AU$156))+0.5*(AV121/MAX($AV$8:$AV$156)))),"")</f>
        <v>0.18055555555555555</v>
      </c>
      <c r="AX121" s="79" t="str">
        <f>IF(A121="","",IF((IF(AL121&gt;=1,1,0)+IF(AM121&gt;=1,1,0)+IF(AN121&gt;=1,1,0)+IF(AO121&gt;=1,1,0)+IF(AP121&gt;=1,1,0)+IF(AQ121&gt;=1,1,0)+IF(AR121&gt;=1,1,0)+IF(AS121&gt;=1,1,0)+IF(AT121&gt;=1,1,0))&gt;=5,"Diversificado (5+ verticales)",IF((IF(AL121&gt;=1,1,0)+IF(AM121&gt;=1,1,0)+IF(AN121&gt;=1,1,0)+IF(AO121&gt;=1,1,0)+IF(AP121&gt;=1,1,0)+IF(AQ121&gt;=1,1,0)+IF(AR121&gt;=1,1,0)+IF(AS121&gt;=1,1,0)+IF(AT121&gt;=1,1,0))&gt;=3,"Multi-capacidad (3-4 verticales)",IF((IF(AL121&gt;=1,1,0)+IF(AM121&gt;=1,1,0)+IF(AN121&gt;=1,1,0)+IF(AO121&gt;=1,1,0)+IF(AP121&gt;=1,1,0)+IF(AQ121&gt;=1,1,0)+IF(AR121&gt;=1,1,0)+IF(AS121&gt;=1,1,0)+IF(AT121&gt;=1,1,0))&gt;=1,"Especialista (1-2 verticales)","Sin función mapeada"))))</f>
        <v>Especialista (1-2 verticales)</v>
      </c>
    </row>
    <row r="122" spans="1:50" ht="24" customHeight="1" x14ac:dyDescent="0.2">
      <c r="A122" s="48" t="s">
        <v>885</v>
      </c>
      <c r="B122" s="48" t="s">
        <v>886</v>
      </c>
      <c r="C122" s="78" t="str">
        <f>IF(A122="","",IFERROR(INDEX('UNIVERSO MAESTRO'!$C$6:$C$497,MATCH(A122,'UNIVERSO MAESTRO'!$A$6:$A$497,0)),"⚠ ID no encontrado"))</f>
        <v>Incode Technologies</v>
      </c>
      <c r="D122" s="79" t="str">
        <f>IF(A122="","",IFERROR(INDEX('UNIVERSO MAESTRO'!$D$6:$D$497,MATCH(A122,'UNIVERSO MAESTRO'!$A$6:$A$497,0)),""))</f>
        <v>V8</v>
      </c>
      <c r="E122" s="80" t="s">
        <v>353</v>
      </c>
      <c r="F122" s="80" t="s">
        <v>353</v>
      </c>
      <c r="G122" s="80" t="s">
        <v>353</v>
      </c>
      <c r="H122" s="80" t="s">
        <v>353</v>
      </c>
      <c r="I122" s="80" t="s">
        <v>353</v>
      </c>
      <c r="J122" s="80" t="s">
        <v>353</v>
      </c>
      <c r="K122" s="80" t="s">
        <v>353</v>
      </c>
      <c r="L122" s="80" t="s">
        <v>353</v>
      </c>
      <c r="M122" s="80" t="s">
        <v>353</v>
      </c>
      <c r="N122" s="80" t="s">
        <v>353</v>
      </c>
      <c r="O122" s="80" t="s">
        <v>353</v>
      </c>
      <c r="P122" s="80" t="s">
        <v>353</v>
      </c>
      <c r="Q122" s="80" t="s">
        <v>353</v>
      </c>
      <c r="R122" s="80" t="s">
        <v>353</v>
      </c>
      <c r="S122" s="80" t="s">
        <v>353</v>
      </c>
      <c r="T122" s="80" t="s">
        <v>353</v>
      </c>
      <c r="U122" s="80" t="s">
        <v>353</v>
      </c>
      <c r="V122" s="80" t="s">
        <v>353</v>
      </c>
      <c r="W122" s="80" t="s">
        <v>353</v>
      </c>
      <c r="X122" s="80" t="s">
        <v>353</v>
      </c>
      <c r="Y122" s="80" t="s">
        <v>353</v>
      </c>
      <c r="Z122" s="80" t="s">
        <v>353</v>
      </c>
      <c r="AA122" s="80" t="s">
        <v>353</v>
      </c>
      <c r="AB122" s="80" t="s">
        <v>353</v>
      </c>
      <c r="AC122" s="80" t="s">
        <v>353</v>
      </c>
      <c r="AD122" s="80" t="s">
        <v>353</v>
      </c>
      <c r="AE122" s="80" t="s">
        <v>353</v>
      </c>
      <c r="AF122" s="80" t="s">
        <v>353</v>
      </c>
      <c r="AG122" s="80" t="s">
        <v>353</v>
      </c>
      <c r="AH122" s="80" t="s">
        <v>1530</v>
      </c>
      <c r="AI122" s="80" t="s">
        <v>353</v>
      </c>
      <c r="AJ122" s="80" t="s">
        <v>353</v>
      </c>
      <c r="AK122" s="80" t="s">
        <v>353</v>
      </c>
      <c r="AL122" s="81">
        <f>IF(E122="Sí",1,IF(E122="Parcial",0.5,0))+IF(F122="Sí",1,IF(F122="Parcial",0.5,0))+IF(G122="Sí",1,IF(G122="Parcial",0.5,0))+IF(H122="Sí",1,IF(H122="Parcial",0.5,0))</f>
        <v>0</v>
      </c>
      <c r="AM122" s="82">
        <f>IF(I122="Sí",1,IF(I122="Parcial",0.5,0))+IF(J122="Sí",1,IF(J122="Parcial",0.5,0))+IF(K122="Sí",1,IF(K122="Parcial",0.5,0))</f>
        <v>0</v>
      </c>
      <c r="AN122" s="83">
        <f>IF(L122="Sí",1,IF(L122="Parcial",0.5,0))+IF(M122="Sí",1,IF(M122="Parcial",0.5,0))+IF(N122="Sí",1,IF(N122="Parcial",0.5,0))+IF(O122="Sí",1,IF(O122="Parcial",0.5,0))</f>
        <v>0</v>
      </c>
      <c r="AO122" s="84">
        <f>IF(P122="Sí",1,IF(P122="Parcial",0.5,0))+IF(Q122="Sí",1,IF(Q122="Parcial",0.5,0))+IF(R122="Sí",1,IF(R122="Parcial",0.5,0))+IF(S122="Sí",1,IF(S122="Parcial",0.5,0))+IF(T122="Sí",1,IF(T122="Parcial",0.5,0))+IF(U122="Sí",1,IF(U122="Parcial",0.5,0))</f>
        <v>0</v>
      </c>
      <c r="AP122" s="85">
        <f>IF(V122="Sí",1,IF(V122="Parcial",0.5,0))+IF(W122="Sí",1,IF(W122="Parcial",0.5,0))+IF(X122="Sí",1,IF(X122="Parcial",0.5,0))+IF(Y122="Sí",1,IF(Y122="Parcial",0.5,0))</f>
        <v>0</v>
      </c>
      <c r="AQ122" s="86">
        <f>IF(Z122="Sí",1,IF(Z122="Parcial",0.5,0))+IF(AA122="Sí",1,IF(AA122="Parcial",0.5,0))+IF(AB122="Sí",1,IF(AB122="Parcial",0.5,0))</f>
        <v>0</v>
      </c>
      <c r="AR122" s="87">
        <f>IF(AC122="Sí",1,IF(AC122="Parcial",0.5,0))+IF(AD122="Sí",1,IF(AD122="Parcial",0.5,0))+IF(AE122="Sí",1,IF(AE122="Parcial",0.5,0))</f>
        <v>0</v>
      </c>
      <c r="AS122" s="88">
        <f>IF(AF122="Sí",1,IF(AF122="Parcial",0.5,0))+IF(AG122="Sí",1,IF(AG122="Parcial",0.5,0))+IF(AH122="Sí",1,IF(AH122="Parcial",0.5,0))</f>
        <v>1</v>
      </c>
      <c r="AT122" s="89">
        <f>IF(AI122="Sí",1,IF(AI122="Parcial",0.5,0))+IF(AJ122="Sí",1,IF(AJ122="Parcial",0.5,0))+IF(AK122="Sí",1,IF(AK122="Parcial",0.5,0))</f>
        <v>0</v>
      </c>
      <c r="AU122" s="90">
        <f>SUM(AL122,AM122,AN122,AO122,AP122,AQ122,AR122,AS122,AT122)</f>
        <v>1</v>
      </c>
      <c r="AV122" s="225">
        <f>IFERROR(IF(OR(A122="",AU122=0),"",AU122/(IF(AL122&gt;0,1,0)+IF(AM122&gt;0,1,0)+IF(AN122&gt;0,1,0)+IF(AO122&gt;0,1,0)+IF(AP122&gt;0,1,0)+IF(AQ122&gt;0,1,0)+IF(AR122&gt;0,1,0)+IF(AS122&gt;0,1,0)+IF(AT122&gt;0,1,0))),"")</f>
        <v>1</v>
      </c>
      <c r="AW122" s="225">
        <f>IFERROR(IF(OR(A122="",AU122=""),"",IF(AND(MAX($AU$8:$AU$156)=0,MAX($AV$8:$AV$156)=0),"",0.5*(AU122/MAX($AU$8:$AU$156))+0.5*(AV122/MAX($AV$8:$AV$156)))),"")</f>
        <v>0.18055555555555555</v>
      </c>
      <c r="AX122" s="79" t="str">
        <f>IF(A122="","",IF((IF(AL122&gt;=1,1,0)+IF(AM122&gt;=1,1,0)+IF(AN122&gt;=1,1,0)+IF(AO122&gt;=1,1,0)+IF(AP122&gt;=1,1,0)+IF(AQ122&gt;=1,1,0)+IF(AR122&gt;=1,1,0)+IF(AS122&gt;=1,1,0)+IF(AT122&gt;=1,1,0))&gt;=5,"Diversificado (5+ verticales)",IF((IF(AL122&gt;=1,1,0)+IF(AM122&gt;=1,1,0)+IF(AN122&gt;=1,1,0)+IF(AO122&gt;=1,1,0)+IF(AP122&gt;=1,1,0)+IF(AQ122&gt;=1,1,0)+IF(AR122&gt;=1,1,0)+IF(AS122&gt;=1,1,0)+IF(AT122&gt;=1,1,0))&gt;=3,"Multi-capacidad (3-4 verticales)",IF((IF(AL122&gt;=1,1,0)+IF(AM122&gt;=1,1,0)+IF(AN122&gt;=1,1,0)+IF(AO122&gt;=1,1,0)+IF(AP122&gt;=1,1,0)+IF(AQ122&gt;=1,1,0)+IF(AR122&gt;=1,1,0)+IF(AS122&gt;=1,1,0)+IF(AT122&gt;=1,1,0))&gt;=1,"Especialista (1-2 verticales)","Sin función mapeada"))))</f>
        <v>Especialista (1-2 verticales)</v>
      </c>
    </row>
    <row r="123" spans="1:50" ht="24" customHeight="1" x14ac:dyDescent="0.2">
      <c r="A123" s="48" t="s">
        <v>937</v>
      </c>
      <c r="B123" s="48" t="s">
        <v>938</v>
      </c>
      <c r="C123" s="78" t="str">
        <f>IF(A123="","",IFERROR(INDEX('UNIVERSO MAESTRO'!$C$6:$C$497,MATCH(A123,'UNIVERSO MAESTRO'!$A$6:$A$497,0)),"⚠ ID no encontrado"))</f>
        <v>Ledec Technology</v>
      </c>
      <c r="D123" s="79" t="str">
        <f>IF(A123="","",IFERROR(INDEX('UNIVERSO MAESTRO'!$D$6:$D$497,MATCH(A123,'UNIVERSO MAESTRO'!$A$6:$A$497,0)),""))</f>
        <v>V8</v>
      </c>
      <c r="E123" s="80" t="s">
        <v>353</v>
      </c>
      <c r="F123" s="80" t="s">
        <v>353</v>
      </c>
      <c r="G123" s="80" t="s">
        <v>353</v>
      </c>
      <c r="H123" s="80" t="s">
        <v>353</v>
      </c>
      <c r="I123" s="80" t="s">
        <v>353</v>
      </c>
      <c r="J123" s="80" t="s">
        <v>353</v>
      </c>
      <c r="K123" s="80" t="s">
        <v>353</v>
      </c>
      <c r="L123" s="80" t="s">
        <v>353</v>
      </c>
      <c r="M123" s="80" t="s">
        <v>353</v>
      </c>
      <c r="N123" s="80" t="s">
        <v>353</v>
      </c>
      <c r="O123" s="80" t="s">
        <v>353</v>
      </c>
      <c r="P123" s="80" t="s">
        <v>353</v>
      </c>
      <c r="Q123" s="80" t="s">
        <v>353</v>
      </c>
      <c r="R123" s="80" t="s">
        <v>353</v>
      </c>
      <c r="S123" s="80" t="s">
        <v>353</v>
      </c>
      <c r="T123" s="80" t="s">
        <v>353</v>
      </c>
      <c r="U123" s="80" t="s">
        <v>353</v>
      </c>
      <c r="V123" s="80" t="s">
        <v>353</v>
      </c>
      <c r="W123" s="80" t="s">
        <v>353</v>
      </c>
      <c r="X123" s="80" t="s">
        <v>353</v>
      </c>
      <c r="Y123" s="80" t="s">
        <v>353</v>
      </c>
      <c r="Z123" s="80" t="s">
        <v>353</v>
      </c>
      <c r="AA123" s="80" t="s">
        <v>353</v>
      </c>
      <c r="AB123" s="80" t="s">
        <v>353</v>
      </c>
      <c r="AC123" s="80" t="s">
        <v>353</v>
      </c>
      <c r="AD123" s="80" t="s">
        <v>353</v>
      </c>
      <c r="AE123" s="80" t="s">
        <v>353</v>
      </c>
      <c r="AF123" s="80" t="s">
        <v>353</v>
      </c>
      <c r="AG123" s="80" t="s">
        <v>353</v>
      </c>
      <c r="AH123" s="80" t="s">
        <v>1530</v>
      </c>
      <c r="AI123" s="80" t="s">
        <v>353</v>
      </c>
      <c r="AJ123" s="80" t="s">
        <v>353</v>
      </c>
      <c r="AK123" s="80" t="s">
        <v>353</v>
      </c>
      <c r="AL123" s="81">
        <f>IF(E123="Sí",1,IF(E123="Parcial",0.5,0))+IF(F123="Sí",1,IF(F123="Parcial",0.5,0))+IF(G123="Sí",1,IF(G123="Parcial",0.5,0))+IF(H123="Sí",1,IF(H123="Parcial",0.5,0))</f>
        <v>0</v>
      </c>
      <c r="AM123" s="82">
        <f>IF(I123="Sí",1,IF(I123="Parcial",0.5,0))+IF(J123="Sí",1,IF(J123="Parcial",0.5,0))+IF(K123="Sí",1,IF(K123="Parcial",0.5,0))</f>
        <v>0</v>
      </c>
      <c r="AN123" s="83">
        <f>IF(L123="Sí",1,IF(L123="Parcial",0.5,0))+IF(M123="Sí",1,IF(M123="Parcial",0.5,0))+IF(N123="Sí",1,IF(N123="Parcial",0.5,0))+IF(O123="Sí",1,IF(O123="Parcial",0.5,0))</f>
        <v>0</v>
      </c>
      <c r="AO123" s="84">
        <f>IF(P123="Sí",1,IF(P123="Parcial",0.5,0))+IF(Q123="Sí",1,IF(Q123="Parcial",0.5,0))+IF(R123="Sí",1,IF(R123="Parcial",0.5,0))+IF(S123="Sí",1,IF(S123="Parcial",0.5,0))+IF(T123="Sí",1,IF(T123="Parcial",0.5,0))+IF(U123="Sí",1,IF(U123="Parcial",0.5,0))</f>
        <v>0</v>
      </c>
      <c r="AP123" s="85">
        <f>IF(V123="Sí",1,IF(V123="Parcial",0.5,0))+IF(W123="Sí",1,IF(W123="Parcial",0.5,0))+IF(X123="Sí",1,IF(X123="Parcial",0.5,0))+IF(Y123="Sí",1,IF(Y123="Parcial",0.5,0))</f>
        <v>0</v>
      </c>
      <c r="AQ123" s="86">
        <f>IF(Z123="Sí",1,IF(Z123="Parcial",0.5,0))+IF(AA123="Sí",1,IF(AA123="Parcial",0.5,0))+IF(AB123="Sí",1,IF(AB123="Parcial",0.5,0))</f>
        <v>0</v>
      </c>
      <c r="AR123" s="87">
        <f>IF(AC123="Sí",1,IF(AC123="Parcial",0.5,0))+IF(AD123="Sí",1,IF(AD123="Parcial",0.5,0))+IF(AE123="Sí",1,IF(AE123="Parcial",0.5,0))</f>
        <v>0</v>
      </c>
      <c r="AS123" s="88">
        <f>IF(AF123="Sí",1,IF(AF123="Parcial",0.5,0))+IF(AG123="Sí",1,IF(AG123="Parcial",0.5,0))+IF(AH123="Sí",1,IF(AH123="Parcial",0.5,0))</f>
        <v>1</v>
      </c>
      <c r="AT123" s="89">
        <f>IF(AI123="Sí",1,IF(AI123="Parcial",0.5,0))+IF(AJ123="Sí",1,IF(AJ123="Parcial",0.5,0))+IF(AK123="Sí",1,IF(AK123="Parcial",0.5,0))</f>
        <v>0</v>
      </c>
      <c r="AU123" s="90">
        <f>SUM(AL123,AM123,AN123,AO123,AP123,AQ123,AR123,AS123,AT123)</f>
        <v>1</v>
      </c>
      <c r="AV123" s="225">
        <f>IFERROR(IF(OR(A123="",AU123=0),"",AU123/(IF(AL123&gt;0,1,0)+IF(AM123&gt;0,1,0)+IF(AN123&gt;0,1,0)+IF(AO123&gt;0,1,0)+IF(AP123&gt;0,1,0)+IF(AQ123&gt;0,1,0)+IF(AR123&gt;0,1,0)+IF(AS123&gt;0,1,0)+IF(AT123&gt;0,1,0))),"")</f>
        <v>1</v>
      </c>
      <c r="AW123" s="225">
        <f>IFERROR(IF(OR(A123="",AU123=""),"",IF(AND(MAX($AU$8:$AU$156)=0,MAX($AV$8:$AV$156)=0),"",0.5*(AU123/MAX($AU$8:$AU$156))+0.5*(AV123/MAX($AV$8:$AV$156)))),"")</f>
        <v>0.18055555555555555</v>
      </c>
      <c r="AX123" s="79" t="str">
        <f>IF(A123="","",IF((IF(AL123&gt;=1,1,0)+IF(AM123&gt;=1,1,0)+IF(AN123&gt;=1,1,0)+IF(AO123&gt;=1,1,0)+IF(AP123&gt;=1,1,0)+IF(AQ123&gt;=1,1,0)+IF(AR123&gt;=1,1,0)+IF(AS123&gt;=1,1,0)+IF(AT123&gt;=1,1,0))&gt;=5,"Diversificado (5+ verticales)",IF((IF(AL123&gt;=1,1,0)+IF(AM123&gt;=1,1,0)+IF(AN123&gt;=1,1,0)+IF(AO123&gt;=1,1,0)+IF(AP123&gt;=1,1,0)+IF(AQ123&gt;=1,1,0)+IF(AR123&gt;=1,1,0)+IF(AS123&gt;=1,1,0)+IF(AT123&gt;=1,1,0))&gt;=3,"Multi-capacidad (3-4 verticales)",IF((IF(AL123&gt;=1,1,0)+IF(AM123&gt;=1,1,0)+IF(AN123&gt;=1,1,0)+IF(AO123&gt;=1,1,0)+IF(AP123&gt;=1,1,0)+IF(AQ123&gt;=1,1,0)+IF(AR123&gt;=1,1,0)+IF(AS123&gt;=1,1,0)+IF(AT123&gt;=1,1,0))&gt;=1,"Especialista (1-2 verticales)","Sin función mapeada"))))</f>
        <v>Especialista (1-2 verticales)</v>
      </c>
    </row>
    <row r="124" spans="1:50" ht="24" customHeight="1" x14ac:dyDescent="0.2">
      <c r="A124" s="48" t="s">
        <v>943</v>
      </c>
      <c r="B124" s="48" t="s">
        <v>944</v>
      </c>
      <c r="C124" s="78" t="str">
        <f>IF(A124="","",IFERROR(INDEX('UNIVERSO MAESTRO'!$C$6:$C$497,MATCH(A124,'UNIVERSO MAESTRO'!$A$6:$A$497,0)),"⚠ ID no encontrado"))</f>
        <v>Lenovo</v>
      </c>
      <c r="D124" s="79" t="str">
        <f>IF(A124="","",IFERROR(INDEX('UNIVERSO MAESTRO'!$D$6:$D$497,MATCH(A124,'UNIVERSO MAESTRO'!$A$6:$A$497,0)),""))</f>
        <v>V8</v>
      </c>
      <c r="E124" s="80" t="s">
        <v>353</v>
      </c>
      <c r="F124" s="80" t="s">
        <v>353</v>
      </c>
      <c r="G124" s="80" t="s">
        <v>353</v>
      </c>
      <c r="H124" s="80" t="s">
        <v>353</v>
      </c>
      <c r="I124" s="80" t="s">
        <v>353</v>
      </c>
      <c r="J124" s="80" t="s">
        <v>353</v>
      </c>
      <c r="K124" s="80" t="s">
        <v>353</v>
      </c>
      <c r="L124" s="80" t="s">
        <v>353</v>
      </c>
      <c r="M124" s="80" t="s">
        <v>353</v>
      </c>
      <c r="N124" s="80" t="s">
        <v>353</v>
      </c>
      <c r="O124" s="80" t="s">
        <v>353</v>
      </c>
      <c r="P124" s="80" t="s">
        <v>353</v>
      </c>
      <c r="Q124" s="80" t="s">
        <v>353</v>
      </c>
      <c r="R124" s="80" t="s">
        <v>353</v>
      </c>
      <c r="S124" s="80" t="s">
        <v>353</v>
      </c>
      <c r="T124" s="80" t="s">
        <v>353</v>
      </c>
      <c r="U124" s="80" t="s">
        <v>353</v>
      </c>
      <c r="V124" s="80" t="s">
        <v>353</v>
      </c>
      <c r="W124" s="80" t="s">
        <v>353</v>
      </c>
      <c r="X124" s="80" t="s">
        <v>353</v>
      </c>
      <c r="Y124" s="80" t="s">
        <v>353</v>
      </c>
      <c r="Z124" s="80" t="s">
        <v>353</v>
      </c>
      <c r="AA124" s="80" t="s">
        <v>353</v>
      </c>
      <c r="AB124" s="80" t="s">
        <v>353</v>
      </c>
      <c r="AC124" s="80" t="s">
        <v>353</v>
      </c>
      <c r="AD124" s="80" t="s">
        <v>353</v>
      </c>
      <c r="AE124" s="80" t="s">
        <v>353</v>
      </c>
      <c r="AF124" s="80" t="s">
        <v>353</v>
      </c>
      <c r="AG124" s="80" t="s">
        <v>1530</v>
      </c>
      <c r="AH124" s="80" t="s">
        <v>353</v>
      </c>
      <c r="AI124" s="80" t="s">
        <v>353</v>
      </c>
      <c r="AJ124" s="80" t="s">
        <v>353</v>
      </c>
      <c r="AK124" s="80" t="s">
        <v>353</v>
      </c>
      <c r="AL124" s="81">
        <f>IF(E124="Sí",1,IF(E124="Parcial",0.5,0))+IF(F124="Sí",1,IF(F124="Parcial",0.5,0))+IF(G124="Sí",1,IF(G124="Parcial",0.5,0))+IF(H124="Sí",1,IF(H124="Parcial",0.5,0))</f>
        <v>0</v>
      </c>
      <c r="AM124" s="82">
        <f>IF(I124="Sí",1,IF(I124="Parcial",0.5,0))+IF(J124="Sí",1,IF(J124="Parcial",0.5,0))+IF(K124="Sí",1,IF(K124="Parcial",0.5,0))</f>
        <v>0</v>
      </c>
      <c r="AN124" s="83">
        <f>IF(L124="Sí",1,IF(L124="Parcial",0.5,0))+IF(M124="Sí",1,IF(M124="Parcial",0.5,0))+IF(N124="Sí",1,IF(N124="Parcial",0.5,0))+IF(O124="Sí",1,IF(O124="Parcial",0.5,0))</f>
        <v>0</v>
      </c>
      <c r="AO124" s="84">
        <f>IF(P124="Sí",1,IF(P124="Parcial",0.5,0))+IF(Q124="Sí",1,IF(Q124="Parcial",0.5,0))+IF(R124="Sí",1,IF(R124="Parcial",0.5,0))+IF(S124="Sí",1,IF(S124="Parcial",0.5,0))+IF(T124="Sí",1,IF(T124="Parcial",0.5,0))+IF(U124="Sí",1,IF(U124="Parcial",0.5,0))</f>
        <v>0</v>
      </c>
      <c r="AP124" s="85">
        <f>IF(V124="Sí",1,IF(V124="Parcial",0.5,0))+IF(W124="Sí",1,IF(W124="Parcial",0.5,0))+IF(X124="Sí",1,IF(X124="Parcial",0.5,0))+IF(Y124="Sí",1,IF(Y124="Parcial",0.5,0))</f>
        <v>0</v>
      </c>
      <c r="AQ124" s="86">
        <f>IF(Z124="Sí",1,IF(Z124="Parcial",0.5,0))+IF(AA124="Sí",1,IF(AA124="Parcial",0.5,0))+IF(AB124="Sí",1,IF(AB124="Parcial",0.5,0))</f>
        <v>0</v>
      </c>
      <c r="AR124" s="87">
        <f>IF(AC124="Sí",1,IF(AC124="Parcial",0.5,0))+IF(AD124="Sí",1,IF(AD124="Parcial",0.5,0))+IF(AE124="Sí",1,IF(AE124="Parcial",0.5,0))</f>
        <v>0</v>
      </c>
      <c r="AS124" s="88">
        <f>IF(AF124="Sí",1,IF(AF124="Parcial",0.5,0))+IF(AG124="Sí",1,IF(AG124="Parcial",0.5,0))+IF(AH124="Sí",1,IF(AH124="Parcial",0.5,0))</f>
        <v>1</v>
      </c>
      <c r="AT124" s="89">
        <f>IF(AI124="Sí",1,IF(AI124="Parcial",0.5,0))+IF(AJ124="Sí",1,IF(AJ124="Parcial",0.5,0))+IF(AK124="Sí",1,IF(AK124="Parcial",0.5,0))</f>
        <v>0</v>
      </c>
      <c r="AU124" s="90">
        <f>SUM(AL124,AM124,AN124,AO124,AP124,AQ124,AR124,AS124,AT124)</f>
        <v>1</v>
      </c>
      <c r="AV124" s="225">
        <f>IFERROR(IF(OR(A124="",AU124=0),"",AU124/(IF(AL124&gt;0,1,0)+IF(AM124&gt;0,1,0)+IF(AN124&gt;0,1,0)+IF(AO124&gt;0,1,0)+IF(AP124&gt;0,1,0)+IF(AQ124&gt;0,1,0)+IF(AR124&gt;0,1,0)+IF(AS124&gt;0,1,0)+IF(AT124&gt;0,1,0))),"")</f>
        <v>1</v>
      </c>
      <c r="AW124" s="225">
        <f>IFERROR(IF(OR(A124="",AU124=""),"",IF(AND(MAX($AU$8:$AU$156)=0,MAX($AV$8:$AV$156)=0),"",0.5*(AU124/MAX($AU$8:$AU$156))+0.5*(AV124/MAX($AV$8:$AV$156)))),"")</f>
        <v>0.18055555555555555</v>
      </c>
      <c r="AX124" s="79" t="str">
        <f>IF(A124="","",IF((IF(AL124&gt;=1,1,0)+IF(AM124&gt;=1,1,0)+IF(AN124&gt;=1,1,0)+IF(AO124&gt;=1,1,0)+IF(AP124&gt;=1,1,0)+IF(AQ124&gt;=1,1,0)+IF(AR124&gt;=1,1,0)+IF(AS124&gt;=1,1,0)+IF(AT124&gt;=1,1,0))&gt;=5,"Diversificado (5+ verticales)",IF((IF(AL124&gt;=1,1,0)+IF(AM124&gt;=1,1,0)+IF(AN124&gt;=1,1,0)+IF(AO124&gt;=1,1,0)+IF(AP124&gt;=1,1,0)+IF(AQ124&gt;=1,1,0)+IF(AR124&gt;=1,1,0)+IF(AS124&gt;=1,1,0)+IF(AT124&gt;=1,1,0))&gt;=3,"Multi-capacidad (3-4 verticales)",IF((IF(AL124&gt;=1,1,0)+IF(AM124&gt;=1,1,0)+IF(AN124&gt;=1,1,0)+IF(AO124&gt;=1,1,0)+IF(AP124&gt;=1,1,0)+IF(AQ124&gt;=1,1,0)+IF(AR124&gt;=1,1,0)+IF(AS124&gt;=1,1,0)+IF(AT124&gt;=1,1,0))&gt;=1,"Especialista (1-2 verticales)","Sin función mapeada"))))</f>
        <v>Especialista (1-2 verticales)</v>
      </c>
    </row>
    <row r="125" spans="1:50" ht="24" customHeight="1" x14ac:dyDescent="0.2">
      <c r="A125" s="48" t="s">
        <v>951</v>
      </c>
      <c r="B125" s="48" t="s">
        <v>952</v>
      </c>
      <c r="C125" s="78" t="str">
        <f>IF(A125="","",IFERROR(INDEX('UNIVERSO MAESTRO'!$C$6:$C$497,MATCH(A125,'UNIVERSO MAESTRO'!$A$6:$A$497,0)),"⚠ ID no encontrado"))</f>
        <v>Libertad Financiera</v>
      </c>
      <c r="D125" s="79" t="str">
        <f>IF(A125="","",IFERROR(INDEX('UNIVERSO MAESTRO'!$D$6:$D$497,MATCH(A125,'UNIVERSO MAESTRO'!$A$6:$A$497,0)),""))</f>
        <v>V3</v>
      </c>
      <c r="E125" s="80" t="s">
        <v>353</v>
      </c>
      <c r="F125" s="80" t="s">
        <v>353</v>
      </c>
      <c r="G125" s="80" t="s">
        <v>353</v>
      </c>
      <c r="H125" s="80" t="s">
        <v>353</v>
      </c>
      <c r="I125" s="80" t="s">
        <v>353</v>
      </c>
      <c r="J125" s="80" t="s">
        <v>353</v>
      </c>
      <c r="K125" s="80" t="s">
        <v>353</v>
      </c>
      <c r="L125" s="80" t="s">
        <v>1530</v>
      </c>
      <c r="M125" s="80" t="s">
        <v>353</v>
      </c>
      <c r="N125" s="80" t="s">
        <v>353</v>
      </c>
      <c r="O125" s="80" t="s">
        <v>353</v>
      </c>
      <c r="P125" s="80" t="s">
        <v>353</v>
      </c>
      <c r="Q125" s="80" t="s">
        <v>353</v>
      </c>
      <c r="R125" s="80" t="s">
        <v>353</v>
      </c>
      <c r="S125" s="80" t="s">
        <v>353</v>
      </c>
      <c r="T125" s="80" t="s">
        <v>353</v>
      </c>
      <c r="U125" s="80" t="s">
        <v>353</v>
      </c>
      <c r="V125" s="80" t="s">
        <v>353</v>
      </c>
      <c r="W125" s="80" t="s">
        <v>353</v>
      </c>
      <c r="X125" s="80" t="s">
        <v>353</v>
      </c>
      <c r="Y125" s="80" t="s">
        <v>353</v>
      </c>
      <c r="Z125" s="80" t="s">
        <v>353</v>
      </c>
      <c r="AA125" s="80" t="s">
        <v>353</v>
      </c>
      <c r="AB125" s="80" t="s">
        <v>353</v>
      </c>
      <c r="AC125" s="80" t="s">
        <v>353</v>
      </c>
      <c r="AD125" s="80" t="s">
        <v>353</v>
      </c>
      <c r="AE125" s="80" t="s">
        <v>353</v>
      </c>
      <c r="AF125" s="80" t="s">
        <v>353</v>
      </c>
      <c r="AG125" s="80" t="s">
        <v>353</v>
      </c>
      <c r="AH125" s="80" t="s">
        <v>353</v>
      </c>
      <c r="AI125" s="80" t="s">
        <v>353</v>
      </c>
      <c r="AJ125" s="80" t="s">
        <v>353</v>
      </c>
      <c r="AK125" s="80" t="s">
        <v>353</v>
      </c>
      <c r="AL125" s="81">
        <f>IF(E125="Sí",1,IF(E125="Parcial",0.5,0))+IF(F125="Sí",1,IF(F125="Parcial",0.5,0))+IF(G125="Sí",1,IF(G125="Parcial",0.5,0))+IF(H125="Sí",1,IF(H125="Parcial",0.5,0))</f>
        <v>0</v>
      </c>
      <c r="AM125" s="82">
        <f>IF(I125="Sí",1,IF(I125="Parcial",0.5,0))+IF(J125="Sí",1,IF(J125="Parcial",0.5,0))+IF(K125="Sí",1,IF(K125="Parcial",0.5,0))</f>
        <v>0</v>
      </c>
      <c r="AN125" s="83">
        <f>IF(L125="Sí",1,IF(L125="Parcial",0.5,0))+IF(M125="Sí",1,IF(M125="Parcial",0.5,0))+IF(N125="Sí",1,IF(N125="Parcial",0.5,0))+IF(O125="Sí",1,IF(O125="Parcial",0.5,0))</f>
        <v>1</v>
      </c>
      <c r="AO125" s="84">
        <f>IF(P125="Sí",1,IF(P125="Parcial",0.5,0))+IF(Q125="Sí",1,IF(Q125="Parcial",0.5,0))+IF(R125="Sí",1,IF(R125="Parcial",0.5,0))+IF(S125="Sí",1,IF(S125="Parcial",0.5,0))+IF(T125="Sí",1,IF(T125="Parcial",0.5,0))+IF(U125="Sí",1,IF(U125="Parcial",0.5,0))</f>
        <v>0</v>
      </c>
      <c r="AP125" s="85">
        <f>IF(V125="Sí",1,IF(V125="Parcial",0.5,0))+IF(W125="Sí",1,IF(W125="Parcial",0.5,0))+IF(X125="Sí",1,IF(X125="Parcial",0.5,0))+IF(Y125="Sí",1,IF(Y125="Parcial",0.5,0))</f>
        <v>0</v>
      </c>
      <c r="AQ125" s="86">
        <f>IF(Z125="Sí",1,IF(Z125="Parcial",0.5,0))+IF(AA125="Sí",1,IF(AA125="Parcial",0.5,0))+IF(AB125="Sí",1,IF(AB125="Parcial",0.5,0))</f>
        <v>0</v>
      </c>
      <c r="AR125" s="87">
        <f>IF(AC125="Sí",1,IF(AC125="Parcial",0.5,0))+IF(AD125="Sí",1,IF(AD125="Parcial",0.5,0))+IF(AE125="Sí",1,IF(AE125="Parcial",0.5,0))</f>
        <v>0</v>
      </c>
      <c r="AS125" s="88">
        <f>IF(AF125="Sí",1,IF(AF125="Parcial",0.5,0))+IF(AG125="Sí",1,IF(AG125="Parcial",0.5,0))+IF(AH125="Sí",1,IF(AH125="Parcial",0.5,0))</f>
        <v>0</v>
      </c>
      <c r="AT125" s="89">
        <f>IF(AI125="Sí",1,IF(AI125="Parcial",0.5,0))+IF(AJ125="Sí",1,IF(AJ125="Parcial",0.5,0))+IF(AK125="Sí",1,IF(AK125="Parcial",0.5,0))</f>
        <v>0</v>
      </c>
      <c r="AU125" s="90">
        <f>SUM(AL125,AM125,AN125,AO125,AP125,AQ125,AR125,AS125,AT125)</f>
        <v>1</v>
      </c>
      <c r="AV125" s="225">
        <f>IFERROR(IF(OR(A125="",AU125=0),"",AU125/(IF(AL125&gt;0,1,0)+IF(AM125&gt;0,1,0)+IF(AN125&gt;0,1,0)+IF(AO125&gt;0,1,0)+IF(AP125&gt;0,1,0)+IF(AQ125&gt;0,1,0)+IF(AR125&gt;0,1,0)+IF(AS125&gt;0,1,0)+IF(AT125&gt;0,1,0))),"")</f>
        <v>1</v>
      </c>
      <c r="AW125" s="225">
        <f>IFERROR(IF(OR(A125="",AU125=""),"",IF(AND(MAX($AU$8:$AU$156)=0,MAX($AV$8:$AV$156)=0),"",0.5*(AU125/MAX($AU$8:$AU$156))+0.5*(AV125/MAX($AV$8:$AV$156)))),"")</f>
        <v>0.18055555555555555</v>
      </c>
      <c r="AX125" s="79" t="str">
        <f>IF(A125="","",IF((IF(AL125&gt;=1,1,0)+IF(AM125&gt;=1,1,0)+IF(AN125&gt;=1,1,0)+IF(AO125&gt;=1,1,0)+IF(AP125&gt;=1,1,0)+IF(AQ125&gt;=1,1,0)+IF(AR125&gt;=1,1,0)+IF(AS125&gt;=1,1,0)+IF(AT125&gt;=1,1,0))&gt;=5,"Diversificado (5+ verticales)",IF((IF(AL125&gt;=1,1,0)+IF(AM125&gt;=1,1,0)+IF(AN125&gt;=1,1,0)+IF(AO125&gt;=1,1,0)+IF(AP125&gt;=1,1,0)+IF(AQ125&gt;=1,1,0)+IF(AR125&gt;=1,1,0)+IF(AS125&gt;=1,1,0)+IF(AT125&gt;=1,1,0))&gt;=3,"Multi-capacidad (3-4 verticales)",IF((IF(AL125&gt;=1,1,0)+IF(AM125&gt;=1,1,0)+IF(AN125&gt;=1,1,0)+IF(AO125&gt;=1,1,0)+IF(AP125&gt;=1,1,0)+IF(AQ125&gt;=1,1,0)+IF(AR125&gt;=1,1,0)+IF(AS125&gt;=1,1,0)+IF(AT125&gt;=1,1,0))&gt;=1,"Especialista (1-2 verticales)","Sin función mapeada"))))</f>
        <v>Especialista (1-2 verticales)</v>
      </c>
    </row>
    <row r="126" spans="1:50" ht="24" customHeight="1" x14ac:dyDescent="0.2">
      <c r="A126" s="48" t="s">
        <v>990</v>
      </c>
      <c r="B126" s="48" t="s">
        <v>991</v>
      </c>
      <c r="C126" s="78" t="str">
        <f>IF(A126="","",IFERROR(INDEX('UNIVERSO MAESTRO'!$C$6:$C$497,MATCH(A126,'UNIVERSO MAESTRO'!$A$6:$A$497,0)),"⚠ ID no encontrado"))</f>
        <v>Maggi / Nestlé</v>
      </c>
      <c r="D126" s="79" t="str">
        <f>IF(A126="","",IFERROR(INDEX('UNIVERSO MAESTRO'!$D$6:$D$497,MATCH(A126,'UNIVERSO MAESTRO'!$A$6:$A$497,0)),""))</f>
        <v>V3</v>
      </c>
      <c r="E126" s="80" t="s">
        <v>353</v>
      </c>
      <c r="F126" s="80" t="s">
        <v>353</v>
      </c>
      <c r="G126" s="80" t="s">
        <v>353</v>
      </c>
      <c r="H126" s="80" t="s">
        <v>353</v>
      </c>
      <c r="I126" s="80" t="s">
        <v>353</v>
      </c>
      <c r="J126" s="80" t="s">
        <v>353</v>
      </c>
      <c r="K126" s="80" t="s">
        <v>353</v>
      </c>
      <c r="L126" s="80" t="s">
        <v>353</v>
      </c>
      <c r="M126" s="80" t="s">
        <v>1530</v>
      </c>
      <c r="N126" s="80" t="s">
        <v>353</v>
      </c>
      <c r="O126" s="80" t="s">
        <v>353</v>
      </c>
      <c r="P126" s="80" t="s">
        <v>353</v>
      </c>
      <c r="Q126" s="80" t="s">
        <v>353</v>
      </c>
      <c r="R126" s="80" t="s">
        <v>353</v>
      </c>
      <c r="S126" s="80" t="s">
        <v>353</v>
      </c>
      <c r="T126" s="80" t="s">
        <v>353</v>
      </c>
      <c r="U126" s="80" t="s">
        <v>353</v>
      </c>
      <c r="V126" s="80" t="s">
        <v>353</v>
      </c>
      <c r="W126" s="80" t="s">
        <v>353</v>
      </c>
      <c r="X126" s="80" t="s">
        <v>353</v>
      </c>
      <c r="Y126" s="80" t="s">
        <v>353</v>
      </c>
      <c r="Z126" s="80" t="s">
        <v>353</v>
      </c>
      <c r="AA126" s="80" t="s">
        <v>353</v>
      </c>
      <c r="AB126" s="80" t="s">
        <v>353</v>
      </c>
      <c r="AC126" s="80" t="s">
        <v>353</v>
      </c>
      <c r="AD126" s="80" t="s">
        <v>353</v>
      </c>
      <c r="AE126" s="80" t="s">
        <v>353</v>
      </c>
      <c r="AF126" s="80" t="s">
        <v>353</v>
      </c>
      <c r="AG126" s="80" t="s">
        <v>353</v>
      </c>
      <c r="AH126" s="80" t="s">
        <v>353</v>
      </c>
      <c r="AI126" s="80" t="s">
        <v>353</v>
      </c>
      <c r="AJ126" s="80" t="s">
        <v>353</v>
      </c>
      <c r="AK126" s="80" t="s">
        <v>353</v>
      </c>
      <c r="AL126" s="81">
        <f>IF(E126="Sí",1,IF(E126="Parcial",0.5,0))+IF(F126="Sí",1,IF(F126="Parcial",0.5,0))+IF(G126="Sí",1,IF(G126="Parcial",0.5,0))+IF(H126="Sí",1,IF(H126="Parcial",0.5,0))</f>
        <v>0</v>
      </c>
      <c r="AM126" s="82">
        <f>IF(I126="Sí",1,IF(I126="Parcial",0.5,0))+IF(J126="Sí",1,IF(J126="Parcial",0.5,0))+IF(K126="Sí",1,IF(K126="Parcial",0.5,0))</f>
        <v>0</v>
      </c>
      <c r="AN126" s="83">
        <f>IF(L126="Sí",1,IF(L126="Parcial",0.5,0))+IF(M126="Sí",1,IF(M126="Parcial",0.5,0))+IF(N126="Sí",1,IF(N126="Parcial",0.5,0))+IF(O126="Sí",1,IF(O126="Parcial",0.5,0))</f>
        <v>1</v>
      </c>
      <c r="AO126" s="84">
        <f>IF(P126="Sí",1,IF(P126="Parcial",0.5,0))+IF(Q126="Sí",1,IF(Q126="Parcial",0.5,0))+IF(R126="Sí",1,IF(R126="Parcial",0.5,0))+IF(S126="Sí",1,IF(S126="Parcial",0.5,0))+IF(T126="Sí",1,IF(T126="Parcial",0.5,0))+IF(U126="Sí",1,IF(U126="Parcial",0.5,0))</f>
        <v>0</v>
      </c>
      <c r="AP126" s="85">
        <f>IF(V126="Sí",1,IF(V126="Parcial",0.5,0))+IF(W126="Sí",1,IF(W126="Parcial",0.5,0))+IF(X126="Sí",1,IF(X126="Parcial",0.5,0))+IF(Y126="Sí",1,IF(Y126="Parcial",0.5,0))</f>
        <v>0</v>
      </c>
      <c r="AQ126" s="86">
        <f>IF(Z126="Sí",1,IF(Z126="Parcial",0.5,0))+IF(AA126="Sí",1,IF(AA126="Parcial",0.5,0))+IF(AB126="Sí",1,IF(AB126="Parcial",0.5,0))</f>
        <v>0</v>
      </c>
      <c r="AR126" s="87">
        <f>IF(AC126="Sí",1,IF(AC126="Parcial",0.5,0))+IF(AD126="Sí",1,IF(AD126="Parcial",0.5,0))+IF(AE126="Sí",1,IF(AE126="Parcial",0.5,0))</f>
        <v>0</v>
      </c>
      <c r="AS126" s="88">
        <f>IF(AF126="Sí",1,IF(AF126="Parcial",0.5,0))+IF(AG126="Sí",1,IF(AG126="Parcial",0.5,0))+IF(AH126="Sí",1,IF(AH126="Parcial",0.5,0))</f>
        <v>0</v>
      </c>
      <c r="AT126" s="89">
        <f>IF(AI126="Sí",1,IF(AI126="Parcial",0.5,0))+IF(AJ126="Sí",1,IF(AJ126="Parcial",0.5,0))+IF(AK126="Sí",1,IF(AK126="Parcial",0.5,0))</f>
        <v>0</v>
      </c>
      <c r="AU126" s="90">
        <f>SUM(AL126,AM126,AN126,AO126,AP126,AQ126,AR126,AS126,AT126)</f>
        <v>1</v>
      </c>
      <c r="AV126" s="225">
        <f>IFERROR(IF(OR(A126="",AU126=0),"",AU126/(IF(AL126&gt;0,1,0)+IF(AM126&gt;0,1,0)+IF(AN126&gt;0,1,0)+IF(AO126&gt;0,1,0)+IF(AP126&gt;0,1,0)+IF(AQ126&gt;0,1,0)+IF(AR126&gt;0,1,0)+IF(AS126&gt;0,1,0)+IF(AT126&gt;0,1,0))),"")</f>
        <v>1</v>
      </c>
      <c r="AW126" s="225">
        <f>IFERROR(IF(OR(A126="",AU126=""),"",IF(AND(MAX($AU$8:$AU$156)=0,MAX($AV$8:$AV$156)=0),"",0.5*(AU126/MAX($AU$8:$AU$156))+0.5*(AV126/MAX($AV$8:$AV$156)))),"")</f>
        <v>0.18055555555555555</v>
      </c>
      <c r="AX126" s="79" t="str">
        <f>IF(A126="","",IF((IF(AL126&gt;=1,1,0)+IF(AM126&gt;=1,1,0)+IF(AN126&gt;=1,1,0)+IF(AO126&gt;=1,1,0)+IF(AP126&gt;=1,1,0)+IF(AQ126&gt;=1,1,0)+IF(AR126&gt;=1,1,0)+IF(AS126&gt;=1,1,0)+IF(AT126&gt;=1,1,0))&gt;=5,"Diversificado (5+ verticales)",IF((IF(AL126&gt;=1,1,0)+IF(AM126&gt;=1,1,0)+IF(AN126&gt;=1,1,0)+IF(AO126&gt;=1,1,0)+IF(AP126&gt;=1,1,0)+IF(AQ126&gt;=1,1,0)+IF(AR126&gt;=1,1,0)+IF(AS126&gt;=1,1,0)+IF(AT126&gt;=1,1,0))&gt;=3,"Multi-capacidad (3-4 verticales)",IF((IF(AL126&gt;=1,1,0)+IF(AM126&gt;=1,1,0)+IF(AN126&gt;=1,1,0)+IF(AO126&gt;=1,1,0)+IF(AP126&gt;=1,1,0)+IF(AQ126&gt;=1,1,0)+IF(AR126&gt;=1,1,0)+IF(AS126&gt;=1,1,0)+IF(AT126&gt;=1,1,0))&gt;=1,"Especialista (1-2 verticales)","Sin función mapeada"))))</f>
        <v>Especialista (1-2 verticales)</v>
      </c>
    </row>
    <row r="127" spans="1:50" ht="24" customHeight="1" x14ac:dyDescent="0.2">
      <c r="A127" s="48" t="s">
        <v>1017</v>
      </c>
      <c r="B127" s="48" t="s">
        <v>1018</v>
      </c>
      <c r="C127" s="78" t="str">
        <f>IF(A127="","",IFERROR(INDEX('UNIVERSO MAESTRO'!$C$6:$C$497,MATCH(A127,'UNIVERSO MAESTRO'!$A$6:$A$497,0)),"⚠ ID no encontrado"))</f>
        <v>Mattel de México SA de CV</v>
      </c>
      <c r="D127" s="79" t="str">
        <f>IF(A127="","",IFERROR(INDEX('UNIVERSO MAESTRO'!$D$6:$D$497,MATCH(A127,'UNIVERSO MAESTRO'!$A$6:$A$497,0)),""))</f>
        <v>V3</v>
      </c>
      <c r="E127" s="80" t="s">
        <v>353</v>
      </c>
      <c r="F127" s="80" t="s">
        <v>353</v>
      </c>
      <c r="G127" s="80" t="s">
        <v>353</v>
      </c>
      <c r="H127" s="80" t="s">
        <v>353</v>
      </c>
      <c r="I127" s="80" t="s">
        <v>353</v>
      </c>
      <c r="J127" s="80" t="s">
        <v>353</v>
      </c>
      <c r="K127" s="80" t="s">
        <v>353</v>
      </c>
      <c r="L127" s="80" t="s">
        <v>353</v>
      </c>
      <c r="M127" s="80" t="s">
        <v>353</v>
      </c>
      <c r="N127" s="80" t="s">
        <v>1530</v>
      </c>
      <c r="O127" s="80" t="s">
        <v>353</v>
      </c>
      <c r="P127" s="80" t="s">
        <v>353</v>
      </c>
      <c r="Q127" s="80" t="s">
        <v>353</v>
      </c>
      <c r="R127" s="80" t="s">
        <v>353</v>
      </c>
      <c r="S127" s="80" t="s">
        <v>353</v>
      </c>
      <c r="T127" s="80" t="s">
        <v>353</v>
      </c>
      <c r="U127" s="80" t="s">
        <v>353</v>
      </c>
      <c r="V127" s="80" t="s">
        <v>353</v>
      </c>
      <c r="W127" s="80" t="s">
        <v>353</v>
      </c>
      <c r="X127" s="80" t="s">
        <v>353</v>
      </c>
      <c r="Y127" s="80" t="s">
        <v>353</v>
      </c>
      <c r="Z127" s="80" t="s">
        <v>353</v>
      </c>
      <c r="AA127" s="80" t="s">
        <v>353</v>
      </c>
      <c r="AB127" s="80" t="s">
        <v>353</v>
      </c>
      <c r="AC127" s="80" t="s">
        <v>353</v>
      </c>
      <c r="AD127" s="80" t="s">
        <v>353</v>
      </c>
      <c r="AE127" s="80" t="s">
        <v>353</v>
      </c>
      <c r="AF127" s="80" t="s">
        <v>353</v>
      </c>
      <c r="AG127" s="80" t="s">
        <v>353</v>
      </c>
      <c r="AH127" s="80" t="s">
        <v>353</v>
      </c>
      <c r="AI127" s="80" t="s">
        <v>353</v>
      </c>
      <c r="AJ127" s="80" t="s">
        <v>353</v>
      </c>
      <c r="AK127" s="80" t="s">
        <v>353</v>
      </c>
      <c r="AL127" s="81">
        <f>IF(E127="Sí",1,IF(E127="Parcial",0.5,0))+IF(F127="Sí",1,IF(F127="Parcial",0.5,0))+IF(G127="Sí",1,IF(G127="Parcial",0.5,0))+IF(H127="Sí",1,IF(H127="Parcial",0.5,0))</f>
        <v>0</v>
      </c>
      <c r="AM127" s="82">
        <f>IF(I127="Sí",1,IF(I127="Parcial",0.5,0))+IF(J127="Sí",1,IF(J127="Parcial",0.5,0))+IF(K127="Sí",1,IF(K127="Parcial",0.5,0))</f>
        <v>0</v>
      </c>
      <c r="AN127" s="83">
        <f>IF(L127="Sí",1,IF(L127="Parcial",0.5,0))+IF(M127="Sí",1,IF(M127="Parcial",0.5,0))+IF(N127="Sí",1,IF(N127="Parcial",0.5,0))+IF(O127="Sí",1,IF(O127="Parcial",0.5,0))</f>
        <v>1</v>
      </c>
      <c r="AO127" s="84">
        <f>IF(P127="Sí",1,IF(P127="Parcial",0.5,0))+IF(Q127="Sí",1,IF(Q127="Parcial",0.5,0))+IF(R127="Sí",1,IF(R127="Parcial",0.5,0))+IF(S127="Sí",1,IF(S127="Parcial",0.5,0))+IF(T127="Sí",1,IF(T127="Parcial",0.5,0))+IF(U127="Sí",1,IF(U127="Parcial",0.5,0))</f>
        <v>0</v>
      </c>
      <c r="AP127" s="85">
        <f>IF(V127="Sí",1,IF(V127="Parcial",0.5,0))+IF(W127="Sí",1,IF(W127="Parcial",0.5,0))+IF(X127="Sí",1,IF(X127="Parcial",0.5,0))+IF(Y127="Sí",1,IF(Y127="Parcial",0.5,0))</f>
        <v>0</v>
      </c>
      <c r="AQ127" s="86">
        <f>IF(Z127="Sí",1,IF(Z127="Parcial",0.5,0))+IF(AA127="Sí",1,IF(AA127="Parcial",0.5,0))+IF(AB127="Sí",1,IF(AB127="Parcial",0.5,0))</f>
        <v>0</v>
      </c>
      <c r="AR127" s="87">
        <f>IF(AC127="Sí",1,IF(AC127="Parcial",0.5,0))+IF(AD127="Sí",1,IF(AD127="Parcial",0.5,0))+IF(AE127="Sí",1,IF(AE127="Parcial",0.5,0))</f>
        <v>0</v>
      </c>
      <c r="AS127" s="88">
        <f>IF(AF127="Sí",1,IF(AF127="Parcial",0.5,0))+IF(AG127="Sí",1,IF(AG127="Parcial",0.5,0))+IF(AH127="Sí",1,IF(AH127="Parcial",0.5,0))</f>
        <v>0</v>
      </c>
      <c r="AT127" s="89">
        <f>IF(AI127="Sí",1,IF(AI127="Parcial",0.5,0))+IF(AJ127="Sí",1,IF(AJ127="Parcial",0.5,0))+IF(AK127="Sí",1,IF(AK127="Parcial",0.5,0))</f>
        <v>0</v>
      </c>
      <c r="AU127" s="90">
        <f>SUM(AL127,AM127,AN127,AO127,AP127,AQ127,AR127,AS127,AT127)</f>
        <v>1</v>
      </c>
      <c r="AV127" s="225">
        <f>IFERROR(IF(OR(A127="",AU127=0),"",AU127/(IF(AL127&gt;0,1,0)+IF(AM127&gt;0,1,0)+IF(AN127&gt;0,1,0)+IF(AO127&gt;0,1,0)+IF(AP127&gt;0,1,0)+IF(AQ127&gt;0,1,0)+IF(AR127&gt;0,1,0)+IF(AS127&gt;0,1,0)+IF(AT127&gt;0,1,0))),"")</f>
        <v>1</v>
      </c>
      <c r="AW127" s="225">
        <f>IFERROR(IF(OR(A127="",AU127=""),"",IF(AND(MAX($AU$8:$AU$156)=0,MAX($AV$8:$AV$156)=0),"",0.5*(AU127/MAX($AU$8:$AU$156))+0.5*(AV127/MAX($AV$8:$AV$156)))),"")</f>
        <v>0.18055555555555555</v>
      </c>
      <c r="AX127" s="79" t="str">
        <f>IF(A127="","",IF((IF(AL127&gt;=1,1,0)+IF(AM127&gt;=1,1,0)+IF(AN127&gt;=1,1,0)+IF(AO127&gt;=1,1,0)+IF(AP127&gt;=1,1,0)+IF(AQ127&gt;=1,1,0)+IF(AR127&gt;=1,1,0)+IF(AS127&gt;=1,1,0)+IF(AT127&gt;=1,1,0))&gt;=5,"Diversificado (5+ verticales)",IF((IF(AL127&gt;=1,1,0)+IF(AM127&gt;=1,1,0)+IF(AN127&gt;=1,1,0)+IF(AO127&gt;=1,1,0)+IF(AP127&gt;=1,1,0)+IF(AQ127&gt;=1,1,0)+IF(AR127&gt;=1,1,0)+IF(AS127&gt;=1,1,0)+IF(AT127&gt;=1,1,0))&gt;=3,"Multi-capacidad (3-4 verticales)",IF((IF(AL127&gt;=1,1,0)+IF(AM127&gt;=1,1,0)+IF(AN127&gt;=1,1,0)+IF(AO127&gt;=1,1,0)+IF(AP127&gt;=1,1,0)+IF(AQ127&gt;=1,1,0)+IF(AR127&gt;=1,1,0)+IF(AS127&gt;=1,1,0)+IF(AT127&gt;=1,1,0))&gt;=1,"Especialista (1-2 verticales)","Sin función mapeada"))))</f>
        <v>Especialista (1-2 verticales)</v>
      </c>
    </row>
    <row r="128" spans="1:50" ht="24" customHeight="1" x14ac:dyDescent="0.2">
      <c r="A128" s="48" t="s">
        <v>1031</v>
      </c>
      <c r="B128" s="48" t="s">
        <v>1032</v>
      </c>
      <c r="C128" s="78" t="str">
        <f>IF(A128="","",IFERROR(INDEX('UNIVERSO MAESTRO'!$C$6:$C$497,MATCH(A128,'UNIVERSO MAESTRO'!$A$6:$A$497,0)),"⚠ ID no encontrado"))</f>
        <v>Mediapro</v>
      </c>
      <c r="D128" s="79" t="str">
        <f>IF(A128="","",IFERROR(INDEX('UNIVERSO MAESTRO'!$D$6:$D$497,MATCH(A128,'UNIVERSO MAESTRO'!$A$6:$A$497,0)),""))</f>
        <v>V8</v>
      </c>
      <c r="E128" s="80" t="s">
        <v>353</v>
      </c>
      <c r="F128" s="80" t="s">
        <v>353</v>
      </c>
      <c r="G128" s="80" t="s">
        <v>353</v>
      </c>
      <c r="H128" s="80" t="s">
        <v>353</v>
      </c>
      <c r="I128" s="80" t="s">
        <v>353</v>
      </c>
      <c r="J128" s="80" t="s">
        <v>353</v>
      </c>
      <c r="K128" s="80" t="s">
        <v>353</v>
      </c>
      <c r="L128" s="80" t="s">
        <v>353</v>
      </c>
      <c r="M128" s="80" t="s">
        <v>353</v>
      </c>
      <c r="N128" s="80" t="s">
        <v>353</v>
      </c>
      <c r="O128" s="80" t="s">
        <v>353</v>
      </c>
      <c r="P128" s="80" t="s">
        <v>353</v>
      </c>
      <c r="Q128" s="80" t="s">
        <v>353</v>
      </c>
      <c r="R128" s="80" t="s">
        <v>353</v>
      </c>
      <c r="S128" s="80" t="s">
        <v>353</v>
      </c>
      <c r="T128" s="80" t="s">
        <v>353</v>
      </c>
      <c r="U128" s="80" t="s">
        <v>353</v>
      </c>
      <c r="V128" s="80" t="s">
        <v>353</v>
      </c>
      <c r="W128" s="80" t="s">
        <v>353</v>
      </c>
      <c r="X128" s="80" t="s">
        <v>353</v>
      </c>
      <c r="Y128" s="80" t="s">
        <v>353</v>
      </c>
      <c r="Z128" s="80" t="s">
        <v>353</v>
      </c>
      <c r="AA128" s="80" t="s">
        <v>353</v>
      </c>
      <c r="AB128" s="80" t="s">
        <v>353</v>
      </c>
      <c r="AC128" s="80" t="s">
        <v>353</v>
      </c>
      <c r="AD128" s="80" t="s">
        <v>353</v>
      </c>
      <c r="AE128" s="80" t="s">
        <v>353</v>
      </c>
      <c r="AF128" s="80" t="s">
        <v>353</v>
      </c>
      <c r="AG128" s="80" t="s">
        <v>1530</v>
      </c>
      <c r="AH128" s="80" t="s">
        <v>353</v>
      </c>
      <c r="AI128" s="80" t="s">
        <v>353</v>
      </c>
      <c r="AJ128" s="80" t="s">
        <v>353</v>
      </c>
      <c r="AK128" s="80" t="s">
        <v>353</v>
      </c>
      <c r="AL128" s="81">
        <f>IF(E128="Sí",1,IF(E128="Parcial",0.5,0))+IF(F128="Sí",1,IF(F128="Parcial",0.5,0))+IF(G128="Sí",1,IF(G128="Parcial",0.5,0))+IF(H128="Sí",1,IF(H128="Parcial",0.5,0))</f>
        <v>0</v>
      </c>
      <c r="AM128" s="82">
        <f>IF(I128="Sí",1,IF(I128="Parcial",0.5,0))+IF(J128="Sí",1,IF(J128="Parcial",0.5,0))+IF(K128="Sí",1,IF(K128="Parcial",0.5,0))</f>
        <v>0</v>
      </c>
      <c r="AN128" s="83">
        <f>IF(L128="Sí",1,IF(L128="Parcial",0.5,0))+IF(M128="Sí",1,IF(M128="Parcial",0.5,0))+IF(N128="Sí",1,IF(N128="Parcial",0.5,0))+IF(O128="Sí",1,IF(O128="Parcial",0.5,0))</f>
        <v>0</v>
      </c>
      <c r="AO128" s="84">
        <f>IF(P128="Sí",1,IF(P128="Parcial",0.5,0))+IF(Q128="Sí",1,IF(Q128="Parcial",0.5,0))+IF(R128="Sí",1,IF(R128="Parcial",0.5,0))+IF(S128="Sí",1,IF(S128="Parcial",0.5,0))+IF(T128="Sí",1,IF(T128="Parcial",0.5,0))+IF(U128="Sí",1,IF(U128="Parcial",0.5,0))</f>
        <v>0</v>
      </c>
      <c r="AP128" s="85">
        <f>IF(V128="Sí",1,IF(V128="Parcial",0.5,0))+IF(W128="Sí",1,IF(W128="Parcial",0.5,0))+IF(X128="Sí",1,IF(X128="Parcial",0.5,0))+IF(Y128="Sí",1,IF(Y128="Parcial",0.5,0))</f>
        <v>0</v>
      </c>
      <c r="AQ128" s="86">
        <f>IF(Z128="Sí",1,IF(Z128="Parcial",0.5,0))+IF(AA128="Sí",1,IF(AA128="Parcial",0.5,0))+IF(AB128="Sí",1,IF(AB128="Parcial",0.5,0))</f>
        <v>0</v>
      </c>
      <c r="AR128" s="87">
        <f>IF(AC128="Sí",1,IF(AC128="Parcial",0.5,0))+IF(AD128="Sí",1,IF(AD128="Parcial",0.5,0))+IF(AE128="Sí",1,IF(AE128="Parcial",0.5,0))</f>
        <v>0</v>
      </c>
      <c r="AS128" s="88">
        <f>IF(AF128="Sí",1,IF(AF128="Parcial",0.5,0))+IF(AG128="Sí",1,IF(AG128="Parcial",0.5,0))+IF(AH128="Sí",1,IF(AH128="Parcial",0.5,0))</f>
        <v>1</v>
      </c>
      <c r="AT128" s="89">
        <f>IF(AI128="Sí",1,IF(AI128="Parcial",0.5,0))+IF(AJ128="Sí",1,IF(AJ128="Parcial",0.5,0))+IF(AK128="Sí",1,IF(AK128="Parcial",0.5,0))</f>
        <v>0</v>
      </c>
      <c r="AU128" s="90">
        <f>SUM(AL128,AM128,AN128,AO128,AP128,AQ128,AR128,AS128,AT128)</f>
        <v>1</v>
      </c>
      <c r="AV128" s="225">
        <f>IFERROR(IF(OR(A128="",AU128=0),"",AU128/(IF(AL128&gt;0,1,0)+IF(AM128&gt;0,1,0)+IF(AN128&gt;0,1,0)+IF(AO128&gt;0,1,0)+IF(AP128&gt;0,1,0)+IF(AQ128&gt;0,1,0)+IF(AR128&gt;0,1,0)+IF(AS128&gt;0,1,0)+IF(AT128&gt;0,1,0))),"")</f>
        <v>1</v>
      </c>
      <c r="AW128" s="225">
        <f>IFERROR(IF(OR(A128="",AU128=""),"",IF(AND(MAX($AU$8:$AU$156)=0,MAX($AV$8:$AV$156)=0),"",0.5*(AU128/MAX($AU$8:$AU$156))+0.5*(AV128/MAX($AV$8:$AV$156)))),"")</f>
        <v>0.18055555555555555</v>
      </c>
      <c r="AX128" s="79" t="str">
        <f>IF(A128="","",IF((IF(AL128&gt;=1,1,0)+IF(AM128&gt;=1,1,0)+IF(AN128&gt;=1,1,0)+IF(AO128&gt;=1,1,0)+IF(AP128&gt;=1,1,0)+IF(AQ128&gt;=1,1,0)+IF(AR128&gt;=1,1,0)+IF(AS128&gt;=1,1,0)+IF(AT128&gt;=1,1,0))&gt;=5,"Diversificado (5+ verticales)",IF((IF(AL128&gt;=1,1,0)+IF(AM128&gt;=1,1,0)+IF(AN128&gt;=1,1,0)+IF(AO128&gt;=1,1,0)+IF(AP128&gt;=1,1,0)+IF(AQ128&gt;=1,1,0)+IF(AR128&gt;=1,1,0)+IF(AS128&gt;=1,1,0)+IF(AT128&gt;=1,1,0))&gt;=3,"Multi-capacidad (3-4 verticales)",IF((IF(AL128&gt;=1,1,0)+IF(AM128&gt;=1,1,0)+IF(AN128&gt;=1,1,0)+IF(AO128&gt;=1,1,0)+IF(AP128&gt;=1,1,0)+IF(AQ128&gt;=1,1,0)+IF(AR128&gt;=1,1,0)+IF(AS128&gt;=1,1,0)+IF(AT128&gt;=1,1,0))&gt;=1,"Especialista (1-2 verticales)","Sin función mapeada"))))</f>
        <v>Especialista (1-2 verticales)</v>
      </c>
    </row>
    <row r="129" spans="1:50" ht="24" customHeight="1" x14ac:dyDescent="0.2">
      <c r="A129" s="48" t="s">
        <v>1066</v>
      </c>
      <c r="B129" s="48" t="s">
        <v>1067</v>
      </c>
      <c r="C129" s="78" t="str">
        <f>IF(A129="","",IFERROR(INDEX('UNIVERSO MAESTRO'!$C$6:$C$497,MATCH(A129,'UNIVERSO MAESTRO'!$A$6:$A$497,0)),"⚠ ID no encontrado"))</f>
        <v>Mercado Pago / MercadoLibre</v>
      </c>
      <c r="D129" s="79" t="str">
        <f>IF(A129="","",IFERROR(INDEX('UNIVERSO MAESTRO'!$D$6:$D$497,MATCH(A129,'UNIVERSO MAESTRO'!$A$6:$A$497,0)),""))</f>
        <v>V3</v>
      </c>
      <c r="E129" s="80" t="s">
        <v>353</v>
      </c>
      <c r="F129" s="80" t="s">
        <v>353</v>
      </c>
      <c r="G129" s="80" t="s">
        <v>353</v>
      </c>
      <c r="H129" s="80" t="s">
        <v>353</v>
      </c>
      <c r="I129" s="80" t="s">
        <v>353</v>
      </c>
      <c r="J129" s="80" t="s">
        <v>353</v>
      </c>
      <c r="K129" s="80" t="s">
        <v>353</v>
      </c>
      <c r="L129" s="80" t="s">
        <v>1530</v>
      </c>
      <c r="M129" s="80" t="s">
        <v>353</v>
      </c>
      <c r="N129" s="80" t="s">
        <v>353</v>
      </c>
      <c r="O129" s="80" t="s">
        <v>353</v>
      </c>
      <c r="P129" s="80" t="s">
        <v>353</v>
      </c>
      <c r="Q129" s="80" t="s">
        <v>353</v>
      </c>
      <c r="R129" s="80" t="s">
        <v>353</v>
      </c>
      <c r="S129" s="80" t="s">
        <v>353</v>
      </c>
      <c r="T129" s="80" t="s">
        <v>353</v>
      </c>
      <c r="U129" s="80" t="s">
        <v>353</v>
      </c>
      <c r="V129" s="80" t="s">
        <v>353</v>
      </c>
      <c r="W129" s="80" t="s">
        <v>353</v>
      </c>
      <c r="X129" s="80" t="s">
        <v>353</v>
      </c>
      <c r="Y129" s="80" t="s">
        <v>353</v>
      </c>
      <c r="Z129" s="80" t="s">
        <v>353</v>
      </c>
      <c r="AA129" s="80" t="s">
        <v>353</v>
      </c>
      <c r="AB129" s="80" t="s">
        <v>353</v>
      </c>
      <c r="AC129" s="80" t="s">
        <v>353</v>
      </c>
      <c r="AD129" s="80" t="s">
        <v>353</v>
      </c>
      <c r="AE129" s="80" t="s">
        <v>353</v>
      </c>
      <c r="AF129" s="80" t="s">
        <v>353</v>
      </c>
      <c r="AG129" s="80" t="s">
        <v>353</v>
      </c>
      <c r="AH129" s="80" t="s">
        <v>353</v>
      </c>
      <c r="AI129" s="80" t="s">
        <v>353</v>
      </c>
      <c r="AJ129" s="80" t="s">
        <v>353</v>
      </c>
      <c r="AK129" s="80" t="s">
        <v>353</v>
      </c>
      <c r="AL129" s="81">
        <f>IF(E129="Sí",1,IF(E129="Parcial",0.5,0))+IF(F129="Sí",1,IF(F129="Parcial",0.5,0))+IF(G129="Sí",1,IF(G129="Parcial",0.5,0))+IF(H129="Sí",1,IF(H129="Parcial",0.5,0))</f>
        <v>0</v>
      </c>
      <c r="AM129" s="82">
        <f>IF(I129="Sí",1,IF(I129="Parcial",0.5,0))+IF(J129="Sí",1,IF(J129="Parcial",0.5,0))+IF(K129="Sí",1,IF(K129="Parcial",0.5,0))</f>
        <v>0</v>
      </c>
      <c r="AN129" s="83">
        <f>IF(L129="Sí",1,IF(L129="Parcial",0.5,0))+IF(M129="Sí",1,IF(M129="Parcial",0.5,0))+IF(N129="Sí",1,IF(N129="Parcial",0.5,0))+IF(O129="Sí",1,IF(O129="Parcial",0.5,0))</f>
        <v>1</v>
      </c>
      <c r="AO129" s="84">
        <f>IF(P129="Sí",1,IF(P129="Parcial",0.5,0))+IF(Q129="Sí",1,IF(Q129="Parcial",0.5,0))+IF(R129="Sí",1,IF(R129="Parcial",0.5,0))+IF(S129="Sí",1,IF(S129="Parcial",0.5,0))+IF(T129="Sí",1,IF(T129="Parcial",0.5,0))+IF(U129="Sí",1,IF(U129="Parcial",0.5,0))</f>
        <v>0</v>
      </c>
      <c r="AP129" s="85">
        <f>IF(V129="Sí",1,IF(V129="Parcial",0.5,0))+IF(W129="Sí",1,IF(W129="Parcial",0.5,0))+IF(X129="Sí",1,IF(X129="Parcial",0.5,0))+IF(Y129="Sí",1,IF(Y129="Parcial",0.5,0))</f>
        <v>0</v>
      </c>
      <c r="AQ129" s="86">
        <f>IF(Z129="Sí",1,IF(Z129="Parcial",0.5,0))+IF(AA129="Sí",1,IF(AA129="Parcial",0.5,0))+IF(AB129="Sí",1,IF(AB129="Parcial",0.5,0))</f>
        <v>0</v>
      </c>
      <c r="AR129" s="87">
        <f>IF(AC129="Sí",1,IF(AC129="Parcial",0.5,0))+IF(AD129="Sí",1,IF(AD129="Parcial",0.5,0))+IF(AE129="Sí",1,IF(AE129="Parcial",0.5,0))</f>
        <v>0</v>
      </c>
      <c r="AS129" s="88">
        <f>IF(AF129="Sí",1,IF(AF129="Parcial",0.5,0))+IF(AG129="Sí",1,IF(AG129="Parcial",0.5,0))+IF(AH129="Sí",1,IF(AH129="Parcial",0.5,0))</f>
        <v>0</v>
      </c>
      <c r="AT129" s="89">
        <f>IF(AI129="Sí",1,IF(AI129="Parcial",0.5,0))+IF(AJ129="Sí",1,IF(AJ129="Parcial",0.5,0))+IF(AK129="Sí",1,IF(AK129="Parcial",0.5,0))</f>
        <v>0</v>
      </c>
      <c r="AU129" s="90">
        <f>SUM(AL129,AM129,AN129,AO129,AP129,AQ129,AR129,AS129,AT129)</f>
        <v>1</v>
      </c>
      <c r="AV129" s="225">
        <f>IFERROR(IF(OR(A129="",AU129=0),"",AU129/(IF(AL129&gt;0,1,0)+IF(AM129&gt;0,1,0)+IF(AN129&gt;0,1,0)+IF(AO129&gt;0,1,0)+IF(AP129&gt;0,1,0)+IF(AQ129&gt;0,1,0)+IF(AR129&gt;0,1,0)+IF(AS129&gt;0,1,0)+IF(AT129&gt;0,1,0))),"")</f>
        <v>1</v>
      </c>
      <c r="AW129" s="225">
        <f>IFERROR(IF(OR(A129="",AU129=""),"",IF(AND(MAX($AU$8:$AU$156)=0,MAX($AV$8:$AV$156)=0),"",0.5*(AU129/MAX($AU$8:$AU$156))+0.5*(AV129/MAX($AV$8:$AV$156)))),"")</f>
        <v>0.18055555555555555</v>
      </c>
      <c r="AX129" s="79" t="str">
        <f>IF(A129="","",IF((IF(AL129&gt;=1,1,0)+IF(AM129&gt;=1,1,0)+IF(AN129&gt;=1,1,0)+IF(AO129&gt;=1,1,0)+IF(AP129&gt;=1,1,0)+IF(AQ129&gt;=1,1,0)+IF(AR129&gt;=1,1,0)+IF(AS129&gt;=1,1,0)+IF(AT129&gt;=1,1,0))&gt;=5,"Diversificado (5+ verticales)",IF((IF(AL129&gt;=1,1,0)+IF(AM129&gt;=1,1,0)+IF(AN129&gt;=1,1,0)+IF(AO129&gt;=1,1,0)+IF(AP129&gt;=1,1,0)+IF(AQ129&gt;=1,1,0)+IF(AR129&gt;=1,1,0)+IF(AS129&gt;=1,1,0)+IF(AT129&gt;=1,1,0))&gt;=3,"Multi-capacidad (3-4 verticales)",IF((IF(AL129&gt;=1,1,0)+IF(AM129&gt;=1,1,0)+IF(AN129&gt;=1,1,0)+IF(AO129&gt;=1,1,0)+IF(AP129&gt;=1,1,0)+IF(AQ129&gt;=1,1,0)+IF(AR129&gt;=1,1,0)+IF(AS129&gt;=1,1,0)+IF(AT129&gt;=1,1,0))&gt;=1,"Especialista (1-2 verticales)","Sin función mapeada"))))</f>
        <v>Especialista (1-2 verticales)</v>
      </c>
    </row>
    <row r="130" spans="1:50" ht="24" customHeight="1" x14ac:dyDescent="0.2">
      <c r="A130" s="48" t="s">
        <v>1116</v>
      </c>
      <c r="B130" s="48" t="s">
        <v>1117</v>
      </c>
      <c r="C130" s="78" t="str">
        <f>IF(A130="","",IFERROR(INDEX('UNIVERSO MAESTRO'!$C$6:$C$497,MATCH(A130,'UNIVERSO MAESTRO'!$A$6:$A$497,0)),"⚠ ID no encontrado"))</f>
        <v>New Balance</v>
      </c>
      <c r="D130" s="79" t="str">
        <f>IF(A130="","",IFERROR(INDEX('UNIVERSO MAESTRO'!$D$6:$D$497,MATCH(A130,'UNIVERSO MAESTRO'!$A$6:$A$497,0)),""))</f>
        <v>V3</v>
      </c>
      <c r="E130" s="80" t="s">
        <v>353</v>
      </c>
      <c r="F130" s="80" t="s">
        <v>353</v>
      </c>
      <c r="G130" s="80" t="s">
        <v>353</v>
      </c>
      <c r="H130" s="80" t="s">
        <v>353</v>
      </c>
      <c r="I130" s="80" t="s">
        <v>353</v>
      </c>
      <c r="J130" s="80" t="s">
        <v>353</v>
      </c>
      <c r="K130" s="80" t="s">
        <v>353</v>
      </c>
      <c r="L130" s="80" t="s">
        <v>1530</v>
      </c>
      <c r="M130" s="80" t="s">
        <v>353</v>
      </c>
      <c r="N130" s="80" t="s">
        <v>353</v>
      </c>
      <c r="O130" s="80" t="s">
        <v>353</v>
      </c>
      <c r="P130" s="80" t="s">
        <v>353</v>
      </c>
      <c r="Q130" s="80" t="s">
        <v>353</v>
      </c>
      <c r="R130" s="80" t="s">
        <v>353</v>
      </c>
      <c r="S130" s="80" t="s">
        <v>353</v>
      </c>
      <c r="T130" s="80" t="s">
        <v>353</v>
      </c>
      <c r="U130" s="80" t="s">
        <v>353</v>
      </c>
      <c r="V130" s="80" t="s">
        <v>353</v>
      </c>
      <c r="W130" s="80" t="s">
        <v>353</v>
      </c>
      <c r="X130" s="80" t="s">
        <v>353</v>
      </c>
      <c r="Y130" s="80" t="s">
        <v>353</v>
      </c>
      <c r="Z130" s="80" t="s">
        <v>353</v>
      </c>
      <c r="AA130" s="80" t="s">
        <v>353</v>
      </c>
      <c r="AB130" s="80" t="s">
        <v>353</v>
      </c>
      <c r="AC130" s="80" t="s">
        <v>353</v>
      </c>
      <c r="AD130" s="80" t="s">
        <v>353</v>
      </c>
      <c r="AE130" s="80" t="s">
        <v>353</v>
      </c>
      <c r="AF130" s="80" t="s">
        <v>353</v>
      </c>
      <c r="AG130" s="80" t="s">
        <v>353</v>
      </c>
      <c r="AH130" s="80" t="s">
        <v>353</v>
      </c>
      <c r="AI130" s="80" t="s">
        <v>353</v>
      </c>
      <c r="AJ130" s="80" t="s">
        <v>353</v>
      </c>
      <c r="AK130" s="80" t="s">
        <v>353</v>
      </c>
      <c r="AL130" s="81">
        <f>IF(E130="Sí",1,IF(E130="Parcial",0.5,0))+IF(F130="Sí",1,IF(F130="Parcial",0.5,0))+IF(G130="Sí",1,IF(G130="Parcial",0.5,0))+IF(H130="Sí",1,IF(H130="Parcial",0.5,0))</f>
        <v>0</v>
      </c>
      <c r="AM130" s="82">
        <f>IF(I130="Sí",1,IF(I130="Parcial",0.5,0))+IF(J130="Sí",1,IF(J130="Parcial",0.5,0))+IF(K130="Sí",1,IF(K130="Parcial",0.5,0))</f>
        <v>0</v>
      </c>
      <c r="AN130" s="83">
        <f>IF(L130="Sí",1,IF(L130="Parcial",0.5,0))+IF(M130="Sí",1,IF(M130="Parcial",0.5,0))+IF(N130="Sí",1,IF(N130="Parcial",0.5,0))+IF(O130="Sí",1,IF(O130="Parcial",0.5,0))</f>
        <v>1</v>
      </c>
      <c r="AO130" s="84">
        <f>IF(P130="Sí",1,IF(P130="Parcial",0.5,0))+IF(Q130="Sí",1,IF(Q130="Parcial",0.5,0))+IF(R130="Sí",1,IF(R130="Parcial",0.5,0))+IF(S130="Sí",1,IF(S130="Parcial",0.5,0))+IF(T130="Sí",1,IF(T130="Parcial",0.5,0))+IF(U130="Sí",1,IF(U130="Parcial",0.5,0))</f>
        <v>0</v>
      </c>
      <c r="AP130" s="85">
        <f>IF(V130="Sí",1,IF(V130="Parcial",0.5,0))+IF(W130="Sí",1,IF(W130="Parcial",0.5,0))+IF(X130="Sí",1,IF(X130="Parcial",0.5,0))+IF(Y130="Sí",1,IF(Y130="Parcial",0.5,0))</f>
        <v>0</v>
      </c>
      <c r="AQ130" s="86">
        <f>IF(Z130="Sí",1,IF(Z130="Parcial",0.5,0))+IF(AA130="Sí",1,IF(AA130="Parcial",0.5,0))+IF(AB130="Sí",1,IF(AB130="Parcial",0.5,0))</f>
        <v>0</v>
      </c>
      <c r="AR130" s="87">
        <f>IF(AC130="Sí",1,IF(AC130="Parcial",0.5,0))+IF(AD130="Sí",1,IF(AD130="Parcial",0.5,0))+IF(AE130="Sí",1,IF(AE130="Parcial",0.5,0))</f>
        <v>0</v>
      </c>
      <c r="AS130" s="88">
        <f>IF(AF130="Sí",1,IF(AF130="Parcial",0.5,0))+IF(AG130="Sí",1,IF(AG130="Parcial",0.5,0))+IF(AH130="Sí",1,IF(AH130="Parcial",0.5,0))</f>
        <v>0</v>
      </c>
      <c r="AT130" s="89">
        <f>IF(AI130="Sí",1,IF(AI130="Parcial",0.5,0))+IF(AJ130="Sí",1,IF(AJ130="Parcial",0.5,0))+IF(AK130="Sí",1,IF(AK130="Parcial",0.5,0))</f>
        <v>0</v>
      </c>
      <c r="AU130" s="90">
        <f>SUM(AL130,AM130,AN130,AO130,AP130,AQ130,AR130,AS130,AT130)</f>
        <v>1</v>
      </c>
      <c r="AV130" s="225">
        <f>IFERROR(IF(OR(A130="",AU130=0),"",AU130/(IF(AL130&gt;0,1,0)+IF(AM130&gt;0,1,0)+IF(AN130&gt;0,1,0)+IF(AO130&gt;0,1,0)+IF(AP130&gt;0,1,0)+IF(AQ130&gt;0,1,0)+IF(AR130&gt;0,1,0)+IF(AS130&gt;0,1,0)+IF(AT130&gt;0,1,0))),"")</f>
        <v>1</v>
      </c>
      <c r="AW130" s="225">
        <f>IFERROR(IF(OR(A130="",AU130=""),"",IF(AND(MAX($AU$8:$AU$156)=0,MAX($AV$8:$AV$156)=0),"",0.5*(AU130/MAX($AU$8:$AU$156))+0.5*(AV130/MAX($AV$8:$AV$156)))),"")</f>
        <v>0.18055555555555555</v>
      </c>
      <c r="AX130" s="79" t="str">
        <f>IF(A130="","",IF((IF(AL130&gt;=1,1,0)+IF(AM130&gt;=1,1,0)+IF(AN130&gt;=1,1,0)+IF(AO130&gt;=1,1,0)+IF(AP130&gt;=1,1,0)+IF(AQ130&gt;=1,1,0)+IF(AR130&gt;=1,1,0)+IF(AS130&gt;=1,1,0)+IF(AT130&gt;=1,1,0))&gt;=5,"Diversificado (5+ verticales)",IF((IF(AL130&gt;=1,1,0)+IF(AM130&gt;=1,1,0)+IF(AN130&gt;=1,1,0)+IF(AO130&gt;=1,1,0)+IF(AP130&gt;=1,1,0)+IF(AQ130&gt;=1,1,0)+IF(AR130&gt;=1,1,0)+IF(AS130&gt;=1,1,0)+IF(AT130&gt;=1,1,0))&gt;=3,"Multi-capacidad (3-4 verticales)",IF((IF(AL130&gt;=1,1,0)+IF(AM130&gt;=1,1,0)+IF(AN130&gt;=1,1,0)+IF(AO130&gt;=1,1,0)+IF(AP130&gt;=1,1,0)+IF(AQ130&gt;=1,1,0)+IF(AR130&gt;=1,1,0)+IF(AS130&gt;=1,1,0)+IF(AT130&gt;=1,1,0))&gt;=1,"Especialista (1-2 verticales)","Sin función mapeada"))))</f>
        <v>Especialista (1-2 verticales)</v>
      </c>
    </row>
    <row r="131" spans="1:50" ht="24" customHeight="1" x14ac:dyDescent="0.2">
      <c r="A131" s="48" t="s">
        <v>1131</v>
      </c>
      <c r="B131" s="48" t="s">
        <v>1132</v>
      </c>
      <c r="C131" s="78" t="str">
        <f>IF(A131="","",IFERROR(INDEX('UNIVERSO MAESTRO'!$C$6:$C$497,MATCH(A131,'UNIVERSO MAESTRO'!$A$6:$A$497,0)),"⚠ ID no encontrado"))</f>
        <v>Nike</v>
      </c>
      <c r="D131" s="79" t="str">
        <f>IF(A131="","",IFERROR(INDEX('UNIVERSO MAESTRO'!$D$6:$D$497,MATCH(A131,'UNIVERSO MAESTRO'!$A$6:$A$497,0)),""))</f>
        <v>V3</v>
      </c>
      <c r="E131" s="80" t="s">
        <v>353</v>
      </c>
      <c r="F131" s="80" t="s">
        <v>353</v>
      </c>
      <c r="G131" s="80" t="s">
        <v>353</v>
      </c>
      <c r="H131" s="80" t="s">
        <v>353</v>
      </c>
      <c r="I131" s="80" t="s">
        <v>353</v>
      </c>
      <c r="J131" s="80" t="s">
        <v>353</v>
      </c>
      <c r="K131" s="80" t="s">
        <v>353</v>
      </c>
      <c r="L131" s="80" t="s">
        <v>1530</v>
      </c>
      <c r="M131" s="80" t="s">
        <v>353</v>
      </c>
      <c r="N131" s="80" t="s">
        <v>353</v>
      </c>
      <c r="O131" s="80" t="s">
        <v>353</v>
      </c>
      <c r="P131" s="80" t="s">
        <v>353</v>
      </c>
      <c r="Q131" s="80" t="s">
        <v>353</v>
      </c>
      <c r="R131" s="80" t="s">
        <v>353</v>
      </c>
      <c r="S131" s="80" t="s">
        <v>353</v>
      </c>
      <c r="T131" s="80" t="s">
        <v>353</v>
      </c>
      <c r="U131" s="80" t="s">
        <v>353</v>
      </c>
      <c r="V131" s="80" t="s">
        <v>353</v>
      </c>
      <c r="W131" s="80" t="s">
        <v>353</v>
      </c>
      <c r="X131" s="80" t="s">
        <v>353</v>
      </c>
      <c r="Y131" s="80" t="s">
        <v>353</v>
      </c>
      <c r="Z131" s="80" t="s">
        <v>353</v>
      </c>
      <c r="AA131" s="80" t="s">
        <v>353</v>
      </c>
      <c r="AB131" s="80" t="s">
        <v>353</v>
      </c>
      <c r="AC131" s="80" t="s">
        <v>353</v>
      </c>
      <c r="AD131" s="80" t="s">
        <v>353</v>
      </c>
      <c r="AE131" s="80" t="s">
        <v>353</v>
      </c>
      <c r="AF131" s="80" t="s">
        <v>353</v>
      </c>
      <c r="AG131" s="80" t="s">
        <v>353</v>
      </c>
      <c r="AH131" s="80" t="s">
        <v>353</v>
      </c>
      <c r="AI131" s="80" t="s">
        <v>353</v>
      </c>
      <c r="AJ131" s="80" t="s">
        <v>353</v>
      </c>
      <c r="AK131" s="80" t="s">
        <v>353</v>
      </c>
      <c r="AL131" s="81">
        <f>IF(E131="Sí",1,IF(E131="Parcial",0.5,0))+IF(F131="Sí",1,IF(F131="Parcial",0.5,0))+IF(G131="Sí",1,IF(G131="Parcial",0.5,0))+IF(H131="Sí",1,IF(H131="Parcial",0.5,0))</f>
        <v>0</v>
      </c>
      <c r="AM131" s="82">
        <f>IF(I131="Sí",1,IF(I131="Parcial",0.5,0))+IF(J131="Sí",1,IF(J131="Parcial",0.5,0))+IF(K131="Sí",1,IF(K131="Parcial",0.5,0))</f>
        <v>0</v>
      </c>
      <c r="AN131" s="83">
        <f>IF(L131="Sí",1,IF(L131="Parcial",0.5,0))+IF(M131="Sí",1,IF(M131="Parcial",0.5,0))+IF(N131="Sí",1,IF(N131="Parcial",0.5,0))+IF(O131="Sí",1,IF(O131="Parcial",0.5,0))</f>
        <v>1</v>
      </c>
      <c r="AO131" s="84">
        <f>IF(P131="Sí",1,IF(P131="Parcial",0.5,0))+IF(Q131="Sí",1,IF(Q131="Parcial",0.5,0))+IF(R131="Sí",1,IF(R131="Parcial",0.5,0))+IF(S131="Sí",1,IF(S131="Parcial",0.5,0))+IF(T131="Sí",1,IF(T131="Parcial",0.5,0))+IF(U131="Sí",1,IF(U131="Parcial",0.5,0))</f>
        <v>0</v>
      </c>
      <c r="AP131" s="85">
        <f>IF(V131="Sí",1,IF(V131="Parcial",0.5,0))+IF(W131="Sí",1,IF(W131="Parcial",0.5,0))+IF(X131="Sí",1,IF(X131="Parcial",0.5,0))+IF(Y131="Sí",1,IF(Y131="Parcial",0.5,0))</f>
        <v>0</v>
      </c>
      <c r="AQ131" s="86">
        <f>IF(Z131="Sí",1,IF(Z131="Parcial",0.5,0))+IF(AA131="Sí",1,IF(AA131="Parcial",0.5,0))+IF(AB131="Sí",1,IF(AB131="Parcial",0.5,0))</f>
        <v>0</v>
      </c>
      <c r="AR131" s="87">
        <f>IF(AC131="Sí",1,IF(AC131="Parcial",0.5,0))+IF(AD131="Sí",1,IF(AD131="Parcial",0.5,0))+IF(AE131="Sí",1,IF(AE131="Parcial",0.5,0))</f>
        <v>0</v>
      </c>
      <c r="AS131" s="88">
        <f>IF(AF131="Sí",1,IF(AF131="Parcial",0.5,0))+IF(AG131="Sí",1,IF(AG131="Parcial",0.5,0))+IF(AH131="Sí",1,IF(AH131="Parcial",0.5,0))</f>
        <v>0</v>
      </c>
      <c r="AT131" s="89">
        <f>IF(AI131="Sí",1,IF(AI131="Parcial",0.5,0))+IF(AJ131="Sí",1,IF(AJ131="Parcial",0.5,0))+IF(AK131="Sí",1,IF(AK131="Parcial",0.5,0))</f>
        <v>0</v>
      </c>
      <c r="AU131" s="90">
        <f>SUM(AL131,AM131,AN131,AO131,AP131,AQ131,AR131,AS131,AT131)</f>
        <v>1</v>
      </c>
      <c r="AV131" s="225">
        <f>IFERROR(IF(OR(A131="",AU131=0),"",AU131/(IF(AL131&gt;0,1,0)+IF(AM131&gt;0,1,0)+IF(AN131&gt;0,1,0)+IF(AO131&gt;0,1,0)+IF(AP131&gt;0,1,0)+IF(AQ131&gt;0,1,0)+IF(AR131&gt;0,1,0)+IF(AS131&gt;0,1,0)+IF(AT131&gt;0,1,0))),"")</f>
        <v>1</v>
      </c>
      <c r="AW131" s="225">
        <f>IFERROR(IF(OR(A131="",AU131=""),"",IF(AND(MAX($AU$8:$AU$156)=0,MAX($AV$8:$AV$156)=0),"",0.5*(AU131/MAX($AU$8:$AU$156))+0.5*(AV131/MAX($AV$8:$AV$156)))),"")</f>
        <v>0.18055555555555555</v>
      </c>
      <c r="AX131" s="79" t="str">
        <f>IF(A131="","",IF((IF(AL131&gt;=1,1,0)+IF(AM131&gt;=1,1,0)+IF(AN131&gt;=1,1,0)+IF(AO131&gt;=1,1,0)+IF(AP131&gt;=1,1,0)+IF(AQ131&gt;=1,1,0)+IF(AR131&gt;=1,1,0)+IF(AS131&gt;=1,1,0)+IF(AT131&gt;=1,1,0))&gt;=5,"Diversificado (5+ verticales)",IF((IF(AL131&gt;=1,1,0)+IF(AM131&gt;=1,1,0)+IF(AN131&gt;=1,1,0)+IF(AO131&gt;=1,1,0)+IF(AP131&gt;=1,1,0)+IF(AQ131&gt;=1,1,0)+IF(AR131&gt;=1,1,0)+IF(AS131&gt;=1,1,0)+IF(AT131&gt;=1,1,0))&gt;=3,"Multi-capacidad (3-4 verticales)",IF((IF(AL131&gt;=1,1,0)+IF(AM131&gt;=1,1,0)+IF(AN131&gt;=1,1,0)+IF(AO131&gt;=1,1,0)+IF(AP131&gt;=1,1,0)+IF(AQ131&gt;=1,1,0)+IF(AR131&gt;=1,1,0)+IF(AS131&gt;=1,1,0)+IF(AT131&gt;=1,1,0))&gt;=1,"Especialista (1-2 verticales)","Sin función mapeada"))))</f>
        <v>Especialista (1-2 verticales)</v>
      </c>
    </row>
    <row r="132" spans="1:50" ht="24" customHeight="1" x14ac:dyDescent="0.2">
      <c r="A132" s="48" t="s">
        <v>1171</v>
      </c>
      <c r="B132" s="48" t="s">
        <v>1172</v>
      </c>
      <c r="C132" s="78" t="str">
        <f>IF(A132="","",IFERROR(INDEX('UNIVERSO MAESTRO'!$C$6:$C$497,MATCH(A132,'UNIVERSO MAESTRO'!$A$6:$A$497,0)),"⚠ ID no encontrado"))</f>
        <v>Palco4 / Palco Ticketing S.L.</v>
      </c>
      <c r="D132" s="79" t="str">
        <f>IF(A132="","",IFERROR(INDEX('UNIVERSO MAESTRO'!$D$6:$D$497,MATCH(A132,'UNIVERSO MAESTRO'!$A$6:$A$497,0)),""))</f>
        <v>V6</v>
      </c>
      <c r="E132" s="80" t="s">
        <v>353</v>
      </c>
      <c r="F132" s="80" t="s">
        <v>353</v>
      </c>
      <c r="G132" s="80" t="s">
        <v>353</v>
      </c>
      <c r="H132" s="80" t="s">
        <v>353</v>
      </c>
      <c r="I132" s="80" t="s">
        <v>353</v>
      </c>
      <c r="J132" s="80" t="s">
        <v>353</v>
      </c>
      <c r="K132" s="80" t="s">
        <v>353</v>
      </c>
      <c r="L132" s="80" t="s">
        <v>353</v>
      </c>
      <c r="M132" s="80" t="s">
        <v>353</v>
      </c>
      <c r="N132" s="80" t="s">
        <v>353</v>
      </c>
      <c r="O132" s="80" t="s">
        <v>353</v>
      </c>
      <c r="P132" s="80" t="s">
        <v>353</v>
      </c>
      <c r="Q132" s="80" t="s">
        <v>353</v>
      </c>
      <c r="R132" s="80" t="s">
        <v>353</v>
      </c>
      <c r="S132" s="80" t="s">
        <v>353</v>
      </c>
      <c r="T132" s="80" t="s">
        <v>353</v>
      </c>
      <c r="U132" s="80" t="s">
        <v>353</v>
      </c>
      <c r="V132" s="80" t="s">
        <v>353</v>
      </c>
      <c r="W132" s="80" t="s">
        <v>353</v>
      </c>
      <c r="X132" s="80" t="s">
        <v>353</v>
      </c>
      <c r="Y132" s="80" t="s">
        <v>353</v>
      </c>
      <c r="Z132" s="80" t="s">
        <v>353</v>
      </c>
      <c r="AA132" s="80" t="s">
        <v>353</v>
      </c>
      <c r="AB132" s="80" t="s">
        <v>1530</v>
      </c>
      <c r="AC132" s="80" t="s">
        <v>353</v>
      </c>
      <c r="AD132" s="80" t="s">
        <v>353</v>
      </c>
      <c r="AE132" s="80" t="s">
        <v>353</v>
      </c>
      <c r="AF132" s="80" t="s">
        <v>353</v>
      </c>
      <c r="AG132" s="80" t="s">
        <v>353</v>
      </c>
      <c r="AH132" s="80" t="s">
        <v>353</v>
      </c>
      <c r="AI132" s="80" t="s">
        <v>353</v>
      </c>
      <c r="AJ132" s="80" t="s">
        <v>353</v>
      </c>
      <c r="AK132" s="80" t="s">
        <v>353</v>
      </c>
      <c r="AL132" s="81">
        <f>IF(E132="Sí",1,IF(E132="Parcial",0.5,0))+IF(F132="Sí",1,IF(F132="Parcial",0.5,0))+IF(G132="Sí",1,IF(G132="Parcial",0.5,0))+IF(H132="Sí",1,IF(H132="Parcial",0.5,0))</f>
        <v>0</v>
      </c>
      <c r="AM132" s="82">
        <f>IF(I132="Sí",1,IF(I132="Parcial",0.5,0))+IF(J132="Sí",1,IF(J132="Parcial",0.5,0))+IF(K132="Sí",1,IF(K132="Parcial",0.5,0))</f>
        <v>0</v>
      </c>
      <c r="AN132" s="83">
        <f>IF(L132="Sí",1,IF(L132="Parcial",0.5,0))+IF(M132="Sí",1,IF(M132="Parcial",0.5,0))+IF(N132="Sí",1,IF(N132="Parcial",0.5,0))+IF(O132="Sí",1,IF(O132="Parcial",0.5,0))</f>
        <v>0</v>
      </c>
      <c r="AO132" s="84">
        <f>IF(P132="Sí",1,IF(P132="Parcial",0.5,0))+IF(Q132="Sí",1,IF(Q132="Parcial",0.5,0))+IF(R132="Sí",1,IF(R132="Parcial",0.5,0))+IF(S132="Sí",1,IF(S132="Parcial",0.5,0))+IF(T132="Sí",1,IF(T132="Parcial",0.5,0))+IF(U132="Sí",1,IF(U132="Parcial",0.5,0))</f>
        <v>0</v>
      </c>
      <c r="AP132" s="85">
        <f>IF(V132="Sí",1,IF(V132="Parcial",0.5,0))+IF(W132="Sí",1,IF(W132="Parcial",0.5,0))+IF(X132="Sí",1,IF(X132="Parcial",0.5,0))+IF(Y132="Sí",1,IF(Y132="Parcial",0.5,0))</f>
        <v>0</v>
      </c>
      <c r="AQ132" s="86">
        <f>IF(Z132="Sí",1,IF(Z132="Parcial",0.5,0))+IF(AA132="Sí",1,IF(AA132="Parcial",0.5,0))+IF(AB132="Sí",1,IF(AB132="Parcial",0.5,0))</f>
        <v>1</v>
      </c>
      <c r="AR132" s="87">
        <f>IF(AC132="Sí",1,IF(AC132="Parcial",0.5,0))+IF(AD132="Sí",1,IF(AD132="Parcial",0.5,0))+IF(AE132="Sí",1,IF(AE132="Parcial",0.5,0))</f>
        <v>0</v>
      </c>
      <c r="AS132" s="88">
        <f>IF(AF132="Sí",1,IF(AF132="Parcial",0.5,0))+IF(AG132="Sí",1,IF(AG132="Parcial",0.5,0))+IF(AH132="Sí",1,IF(AH132="Parcial",0.5,0))</f>
        <v>0</v>
      </c>
      <c r="AT132" s="89">
        <f>IF(AI132="Sí",1,IF(AI132="Parcial",0.5,0))+IF(AJ132="Sí",1,IF(AJ132="Parcial",0.5,0))+IF(AK132="Sí",1,IF(AK132="Parcial",0.5,0))</f>
        <v>0</v>
      </c>
      <c r="AU132" s="90">
        <f>SUM(AL132,AM132,AN132,AO132,AP132,AQ132,AR132,AS132,AT132)</f>
        <v>1</v>
      </c>
      <c r="AV132" s="225">
        <f>IFERROR(IF(OR(A132="",AU132=0),"",AU132/(IF(AL132&gt;0,1,0)+IF(AM132&gt;0,1,0)+IF(AN132&gt;0,1,0)+IF(AO132&gt;0,1,0)+IF(AP132&gt;0,1,0)+IF(AQ132&gt;0,1,0)+IF(AR132&gt;0,1,0)+IF(AS132&gt;0,1,0)+IF(AT132&gt;0,1,0))),"")</f>
        <v>1</v>
      </c>
      <c r="AW132" s="225">
        <f>IFERROR(IF(OR(A132="",AU132=""),"",IF(AND(MAX($AU$8:$AU$156)=0,MAX($AV$8:$AV$156)=0),"",0.5*(AU132/MAX($AU$8:$AU$156))+0.5*(AV132/MAX($AV$8:$AV$156)))),"")</f>
        <v>0.18055555555555555</v>
      </c>
      <c r="AX132" s="79" t="str">
        <f>IF(A132="","",IF((IF(AL132&gt;=1,1,0)+IF(AM132&gt;=1,1,0)+IF(AN132&gt;=1,1,0)+IF(AO132&gt;=1,1,0)+IF(AP132&gt;=1,1,0)+IF(AQ132&gt;=1,1,0)+IF(AR132&gt;=1,1,0)+IF(AS132&gt;=1,1,0)+IF(AT132&gt;=1,1,0))&gt;=5,"Diversificado (5+ verticales)",IF((IF(AL132&gt;=1,1,0)+IF(AM132&gt;=1,1,0)+IF(AN132&gt;=1,1,0)+IF(AO132&gt;=1,1,0)+IF(AP132&gt;=1,1,0)+IF(AQ132&gt;=1,1,0)+IF(AR132&gt;=1,1,0)+IF(AS132&gt;=1,1,0)+IF(AT132&gt;=1,1,0))&gt;=3,"Multi-capacidad (3-4 verticales)",IF((IF(AL132&gt;=1,1,0)+IF(AM132&gt;=1,1,0)+IF(AN132&gt;=1,1,0)+IF(AO132&gt;=1,1,0)+IF(AP132&gt;=1,1,0)+IF(AQ132&gt;=1,1,0)+IF(AR132&gt;=1,1,0)+IF(AS132&gt;=1,1,0)+IF(AT132&gt;=1,1,0))&gt;=1,"Especialista (1-2 verticales)","Sin función mapeada"))))</f>
        <v>Especialista (1-2 verticales)</v>
      </c>
    </row>
    <row r="133" spans="1:50" ht="24" customHeight="1" x14ac:dyDescent="0.2">
      <c r="A133" s="48" t="s">
        <v>1179</v>
      </c>
      <c r="B133" s="48" t="s">
        <v>1180</v>
      </c>
      <c r="C133" s="78" t="str">
        <f>IF(A133="","",IFERROR(INDEX('UNIVERSO MAESTRO'!$C$6:$C$497,MATCH(A133,'UNIVERSO MAESTRO'!$A$6:$A$497,0)),"⚠ ID no encontrado"))</f>
        <v>Panduit + Commscope</v>
      </c>
      <c r="D133" s="79" t="str">
        <f>IF(A133="","",IFERROR(INDEX('UNIVERSO MAESTRO'!$D$6:$D$497,MATCH(A133,'UNIVERSO MAESTRO'!$A$6:$A$497,0)),""))</f>
        <v>V8</v>
      </c>
      <c r="E133" s="80" t="s">
        <v>353</v>
      </c>
      <c r="F133" s="80" t="s">
        <v>353</v>
      </c>
      <c r="G133" s="80" t="s">
        <v>353</v>
      </c>
      <c r="H133" s="80" t="s">
        <v>353</v>
      </c>
      <c r="I133" s="80" t="s">
        <v>353</v>
      </c>
      <c r="J133" s="80" t="s">
        <v>353</v>
      </c>
      <c r="K133" s="80" t="s">
        <v>353</v>
      </c>
      <c r="L133" s="80" t="s">
        <v>353</v>
      </c>
      <c r="M133" s="80" t="s">
        <v>353</v>
      </c>
      <c r="N133" s="80" t="s">
        <v>353</v>
      </c>
      <c r="O133" s="80" t="s">
        <v>353</v>
      </c>
      <c r="P133" s="80" t="s">
        <v>353</v>
      </c>
      <c r="Q133" s="80" t="s">
        <v>353</v>
      </c>
      <c r="R133" s="80" t="s">
        <v>353</v>
      </c>
      <c r="S133" s="80" t="s">
        <v>353</v>
      </c>
      <c r="T133" s="80" t="s">
        <v>353</v>
      </c>
      <c r="U133" s="80" t="s">
        <v>353</v>
      </c>
      <c r="V133" s="80" t="s">
        <v>353</v>
      </c>
      <c r="W133" s="80" t="s">
        <v>353</v>
      </c>
      <c r="X133" s="80" t="s">
        <v>353</v>
      </c>
      <c r="Y133" s="80" t="s">
        <v>353</v>
      </c>
      <c r="Z133" s="80" t="s">
        <v>353</v>
      </c>
      <c r="AA133" s="80" t="s">
        <v>353</v>
      </c>
      <c r="AB133" s="80" t="s">
        <v>353</v>
      </c>
      <c r="AC133" s="80" t="s">
        <v>353</v>
      </c>
      <c r="AD133" s="80" t="s">
        <v>353</v>
      </c>
      <c r="AE133" s="80" t="s">
        <v>353</v>
      </c>
      <c r="AF133" s="80" t="s">
        <v>353</v>
      </c>
      <c r="AG133" s="80" t="s">
        <v>353</v>
      </c>
      <c r="AH133" s="80" t="s">
        <v>1530</v>
      </c>
      <c r="AI133" s="80" t="s">
        <v>353</v>
      </c>
      <c r="AJ133" s="80" t="s">
        <v>353</v>
      </c>
      <c r="AK133" s="80" t="s">
        <v>353</v>
      </c>
      <c r="AL133" s="81">
        <f>IF(E133="Sí",1,IF(E133="Parcial",0.5,0))+IF(F133="Sí",1,IF(F133="Parcial",0.5,0))+IF(G133="Sí",1,IF(G133="Parcial",0.5,0))+IF(H133="Sí",1,IF(H133="Parcial",0.5,0))</f>
        <v>0</v>
      </c>
      <c r="AM133" s="82">
        <f>IF(I133="Sí",1,IF(I133="Parcial",0.5,0))+IF(J133="Sí",1,IF(J133="Parcial",0.5,0))+IF(K133="Sí",1,IF(K133="Parcial",0.5,0))</f>
        <v>0</v>
      </c>
      <c r="AN133" s="83">
        <f>IF(L133="Sí",1,IF(L133="Parcial",0.5,0))+IF(M133="Sí",1,IF(M133="Parcial",0.5,0))+IF(N133="Sí",1,IF(N133="Parcial",0.5,0))+IF(O133="Sí",1,IF(O133="Parcial",0.5,0))</f>
        <v>0</v>
      </c>
      <c r="AO133" s="84">
        <f>IF(P133="Sí",1,IF(P133="Parcial",0.5,0))+IF(Q133="Sí",1,IF(Q133="Parcial",0.5,0))+IF(R133="Sí",1,IF(R133="Parcial",0.5,0))+IF(S133="Sí",1,IF(S133="Parcial",0.5,0))+IF(T133="Sí",1,IF(T133="Parcial",0.5,0))+IF(U133="Sí",1,IF(U133="Parcial",0.5,0))</f>
        <v>0</v>
      </c>
      <c r="AP133" s="85">
        <f>IF(V133="Sí",1,IF(V133="Parcial",0.5,0))+IF(W133="Sí",1,IF(W133="Parcial",0.5,0))+IF(X133="Sí",1,IF(X133="Parcial",0.5,0))+IF(Y133="Sí",1,IF(Y133="Parcial",0.5,0))</f>
        <v>0</v>
      </c>
      <c r="AQ133" s="86">
        <f>IF(Z133="Sí",1,IF(Z133="Parcial",0.5,0))+IF(AA133="Sí",1,IF(AA133="Parcial",0.5,0))+IF(AB133="Sí",1,IF(AB133="Parcial",0.5,0))</f>
        <v>0</v>
      </c>
      <c r="AR133" s="87">
        <f>IF(AC133="Sí",1,IF(AC133="Parcial",0.5,0))+IF(AD133="Sí",1,IF(AD133="Parcial",0.5,0))+IF(AE133="Sí",1,IF(AE133="Parcial",0.5,0))</f>
        <v>0</v>
      </c>
      <c r="AS133" s="88">
        <f>IF(AF133="Sí",1,IF(AF133="Parcial",0.5,0))+IF(AG133="Sí",1,IF(AG133="Parcial",0.5,0))+IF(AH133="Sí",1,IF(AH133="Parcial",0.5,0))</f>
        <v>1</v>
      </c>
      <c r="AT133" s="89">
        <f>IF(AI133="Sí",1,IF(AI133="Parcial",0.5,0))+IF(AJ133="Sí",1,IF(AJ133="Parcial",0.5,0))+IF(AK133="Sí",1,IF(AK133="Parcial",0.5,0))</f>
        <v>0</v>
      </c>
      <c r="AU133" s="90">
        <f>SUM(AL133,AM133,AN133,AO133,AP133,AQ133,AR133,AS133,AT133)</f>
        <v>1</v>
      </c>
      <c r="AV133" s="225">
        <f>IFERROR(IF(OR(A133="",AU133=0),"",AU133/(IF(AL133&gt;0,1,0)+IF(AM133&gt;0,1,0)+IF(AN133&gt;0,1,0)+IF(AO133&gt;0,1,0)+IF(AP133&gt;0,1,0)+IF(AQ133&gt;0,1,0)+IF(AR133&gt;0,1,0)+IF(AS133&gt;0,1,0)+IF(AT133&gt;0,1,0))),"")</f>
        <v>1</v>
      </c>
      <c r="AW133" s="225">
        <f>IFERROR(IF(OR(A133="",AU133=""),"",IF(AND(MAX($AU$8:$AU$156)=0,MAX($AV$8:$AV$156)=0),"",0.5*(AU133/MAX($AU$8:$AU$156))+0.5*(AV133/MAX($AV$8:$AV$156)))),"")</f>
        <v>0.18055555555555555</v>
      </c>
      <c r="AX133" s="79" t="str">
        <f>IF(A133="","",IF((IF(AL133&gt;=1,1,0)+IF(AM133&gt;=1,1,0)+IF(AN133&gt;=1,1,0)+IF(AO133&gt;=1,1,0)+IF(AP133&gt;=1,1,0)+IF(AQ133&gt;=1,1,0)+IF(AR133&gt;=1,1,0)+IF(AS133&gt;=1,1,0)+IF(AT133&gt;=1,1,0))&gt;=5,"Diversificado (5+ verticales)",IF((IF(AL133&gt;=1,1,0)+IF(AM133&gt;=1,1,0)+IF(AN133&gt;=1,1,0)+IF(AO133&gt;=1,1,0)+IF(AP133&gt;=1,1,0)+IF(AQ133&gt;=1,1,0)+IF(AR133&gt;=1,1,0)+IF(AS133&gt;=1,1,0)+IF(AT133&gt;=1,1,0))&gt;=3,"Multi-capacidad (3-4 verticales)",IF((IF(AL133&gt;=1,1,0)+IF(AM133&gt;=1,1,0)+IF(AN133&gt;=1,1,0)+IF(AO133&gt;=1,1,0)+IF(AP133&gt;=1,1,0)+IF(AQ133&gt;=1,1,0)+IF(AR133&gt;=1,1,0)+IF(AS133&gt;=1,1,0)+IF(AT133&gt;=1,1,0))&gt;=1,"Especialista (1-2 verticales)","Sin función mapeada"))))</f>
        <v>Especialista (1-2 verticales)</v>
      </c>
    </row>
    <row r="134" spans="1:50" ht="24" customHeight="1" x14ac:dyDescent="0.2">
      <c r="A134" s="48" t="s">
        <v>1196</v>
      </c>
      <c r="B134" s="48" t="s">
        <v>1197</v>
      </c>
      <c r="C134" s="78" t="str">
        <f>IF(A134="","",IFERROR(INDEX('UNIVERSO MAESTRO'!$C$6:$C$497,MATCH(A134,'UNIVERSO MAESTRO'!$A$6:$A$497,0)),"⚠ ID no encontrado"))</f>
        <v>PIF (Saudi Public Investment Fund)</v>
      </c>
      <c r="D134" s="79" t="str">
        <f>IF(A134="","",IFERROR(INDEX('UNIVERSO MAESTRO'!$D$6:$D$497,MATCH(A134,'UNIVERSO MAESTRO'!$A$6:$A$497,0)),""))</f>
        <v>V9</v>
      </c>
      <c r="E134" s="80" t="s">
        <v>353</v>
      </c>
      <c r="F134" s="80" t="s">
        <v>353</v>
      </c>
      <c r="G134" s="80" t="s">
        <v>353</v>
      </c>
      <c r="H134" s="80" t="s">
        <v>353</v>
      </c>
      <c r="I134" s="80" t="s">
        <v>353</v>
      </c>
      <c r="J134" s="80" t="s">
        <v>353</v>
      </c>
      <c r="K134" s="80" t="s">
        <v>353</v>
      </c>
      <c r="L134" s="80" t="s">
        <v>353</v>
      </c>
      <c r="M134" s="80" t="s">
        <v>353</v>
      </c>
      <c r="N134" s="80" t="s">
        <v>353</v>
      </c>
      <c r="O134" s="80" t="s">
        <v>353</v>
      </c>
      <c r="P134" s="80" t="s">
        <v>353</v>
      </c>
      <c r="Q134" s="80" t="s">
        <v>353</v>
      </c>
      <c r="R134" s="80" t="s">
        <v>353</v>
      </c>
      <c r="S134" s="80" t="s">
        <v>353</v>
      </c>
      <c r="T134" s="80" t="s">
        <v>353</v>
      </c>
      <c r="U134" s="80" t="s">
        <v>353</v>
      </c>
      <c r="V134" s="80" t="s">
        <v>353</v>
      </c>
      <c r="W134" s="80" t="s">
        <v>353</v>
      </c>
      <c r="X134" s="80" t="s">
        <v>353</v>
      </c>
      <c r="Y134" s="80" t="s">
        <v>353</v>
      </c>
      <c r="Z134" s="80" t="s">
        <v>353</v>
      </c>
      <c r="AA134" s="80" t="s">
        <v>353</v>
      </c>
      <c r="AB134" s="80" t="s">
        <v>353</v>
      </c>
      <c r="AC134" s="80" t="s">
        <v>353</v>
      </c>
      <c r="AD134" s="80" t="s">
        <v>353</v>
      </c>
      <c r="AE134" s="80" t="s">
        <v>353</v>
      </c>
      <c r="AF134" s="80" t="s">
        <v>353</v>
      </c>
      <c r="AG134" s="80" t="s">
        <v>353</v>
      </c>
      <c r="AH134" s="80" t="s">
        <v>353</v>
      </c>
      <c r="AI134" s="80" t="s">
        <v>353</v>
      </c>
      <c r="AJ134" s="80" t="s">
        <v>353</v>
      </c>
      <c r="AK134" s="80" t="s">
        <v>1530</v>
      </c>
      <c r="AL134" s="81">
        <f>IF(E134="Sí",1,IF(E134="Parcial",0.5,0))+IF(F134="Sí",1,IF(F134="Parcial",0.5,0))+IF(G134="Sí",1,IF(G134="Parcial",0.5,0))+IF(H134="Sí",1,IF(H134="Parcial",0.5,0))</f>
        <v>0</v>
      </c>
      <c r="AM134" s="82">
        <f>IF(I134="Sí",1,IF(I134="Parcial",0.5,0))+IF(J134="Sí",1,IF(J134="Parcial",0.5,0))+IF(K134="Sí",1,IF(K134="Parcial",0.5,0))</f>
        <v>0</v>
      </c>
      <c r="AN134" s="83">
        <f>IF(L134="Sí",1,IF(L134="Parcial",0.5,0))+IF(M134="Sí",1,IF(M134="Parcial",0.5,0))+IF(N134="Sí",1,IF(N134="Parcial",0.5,0))+IF(O134="Sí",1,IF(O134="Parcial",0.5,0))</f>
        <v>0</v>
      </c>
      <c r="AO134" s="84">
        <f>IF(P134="Sí",1,IF(P134="Parcial",0.5,0))+IF(Q134="Sí",1,IF(Q134="Parcial",0.5,0))+IF(R134="Sí",1,IF(R134="Parcial",0.5,0))+IF(S134="Sí",1,IF(S134="Parcial",0.5,0))+IF(T134="Sí",1,IF(T134="Parcial",0.5,0))+IF(U134="Sí",1,IF(U134="Parcial",0.5,0))</f>
        <v>0</v>
      </c>
      <c r="AP134" s="85">
        <f>IF(V134="Sí",1,IF(V134="Parcial",0.5,0))+IF(W134="Sí",1,IF(W134="Parcial",0.5,0))+IF(X134="Sí",1,IF(X134="Parcial",0.5,0))+IF(Y134="Sí",1,IF(Y134="Parcial",0.5,0))</f>
        <v>0</v>
      </c>
      <c r="AQ134" s="86">
        <f>IF(Z134="Sí",1,IF(Z134="Parcial",0.5,0))+IF(AA134="Sí",1,IF(AA134="Parcial",0.5,0))+IF(AB134="Sí",1,IF(AB134="Parcial",0.5,0))</f>
        <v>0</v>
      </c>
      <c r="AR134" s="87">
        <f>IF(AC134="Sí",1,IF(AC134="Parcial",0.5,0))+IF(AD134="Sí",1,IF(AD134="Parcial",0.5,0))+IF(AE134="Sí",1,IF(AE134="Parcial",0.5,0))</f>
        <v>0</v>
      </c>
      <c r="AS134" s="88">
        <f>IF(AF134="Sí",1,IF(AF134="Parcial",0.5,0))+IF(AG134="Sí",1,IF(AG134="Parcial",0.5,0))+IF(AH134="Sí",1,IF(AH134="Parcial",0.5,0))</f>
        <v>0</v>
      </c>
      <c r="AT134" s="89">
        <f>IF(AI134="Sí",1,IF(AI134="Parcial",0.5,0))+IF(AJ134="Sí",1,IF(AJ134="Parcial",0.5,0))+IF(AK134="Sí",1,IF(AK134="Parcial",0.5,0))</f>
        <v>1</v>
      </c>
      <c r="AU134" s="90">
        <f>SUM(AL134,AM134,AN134,AO134,AP134,AQ134,AR134,AS134,AT134)</f>
        <v>1</v>
      </c>
      <c r="AV134" s="225">
        <f>IFERROR(IF(OR(A134="",AU134=0),"",AU134/(IF(AL134&gt;0,1,0)+IF(AM134&gt;0,1,0)+IF(AN134&gt;0,1,0)+IF(AO134&gt;0,1,0)+IF(AP134&gt;0,1,0)+IF(AQ134&gt;0,1,0)+IF(AR134&gt;0,1,0)+IF(AS134&gt;0,1,0)+IF(AT134&gt;0,1,0))),"")</f>
        <v>1</v>
      </c>
      <c r="AW134" s="225">
        <f>IFERROR(IF(OR(A134="",AU134=""),"",IF(AND(MAX($AU$8:$AU$156)=0,MAX($AV$8:$AV$156)=0),"",0.5*(AU134/MAX($AU$8:$AU$156))+0.5*(AV134/MAX($AV$8:$AV$156)))),"")</f>
        <v>0.18055555555555555</v>
      </c>
      <c r="AX134" s="79" t="str">
        <f>IF(A134="","",IF((IF(AL134&gt;=1,1,0)+IF(AM134&gt;=1,1,0)+IF(AN134&gt;=1,1,0)+IF(AO134&gt;=1,1,0)+IF(AP134&gt;=1,1,0)+IF(AQ134&gt;=1,1,0)+IF(AR134&gt;=1,1,0)+IF(AS134&gt;=1,1,0)+IF(AT134&gt;=1,1,0))&gt;=5,"Diversificado (5+ verticales)",IF((IF(AL134&gt;=1,1,0)+IF(AM134&gt;=1,1,0)+IF(AN134&gt;=1,1,0)+IF(AO134&gt;=1,1,0)+IF(AP134&gt;=1,1,0)+IF(AQ134&gt;=1,1,0)+IF(AR134&gt;=1,1,0)+IF(AS134&gt;=1,1,0)+IF(AT134&gt;=1,1,0))&gt;=3,"Multi-capacidad (3-4 verticales)",IF((IF(AL134&gt;=1,1,0)+IF(AM134&gt;=1,1,0)+IF(AN134&gt;=1,1,0)+IF(AO134&gt;=1,1,0)+IF(AP134&gt;=1,1,0)+IF(AQ134&gt;=1,1,0)+IF(AR134&gt;=1,1,0)+IF(AS134&gt;=1,1,0)+IF(AT134&gt;=1,1,0))&gt;=1,"Especialista (1-2 verticales)","Sin función mapeada"))))</f>
        <v>Especialista (1-2 verticales)</v>
      </c>
    </row>
    <row r="135" spans="1:50" ht="24" customHeight="1" x14ac:dyDescent="0.2">
      <c r="A135" s="48" t="s">
        <v>1206</v>
      </c>
      <c r="B135" s="48" t="s">
        <v>1207</v>
      </c>
      <c r="C135" s="78" t="str">
        <f>IF(A135="","",IFERROR(INDEX('UNIVERSO MAESTRO'!$C$6:$C$497,MATCH(A135,'UNIVERSO MAESTRO'!$A$6:$A$497,0)),"⚠ ID no encontrado"))</f>
        <v>Pitz Group</v>
      </c>
      <c r="D135" s="79" t="str">
        <f>IF(A135="","",IFERROR(INDEX('UNIVERSO MAESTRO'!$D$6:$D$497,MATCH(A135,'UNIVERSO MAESTRO'!$A$6:$A$497,0)),""))</f>
        <v>V4</v>
      </c>
      <c r="E135" s="80" t="s">
        <v>353</v>
      </c>
      <c r="F135" s="80" t="s">
        <v>353</v>
      </c>
      <c r="G135" s="80" t="s">
        <v>353</v>
      </c>
      <c r="H135" s="80" t="s">
        <v>353</v>
      </c>
      <c r="I135" s="80" t="s">
        <v>353</v>
      </c>
      <c r="J135" s="80" t="s">
        <v>353</v>
      </c>
      <c r="K135" s="80" t="s">
        <v>353</v>
      </c>
      <c r="L135" s="80" t="s">
        <v>353</v>
      </c>
      <c r="M135" s="80" t="s">
        <v>353</v>
      </c>
      <c r="N135" s="80" t="s">
        <v>353</v>
      </c>
      <c r="O135" s="80" t="s">
        <v>353</v>
      </c>
      <c r="P135" s="80" t="s">
        <v>353</v>
      </c>
      <c r="Q135" s="80" t="s">
        <v>353</v>
      </c>
      <c r="R135" s="80" t="s">
        <v>353</v>
      </c>
      <c r="S135" s="80" t="s">
        <v>353</v>
      </c>
      <c r="T135" s="80" t="s">
        <v>1530</v>
      </c>
      <c r="U135" s="80" t="s">
        <v>353</v>
      </c>
      <c r="V135" s="80" t="s">
        <v>353</v>
      </c>
      <c r="W135" s="80" t="s">
        <v>353</v>
      </c>
      <c r="X135" s="80" t="s">
        <v>353</v>
      </c>
      <c r="Y135" s="80" t="s">
        <v>353</v>
      </c>
      <c r="Z135" s="80" t="s">
        <v>353</v>
      </c>
      <c r="AA135" s="80" t="s">
        <v>353</v>
      </c>
      <c r="AB135" s="80" t="s">
        <v>353</v>
      </c>
      <c r="AC135" s="80" t="s">
        <v>353</v>
      </c>
      <c r="AD135" s="80" t="s">
        <v>353</v>
      </c>
      <c r="AE135" s="80" t="s">
        <v>353</v>
      </c>
      <c r="AF135" s="80" t="s">
        <v>353</v>
      </c>
      <c r="AG135" s="80" t="s">
        <v>353</v>
      </c>
      <c r="AH135" s="80" t="s">
        <v>353</v>
      </c>
      <c r="AI135" s="80" t="s">
        <v>353</v>
      </c>
      <c r="AJ135" s="80" t="s">
        <v>353</v>
      </c>
      <c r="AK135" s="80" t="s">
        <v>353</v>
      </c>
      <c r="AL135" s="81">
        <f>IF(E135="Sí",1,IF(E135="Parcial",0.5,0))+IF(F135="Sí",1,IF(F135="Parcial",0.5,0))+IF(G135="Sí",1,IF(G135="Parcial",0.5,0))+IF(H135="Sí",1,IF(H135="Parcial",0.5,0))</f>
        <v>0</v>
      </c>
      <c r="AM135" s="82">
        <f>IF(I135="Sí",1,IF(I135="Parcial",0.5,0))+IF(J135="Sí",1,IF(J135="Parcial",0.5,0))+IF(K135="Sí",1,IF(K135="Parcial",0.5,0))</f>
        <v>0</v>
      </c>
      <c r="AN135" s="83">
        <f>IF(L135="Sí",1,IF(L135="Parcial",0.5,0))+IF(M135="Sí",1,IF(M135="Parcial",0.5,0))+IF(N135="Sí",1,IF(N135="Parcial",0.5,0))+IF(O135="Sí",1,IF(O135="Parcial",0.5,0))</f>
        <v>0</v>
      </c>
      <c r="AO135" s="84">
        <f>IF(P135="Sí",1,IF(P135="Parcial",0.5,0))+IF(Q135="Sí",1,IF(Q135="Parcial",0.5,0))+IF(R135="Sí",1,IF(R135="Parcial",0.5,0))+IF(S135="Sí",1,IF(S135="Parcial",0.5,0))+IF(T135="Sí",1,IF(T135="Parcial",0.5,0))+IF(U135="Sí",1,IF(U135="Parcial",0.5,0))</f>
        <v>1</v>
      </c>
      <c r="AP135" s="85">
        <f>IF(V135="Sí",1,IF(V135="Parcial",0.5,0))+IF(W135="Sí",1,IF(W135="Parcial",0.5,0))+IF(X135="Sí",1,IF(X135="Parcial",0.5,0))+IF(Y135="Sí",1,IF(Y135="Parcial",0.5,0))</f>
        <v>0</v>
      </c>
      <c r="AQ135" s="86">
        <f>IF(Z135="Sí",1,IF(Z135="Parcial",0.5,0))+IF(AA135="Sí",1,IF(AA135="Parcial",0.5,0))+IF(AB135="Sí",1,IF(AB135="Parcial",0.5,0))</f>
        <v>0</v>
      </c>
      <c r="AR135" s="87">
        <f>IF(AC135="Sí",1,IF(AC135="Parcial",0.5,0))+IF(AD135="Sí",1,IF(AD135="Parcial",0.5,0))+IF(AE135="Sí",1,IF(AE135="Parcial",0.5,0))</f>
        <v>0</v>
      </c>
      <c r="AS135" s="88">
        <f>IF(AF135="Sí",1,IF(AF135="Parcial",0.5,0))+IF(AG135="Sí",1,IF(AG135="Parcial",0.5,0))+IF(AH135="Sí",1,IF(AH135="Parcial",0.5,0))</f>
        <v>0</v>
      </c>
      <c r="AT135" s="89">
        <f>IF(AI135="Sí",1,IF(AI135="Parcial",0.5,0))+IF(AJ135="Sí",1,IF(AJ135="Parcial",0.5,0))+IF(AK135="Sí",1,IF(AK135="Parcial",0.5,0))</f>
        <v>0</v>
      </c>
      <c r="AU135" s="90">
        <f>SUM(AL135,AM135,AN135,AO135,AP135,AQ135,AR135,AS135,AT135)</f>
        <v>1</v>
      </c>
      <c r="AV135" s="225">
        <f>IFERROR(IF(OR(A135="",AU135=0),"",AU135/(IF(AL135&gt;0,1,0)+IF(AM135&gt;0,1,0)+IF(AN135&gt;0,1,0)+IF(AO135&gt;0,1,0)+IF(AP135&gt;0,1,0)+IF(AQ135&gt;0,1,0)+IF(AR135&gt;0,1,0)+IF(AS135&gt;0,1,0)+IF(AT135&gt;0,1,0))),"")</f>
        <v>1</v>
      </c>
      <c r="AW135" s="225">
        <f>IFERROR(IF(OR(A135="",AU135=""),"",IF(AND(MAX($AU$8:$AU$156)=0,MAX($AV$8:$AV$156)=0),"",0.5*(AU135/MAX($AU$8:$AU$156))+0.5*(AV135/MAX($AV$8:$AV$156)))),"")</f>
        <v>0.18055555555555555</v>
      </c>
      <c r="AX135" s="79" t="str">
        <f>IF(A135="","",IF((IF(AL135&gt;=1,1,0)+IF(AM135&gt;=1,1,0)+IF(AN135&gt;=1,1,0)+IF(AO135&gt;=1,1,0)+IF(AP135&gt;=1,1,0)+IF(AQ135&gt;=1,1,0)+IF(AR135&gt;=1,1,0)+IF(AS135&gt;=1,1,0)+IF(AT135&gt;=1,1,0))&gt;=5,"Diversificado (5+ verticales)",IF((IF(AL135&gt;=1,1,0)+IF(AM135&gt;=1,1,0)+IF(AN135&gt;=1,1,0)+IF(AO135&gt;=1,1,0)+IF(AP135&gt;=1,1,0)+IF(AQ135&gt;=1,1,0)+IF(AR135&gt;=1,1,0)+IF(AS135&gt;=1,1,0)+IF(AT135&gt;=1,1,0))&gt;=3,"Multi-capacidad (3-4 verticales)",IF((IF(AL135&gt;=1,1,0)+IF(AM135&gt;=1,1,0)+IF(AN135&gt;=1,1,0)+IF(AO135&gt;=1,1,0)+IF(AP135&gt;=1,1,0)+IF(AQ135&gt;=1,1,0)+IF(AR135&gt;=1,1,0)+IF(AS135&gt;=1,1,0)+IF(AT135&gt;=1,1,0))&gt;=1,"Especialista (1-2 verticales)","Sin función mapeada"))))</f>
        <v>Especialista (1-2 verticales)</v>
      </c>
    </row>
    <row r="136" spans="1:50" ht="24" customHeight="1" x14ac:dyDescent="0.2">
      <c r="A136" s="48" t="s">
        <v>1216</v>
      </c>
      <c r="B136" s="48" t="s">
        <v>1217</v>
      </c>
      <c r="C136" s="78" t="str">
        <f>IF(A136="","",IFERROR(INDEX('UNIVERSO MAESTRO'!$C$6:$C$497,MATCH(A136,'UNIVERSO MAESTRO'!$A$6:$A$497,0)),"⚠ ID no encontrado"))</f>
        <v>Promofut S.A. de C.V.</v>
      </c>
      <c r="D136" s="79" t="str">
        <f>IF(A136="","",IFERROR(INDEX('UNIVERSO MAESTRO'!$D$6:$D$497,MATCH(A136,'UNIVERSO MAESTRO'!$A$6:$A$497,0)),""))</f>
        <v>V4</v>
      </c>
      <c r="E136" s="80" t="s">
        <v>353</v>
      </c>
      <c r="F136" s="80" t="s">
        <v>353</v>
      </c>
      <c r="G136" s="80" t="s">
        <v>353</v>
      </c>
      <c r="H136" s="80" t="s">
        <v>353</v>
      </c>
      <c r="I136" s="80" t="s">
        <v>353</v>
      </c>
      <c r="J136" s="80" t="s">
        <v>353</v>
      </c>
      <c r="K136" s="80" t="s">
        <v>353</v>
      </c>
      <c r="L136" s="80" t="s">
        <v>353</v>
      </c>
      <c r="M136" s="80" t="s">
        <v>353</v>
      </c>
      <c r="N136" s="80" t="s">
        <v>353</v>
      </c>
      <c r="O136" s="80" t="s">
        <v>353</v>
      </c>
      <c r="P136" s="80" t="s">
        <v>353</v>
      </c>
      <c r="Q136" s="80" t="s">
        <v>353</v>
      </c>
      <c r="R136" s="80" t="s">
        <v>353</v>
      </c>
      <c r="S136" s="80" t="s">
        <v>353</v>
      </c>
      <c r="T136" s="80" t="s">
        <v>1530</v>
      </c>
      <c r="U136" s="80" t="s">
        <v>353</v>
      </c>
      <c r="V136" s="80" t="s">
        <v>353</v>
      </c>
      <c r="W136" s="80" t="s">
        <v>353</v>
      </c>
      <c r="X136" s="80" t="s">
        <v>353</v>
      </c>
      <c r="Y136" s="80" t="s">
        <v>353</v>
      </c>
      <c r="Z136" s="80" t="s">
        <v>353</v>
      </c>
      <c r="AA136" s="80" t="s">
        <v>353</v>
      </c>
      <c r="AB136" s="80" t="s">
        <v>353</v>
      </c>
      <c r="AC136" s="80" t="s">
        <v>353</v>
      </c>
      <c r="AD136" s="80" t="s">
        <v>353</v>
      </c>
      <c r="AE136" s="80" t="s">
        <v>353</v>
      </c>
      <c r="AF136" s="80" t="s">
        <v>353</v>
      </c>
      <c r="AG136" s="80" t="s">
        <v>353</v>
      </c>
      <c r="AH136" s="80" t="s">
        <v>353</v>
      </c>
      <c r="AI136" s="80" t="s">
        <v>353</v>
      </c>
      <c r="AJ136" s="80" t="s">
        <v>353</v>
      </c>
      <c r="AK136" s="80" t="s">
        <v>353</v>
      </c>
      <c r="AL136" s="81">
        <f>IF(E136="Sí",1,IF(E136="Parcial",0.5,0))+IF(F136="Sí",1,IF(F136="Parcial",0.5,0))+IF(G136="Sí",1,IF(G136="Parcial",0.5,0))+IF(H136="Sí",1,IF(H136="Parcial",0.5,0))</f>
        <v>0</v>
      </c>
      <c r="AM136" s="82">
        <f>IF(I136="Sí",1,IF(I136="Parcial",0.5,0))+IF(J136="Sí",1,IF(J136="Parcial",0.5,0))+IF(K136="Sí",1,IF(K136="Parcial",0.5,0))</f>
        <v>0</v>
      </c>
      <c r="AN136" s="83">
        <f>IF(L136="Sí",1,IF(L136="Parcial",0.5,0))+IF(M136="Sí",1,IF(M136="Parcial",0.5,0))+IF(N136="Sí",1,IF(N136="Parcial",0.5,0))+IF(O136="Sí",1,IF(O136="Parcial",0.5,0))</f>
        <v>0</v>
      </c>
      <c r="AO136" s="84">
        <f>IF(P136="Sí",1,IF(P136="Parcial",0.5,0))+IF(Q136="Sí",1,IF(Q136="Parcial",0.5,0))+IF(R136="Sí",1,IF(R136="Parcial",0.5,0))+IF(S136="Sí",1,IF(S136="Parcial",0.5,0))+IF(T136="Sí",1,IF(T136="Parcial",0.5,0))+IF(U136="Sí",1,IF(U136="Parcial",0.5,0))</f>
        <v>1</v>
      </c>
      <c r="AP136" s="85">
        <f>IF(V136="Sí",1,IF(V136="Parcial",0.5,0))+IF(W136="Sí",1,IF(W136="Parcial",0.5,0))+IF(X136="Sí",1,IF(X136="Parcial",0.5,0))+IF(Y136="Sí",1,IF(Y136="Parcial",0.5,0))</f>
        <v>0</v>
      </c>
      <c r="AQ136" s="86">
        <f>IF(Z136="Sí",1,IF(Z136="Parcial",0.5,0))+IF(AA136="Sí",1,IF(AA136="Parcial",0.5,0))+IF(AB136="Sí",1,IF(AB136="Parcial",0.5,0))</f>
        <v>0</v>
      </c>
      <c r="AR136" s="87">
        <f>IF(AC136="Sí",1,IF(AC136="Parcial",0.5,0))+IF(AD136="Sí",1,IF(AD136="Parcial",0.5,0))+IF(AE136="Sí",1,IF(AE136="Parcial",0.5,0))</f>
        <v>0</v>
      </c>
      <c r="AS136" s="88">
        <f>IF(AF136="Sí",1,IF(AF136="Parcial",0.5,0))+IF(AG136="Sí",1,IF(AG136="Parcial",0.5,0))+IF(AH136="Sí",1,IF(AH136="Parcial",0.5,0))</f>
        <v>0</v>
      </c>
      <c r="AT136" s="89">
        <f>IF(AI136="Sí",1,IF(AI136="Parcial",0.5,0))+IF(AJ136="Sí",1,IF(AJ136="Parcial",0.5,0))+IF(AK136="Sí",1,IF(AK136="Parcial",0.5,0))</f>
        <v>0</v>
      </c>
      <c r="AU136" s="90">
        <f>SUM(AL136,AM136,AN136,AO136,AP136,AQ136,AR136,AS136,AT136)</f>
        <v>1</v>
      </c>
      <c r="AV136" s="225">
        <f>IFERROR(IF(OR(A136="",AU136=0),"",AU136/(IF(AL136&gt;0,1,0)+IF(AM136&gt;0,1,0)+IF(AN136&gt;0,1,0)+IF(AO136&gt;0,1,0)+IF(AP136&gt;0,1,0)+IF(AQ136&gt;0,1,0)+IF(AR136&gt;0,1,0)+IF(AS136&gt;0,1,0)+IF(AT136&gt;0,1,0))),"")</f>
        <v>1</v>
      </c>
      <c r="AW136" s="225">
        <f>IFERROR(IF(OR(A136="",AU136=""),"",IF(AND(MAX($AU$8:$AU$156)=0,MAX($AV$8:$AV$156)=0),"",0.5*(AU136/MAX($AU$8:$AU$156))+0.5*(AV136/MAX($AV$8:$AV$156)))),"")</f>
        <v>0.18055555555555555</v>
      </c>
      <c r="AX136" s="79" t="str">
        <f>IF(A136="","",IF((IF(AL136&gt;=1,1,0)+IF(AM136&gt;=1,1,0)+IF(AN136&gt;=1,1,0)+IF(AO136&gt;=1,1,0)+IF(AP136&gt;=1,1,0)+IF(AQ136&gt;=1,1,0)+IF(AR136&gt;=1,1,0)+IF(AS136&gt;=1,1,0)+IF(AT136&gt;=1,1,0))&gt;=5,"Diversificado (5+ verticales)",IF((IF(AL136&gt;=1,1,0)+IF(AM136&gt;=1,1,0)+IF(AN136&gt;=1,1,0)+IF(AO136&gt;=1,1,0)+IF(AP136&gt;=1,1,0)+IF(AQ136&gt;=1,1,0)+IF(AR136&gt;=1,1,0)+IF(AS136&gt;=1,1,0)+IF(AT136&gt;=1,1,0))&gt;=3,"Multi-capacidad (3-4 verticales)",IF((IF(AL136&gt;=1,1,0)+IF(AM136&gt;=1,1,0)+IF(AN136&gt;=1,1,0)+IF(AO136&gt;=1,1,0)+IF(AP136&gt;=1,1,0)+IF(AQ136&gt;=1,1,0)+IF(AR136&gt;=1,1,0)+IF(AS136&gt;=1,1,0)+IF(AT136&gt;=1,1,0))&gt;=1,"Especialista (1-2 verticales)","Sin función mapeada"))))</f>
        <v>Especialista (1-2 verticales)</v>
      </c>
    </row>
    <row r="137" spans="1:50" ht="24" customHeight="1" x14ac:dyDescent="0.2">
      <c r="A137" s="48" t="s">
        <v>1226</v>
      </c>
      <c r="B137" s="48" t="s">
        <v>1227</v>
      </c>
      <c r="C137" s="78" t="str">
        <f>IF(A137="","",IFERROR(INDEX('UNIVERSO MAESTRO'!$C$6:$C$497,MATCH(A137,'UNIVERSO MAESTRO'!$A$6:$A$497,0)),"⚠ ID no encontrado"))</f>
        <v>Publicidad Virtual</v>
      </c>
      <c r="D137" s="79" t="str">
        <f>IF(A137="","",IFERROR(INDEX('UNIVERSO MAESTRO'!$D$6:$D$497,MATCH(A137,'UNIVERSO MAESTRO'!$A$6:$A$497,0)),""))</f>
        <v>V8</v>
      </c>
      <c r="E137" s="80" t="s">
        <v>353</v>
      </c>
      <c r="F137" s="80" t="s">
        <v>353</v>
      </c>
      <c r="G137" s="80" t="s">
        <v>353</v>
      </c>
      <c r="H137" s="80" t="s">
        <v>353</v>
      </c>
      <c r="I137" s="80" t="s">
        <v>353</v>
      </c>
      <c r="J137" s="80" t="s">
        <v>353</v>
      </c>
      <c r="K137" s="80" t="s">
        <v>353</v>
      </c>
      <c r="L137" s="80" t="s">
        <v>353</v>
      </c>
      <c r="M137" s="80" t="s">
        <v>353</v>
      </c>
      <c r="N137" s="80" t="s">
        <v>353</v>
      </c>
      <c r="O137" s="80" t="s">
        <v>353</v>
      </c>
      <c r="P137" s="80" t="s">
        <v>353</v>
      </c>
      <c r="Q137" s="80" t="s">
        <v>353</v>
      </c>
      <c r="R137" s="80" t="s">
        <v>353</v>
      </c>
      <c r="S137" s="80" t="s">
        <v>353</v>
      </c>
      <c r="T137" s="80" t="s">
        <v>353</v>
      </c>
      <c r="U137" s="80" t="s">
        <v>353</v>
      </c>
      <c r="V137" s="80" t="s">
        <v>353</v>
      </c>
      <c r="W137" s="80" t="s">
        <v>353</v>
      </c>
      <c r="X137" s="80" t="s">
        <v>353</v>
      </c>
      <c r="Y137" s="80" t="s">
        <v>353</v>
      </c>
      <c r="Z137" s="80" t="s">
        <v>353</v>
      </c>
      <c r="AA137" s="80" t="s">
        <v>353</v>
      </c>
      <c r="AB137" s="80" t="s">
        <v>353</v>
      </c>
      <c r="AC137" s="80" t="s">
        <v>353</v>
      </c>
      <c r="AD137" s="80" t="s">
        <v>353</v>
      </c>
      <c r="AE137" s="80" t="s">
        <v>353</v>
      </c>
      <c r="AF137" s="80" t="s">
        <v>353</v>
      </c>
      <c r="AG137" s="80" t="s">
        <v>1530</v>
      </c>
      <c r="AH137" s="80" t="s">
        <v>353</v>
      </c>
      <c r="AI137" s="80" t="s">
        <v>353</v>
      </c>
      <c r="AJ137" s="80" t="s">
        <v>353</v>
      </c>
      <c r="AK137" s="80" t="s">
        <v>353</v>
      </c>
      <c r="AL137" s="81">
        <f>IF(E137="Sí",1,IF(E137="Parcial",0.5,0))+IF(F137="Sí",1,IF(F137="Parcial",0.5,0))+IF(G137="Sí",1,IF(G137="Parcial",0.5,0))+IF(H137="Sí",1,IF(H137="Parcial",0.5,0))</f>
        <v>0</v>
      </c>
      <c r="AM137" s="82">
        <f>IF(I137="Sí",1,IF(I137="Parcial",0.5,0))+IF(J137="Sí",1,IF(J137="Parcial",0.5,0))+IF(K137="Sí",1,IF(K137="Parcial",0.5,0))</f>
        <v>0</v>
      </c>
      <c r="AN137" s="83">
        <f>IF(L137="Sí",1,IF(L137="Parcial",0.5,0))+IF(M137="Sí",1,IF(M137="Parcial",0.5,0))+IF(N137="Sí",1,IF(N137="Parcial",0.5,0))+IF(O137="Sí",1,IF(O137="Parcial",0.5,0))</f>
        <v>0</v>
      </c>
      <c r="AO137" s="84">
        <f>IF(P137="Sí",1,IF(P137="Parcial",0.5,0))+IF(Q137="Sí",1,IF(Q137="Parcial",0.5,0))+IF(R137="Sí",1,IF(R137="Parcial",0.5,0))+IF(S137="Sí",1,IF(S137="Parcial",0.5,0))+IF(T137="Sí",1,IF(T137="Parcial",0.5,0))+IF(U137="Sí",1,IF(U137="Parcial",0.5,0))</f>
        <v>0</v>
      </c>
      <c r="AP137" s="85">
        <f>IF(V137="Sí",1,IF(V137="Parcial",0.5,0))+IF(W137="Sí",1,IF(W137="Parcial",0.5,0))+IF(X137="Sí",1,IF(X137="Parcial",0.5,0))+IF(Y137="Sí",1,IF(Y137="Parcial",0.5,0))</f>
        <v>0</v>
      </c>
      <c r="AQ137" s="86">
        <f>IF(Z137="Sí",1,IF(Z137="Parcial",0.5,0))+IF(AA137="Sí",1,IF(AA137="Parcial",0.5,0))+IF(AB137="Sí",1,IF(AB137="Parcial",0.5,0))</f>
        <v>0</v>
      </c>
      <c r="AR137" s="87">
        <f>IF(AC137="Sí",1,IF(AC137="Parcial",0.5,0))+IF(AD137="Sí",1,IF(AD137="Parcial",0.5,0))+IF(AE137="Sí",1,IF(AE137="Parcial",0.5,0))</f>
        <v>0</v>
      </c>
      <c r="AS137" s="88">
        <f>IF(AF137="Sí",1,IF(AF137="Parcial",0.5,0))+IF(AG137="Sí",1,IF(AG137="Parcial",0.5,0))+IF(AH137="Sí",1,IF(AH137="Parcial",0.5,0))</f>
        <v>1</v>
      </c>
      <c r="AT137" s="89">
        <f>IF(AI137="Sí",1,IF(AI137="Parcial",0.5,0))+IF(AJ137="Sí",1,IF(AJ137="Parcial",0.5,0))+IF(AK137="Sí",1,IF(AK137="Parcial",0.5,0))</f>
        <v>0</v>
      </c>
      <c r="AU137" s="90">
        <f>SUM(AL137,AM137,AN137,AO137,AP137,AQ137,AR137,AS137,AT137)</f>
        <v>1</v>
      </c>
      <c r="AV137" s="225">
        <f>IFERROR(IF(OR(A137="",AU137=0),"",AU137/(IF(AL137&gt;0,1,0)+IF(AM137&gt;0,1,0)+IF(AN137&gt;0,1,0)+IF(AO137&gt;0,1,0)+IF(AP137&gt;0,1,0)+IF(AQ137&gt;0,1,0)+IF(AR137&gt;0,1,0)+IF(AS137&gt;0,1,0)+IF(AT137&gt;0,1,0))),"")</f>
        <v>1</v>
      </c>
      <c r="AW137" s="225">
        <f>IFERROR(IF(OR(A137="",AU137=""),"",IF(AND(MAX($AU$8:$AU$156)=0,MAX($AV$8:$AV$156)=0),"",0.5*(AU137/MAX($AU$8:$AU$156))+0.5*(AV137/MAX($AV$8:$AV$156)))),"")</f>
        <v>0.18055555555555555</v>
      </c>
      <c r="AX137" s="79" t="str">
        <f>IF(A137="","",IF((IF(AL137&gt;=1,1,0)+IF(AM137&gt;=1,1,0)+IF(AN137&gt;=1,1,0)+IF(AO137&gt;=1,1,0)+IF(AP137&gt;=1,1,0)+IF(AQ137&gt;=1,1,0)+IF(AR137&gt;=1,1,0)+IF(AS137&gt;=1,1,0)+IF(AT137&gt;=1,1,0))&gt;=5,"Diversificado (5+ verticales)",IF((IF(AL137&gt;=1,1,0)+IF(AM137&gt;=1,1,0)+IF(AN137&gt;=1,1,0)+IF(AO137&gt;=1,1,0)+IF(AP137&gt;=1,1,0)+IF(AQ137&gt;=1,1,0)+IF(AR137&gt;=1,1,0)+IF(AS137&gt;=1,1,0)+IF(AT137&gt;=1,1,0))&gt;=3,"Multi-capacidad (3-4 verticales)",IF((IF(AL137&gt;=1,1,0)+IF(AM137&gt;=1,1,0)+IF(AN137&gt;=1,1,0)+IF(AO137&gt;=1,1,0)+IF(AP137&gt;=1,1,0)+IF(AQ137&gt;=1,1,0)+IF(AR137&gt;=1,1,0)+IF(AS137&gt;=1,1,0)+IF(AT137&gt;=1,1,0))&gt;=1,"Especialista (1-2 verticales)","Sin función mapeada"))))</f>
        <v>Especialista (1-2 verticales)</v>
      </c>
    </row>
    <row r="138" spans="1:50" ht="24" customHeight="1" x14ac:dyDescent="0.2">
      <c r="A138" s="48" t="s">
        <v>1235</v>
      </c>
      <c r="B138" s="48" t="s">
        <v>1236</v>
      </c>
      <c r="C138" s="78" t="str">
        <f>IF(A138="","",IFERROR(INDEX('UNIVERSO MAESTRO'!$C$6:$C$497,MATCH(A138,'UNIVERSO MAESTRO'!$A$6:$A$497,0)),"⚠ ID no encontrado"))</f>
        <v>Puma</v>
      </c>
      <c r="D138" s="79" t="str">
        <f>IF(A138="","",IFERROR(INDEX('UNIVERSO MAESTRO'!$D$6:$D$497,MATCH(A138,'UNIVERSO MAESTRO'!$A$6:$A$497,0)),""))</f>
        <v>V3</v>
      </c>
      <c r="E138" s="80" t="s">
        <v>353</v>
      </c>
      <c r="F138" s="80" t="s">
        <v>353</v>
      </c>
      <c r="G138" s="80" t="s">
        <v>353</v>
      </c>
      <c r="H138" s="80" t="s">
        <v>353</v>
      </c>
      <c r="I138" s="80" t="s">
        <v>353</v>
      </c>
      <c r="J138" s="80" t="s">
        <v>353</v>
      </c>
      <c r="K138" s="80" t="s">
        <v>353</v>
      </c>
      <c r="L138" s="80" t="s">
        <v>1530</v>
      </c>
      <c r="M138" s="80" t="s">
        <v>353</v>
      </c>
      <c r="N138" s="80" t="s">
        <v>353</v>
      </c>
      <c r="O138" s="80" t="s">
        <v>353</v>
      </c>
      <c r="P138" s="80" t="s">
        <v>353</v>
      </c>
      <c r="Q138" s="80" t="s">
        <v>353</v>
      </c>
      <c r="R138" s="80" t="s">
        <v>353</v>
      </c>
      <c r="S138" s="80" t="s">
        <v>353</v>
      </c>
      <c r="T138" s="80" t="s">
        <v>353</v>
      </c>
      <c r="U138" s="80" t="s">
        <v>353</v>
      </c>
      <c r="V138" s="80" t="s">
        <v>353</v>
      </c>
      <c r="W138" s="80" t="s">
        <v>353</v>
      </c>
      <c r="X138" s="80" t="s">
        <v>353</v>
      </c>
      <c r="Y138" s="80" t="s">
        <v>353</v>
      </c>
      <c r="Z138" s="80" t="s">
        <v>353</v>
      </c>
      <c r="AA138" s="80" t="s">
        <v>353</v>
      </c>
      <c r="AB138" s="80" t="s">
        <v>353</v>
      </c>
      <c r="AC138" s="80" t="s">
        <v>353</v>
      </c>
      <c r="AD138" s="80" t="s">
        <v>353</v>
      </c>
      <c r="AE138" s="80" t="s">
        <v>353</v>
      </c>
      <c r="AF138" s="80" t="s">
        <v>353</v>
      </c>
      <c r="AG138" s="80" t="s">
        <v>353</v>
      </c>
      <c r="AH138" s="80" t="s">
        <v>353</v>
      </c>
      <c r="AI138" s="80" t="s">
        <v>353</v>
      </c>
      <c r="AJ138" s="80" t="s">
        <v>353</v>
      </c>
      <c r="AK138" s="80" t="s">
        <v>353</v>
      </c>
      <c r="AL138" s="81">
        <f>IF(E138="Sí",1,IF(E138="Parcial",0.5,0))+IF(F138="Sí",1,IF(F138="Parcial",0.5,0))+IF(G138="Sí",1,IF(G138="Parcial",0.5,0))+IF(H138="Sí",1,IF(H138="Parcial",0.5,0))</f>
        <v>0</v>
      </c>
      <c r="AM138" s="82">
        <f>IF(I138="Sí",1,IF(I138="Parcial",0.5,0))+IF(J138="Sí",1,IF(J138="Parcial",0.5,0))+IF(K138="Sí",1,IF(K138="Parcial",0.5,0))</f>
        <v>0</v>
      </c>
      <c r="AN138" s="83">
        <f>IF(L138="Sí",1,IF(L138="Parcial",0.5,0))+IF(M138="Sí",1,IF(M138="Parcial",0.5,0))+IF(N138="Sí",1,IF(N138="Parcial",0.5,0))+IF(O138="Sí",1,IF(O138="Parcial",0.5,0))</f>
        <v>1</v>
      </c>
      <c r="AO138" s="84">
        <f>IF(P138="Sí",1,IF(P138="Parcial",0.5,0))+IF(Q138="Sí",1,IF(Q138="Parcial",0.5,0))+IF(R138="Sí",1,IF(R138="Parcial",0.5,0))+IF(S138="Sí",1,IF(S138="Parcial",0.5,0))+IF(T138="Sí",1,IF(T138="Parcial",0.5,0))+IF(U138="Sí",1,IF(U138="Parcial",0.5,0))</f>
        <v>0</v>
      </c>
      <c r="AP138" s="85">
        <f>IF(V138="Sí",1,IF(V138="Parcial",0.5,0))+IF(W138="Sí",1,IF(W138="Parcial",0.5,0))+IF(X138="Sí",1,IF(X138="Parcial",0.5,0))+IF(Y138="Sí",1,IF(Y138="Parcial",0.5,0))</f>
        <v>0</v>
      </c>
      <c r="AQ138" s="86">
        <f>IF(Z138="Sí",1,IF(Z138="Parcial",0.5,0))+IF(AA138="Sí",1,IF(AA138="Parcial",0.5,0))+IF(AB138="Sí",1,IF(AB138="Parcial",0.5,0))</f>
        <v>0</v>
      </c>
      <c r="AR138" s="87">
        <f>IF(AC138="Sí",1,IF(AC138="Parcial",0.5,0))+IF(AD138="Sí",1,IF(AD138="Parcial",0.5,0))+IF(AE138="Sí",1,IF(AE138="Parcial",0.5,0))</f>
        <v>0</v>
      </c>
      <c r="AS138" s="88">
        <f>IF(AF138="Sí",1,IF(AF138="Parcial",0.5,0))+IF(AG138="Sí",1,IF(AG138="Parcial",0.5,0))+IF(AH138="Sí",1,IF(AH138="Parcial",0.5,0))</f>
        <v>0</v>
      </c>
      <c r="AT138" s="89">
        <f>IF(AI138="Sí",1,IF(AI138="Parcial",0.5,0))+IF(AJ138="Sí",1,IF(AJ138="Parcial",0.5,0))+IF(AK138="Sí",1,IF(AK138="Parcial",0.5,0))</f>
        <v>0</v>
      </c>
      <c r="AU138" s="90">
        <f>SUM(AL138,AM138,AN138,AO138,AP138,AQ138,AR138,AS138,AT138)</f>
        <v>1</v>
      </c>
      <c r="AV138" s="225">
        <f>IFERROR(IF(OR(A138="",AU138=0),"",AU138/(IF(AL138&gt;0,1,0)+IF(AM138&gt;0,1,0)+IF(AN138&gt;0,1,0)+IF(AO138&gt;0,1,0)+IF(AP138&gt;0,1,0)+IF(AQ138&gt;0,1,0)+IF(AR138&gt;0,1,0)+IF(AS138&gt;0,1,0)+IF(AT138&gt;0,1,0))),"")</f>
        <v>1</v>
      </c>
      <c r="AW138" s="225">
        <f>IFERROR(IF(OR(A138="",AU138=""),"",IF(AND(MAX($AU$8:$AU$156)=0,MAX($AV$8:$AV$156)=0),"",0.5*(AU138/MAX($AU$8:$AU$156))+0.5*(AV138/MAX($AV$8:$AV$156)))),"")</f>
        <v>0.18055555555555555</v>
      </c>
      <c r="AX138" s="79" t="str">
        <f>IF(A138="","",IF((IF(AL138&gt;=1,1,0)+IF(AM138&gt;=1,1,0)+IF(AN138&gt;=1,1,0)+IF(AO138&gt;=1,1,0)+IF(AP138&gt;=1,1,0)+IF(AQ138&gt;=1,1,0)+IF(AR138&gt;=1,1,0)+IF(AS138&gt;=1,1,0)+IF(AT138&gt;=1,1,0))&gt;=5,"Diversificado (5+ verticales)",IF((IF(AL138&gt;=1,1,0)+IF(AM138&gt;=1,1,0)+IF(AN138&gt;=1,1,0)+IF(AO138&gt;=1,1,0)+IF(AP138&gt;=1,1,0)+IF(AQ138&gt;=1,1,0)+IF(AR138&gt;=1,1,0)+IF(AS138&gt;=1,1,0)+IF(AT138&gt;=1,1,0))&gt;=3,"Multi-capacidad (3-4 verticales)",IF((IF(AL138&gt;=1,1,0)+IF(AM138&gt;=1,1,0)+IF(AN138&gt;=1,1,0)+IF(AO138&gt;=1,1,0)+IF(AP138&gt;=1,1,0)+IF(AQ138&gt;=1,1,0)+IF(AR138&gt;=1,1,0)+IF(AS138&gt;=1,1,0)+IF(AT138&gt;=1,1,0))&gt;=1,"Especialista (1-2 verticales)","Sin función mapeada"))))</f>
        <v>Especialista (1-2 verticales)</v>
      </c>
    </row>
    <row r="139" spans="1:50" ht="24" customHeight="1" x14ac:dyDescent="0.2">
      <c r="A139" s="48" t="s">
        <v>1273</v>
      </c>
      <c r="B139" s="48" t="s">
        <v>1274</v>
      </c>
      <c r="C139" s="78" t="str">
        <f>IF(A139="","",IFERROR(INDEX('UNIVERSO MAESTRO'!$C$6:$C$497,MATCH(A139,'UNIVERSO MAESTRO'!$A$6:$A$497,0)),"⚠ ID no encontrado"))</f>
        <v>Salesforce</v>
      </c>
      <c r="D139" s="79" t="str">
        <f>IF(A139="","",IFERROR(INDEX('UNIVERSO MAESTRO'!$D$6:$D$497,MATCH(A139,'UNIVERSO MAESTRO'!$A$6:$A$497,0)),""))</f>
        <v>V8</v>
      </c>
      <c r="E139" s="80" t="s">
        <v>353</v>
      </c>
      <c r="F139" s="80" t="s">
        <v>353</v>
      </c>
      <c r="G139" s="80" t="s">
        <v>353</v>
      </c>
      <c r="H139" s="80" t="s">
        <v>353</v>
      </c>
      <c r="I139" s="80" t="s">
        <v>353</v>
      </c>
      <c r="J139" s="80" t="s">
        <v>353</v>
      </c>
      <c r="K139" s="80" t="s">
        <v>353</v>
      </c>
      <c r="L139" s="80" t="s">
        <v>353</v>
      </c>
      <c r="M139" s="80" t="s">
        <v>353</v>
      </c>
      <c r="N139" s="80" t="s">
        <v>353</v>
      </c>
      <c r="O139" s="80" t="s">
        <v>353</v>
      </c>
      <c r="P139" s="80" t="s">
        <v>353</v>
      </c>
      <c r="Q139" s="80" t="s">
        <v>353</v>
      </c>
      <c r="R139" s="80" t="s">
        <v>353</v>
      </c>
      <c r="S139" s="80" t="s">
        <v>353</v>
      </c>
      <c r="T139" s="80" t="s">
        <v>353</v>
      </c>
      <c r="U139" s="80" t="s">
        <v>353</v>
      </c>
      <c r="V139" s="80" t="s">
        <v>353</v>
      </c>
      <c r="W139" s="80" t="s">
        <v>353</v>
      </c>
      <c r="X139" s="80" t="s">
        <v>353</v>
      </c>
      <c r="Y139" s="80" t="s">
        <v>353</v>
      </c>
      <c r="Z139" s="80" t="s">
        <v>353</v>
      </c>
      <c r="AA139" s="80" t="s">
        <v>353</v>
      </c>
      <c r="AB139" s="80" t="s">
        <v>353</v>
      </c>
      <c r="AC139" s="80" t="s">
        <v>353</v>
      </c>
      <c r="AD139" s="80" t="s">
        <v>353</v>
      </c>
      <c r="AE139" s="80" t="s">
        <v>353</v>
      </c>
      <c r="AF139" s="80" t="s">
        <v>353</v>
      </c>
      <c r="AG139" s="80" t="s">
        <v>1530</v>
      </c>
      <c r="AH139" s="80" t="s">
        <v>353</v>
      </c>
      <c r="AI139" s="80" t="s">
        <v>353</v>
      </c>
      <c r="AJ139" s="80" t="s">
        <v>353</v>
      </c>
      <c r="AK139" s="80" t="s">
        <v>353</v>
      </c>
      <c r="AL139" s="81">
        <f>IF(E139="Sí",1,IF(E139="Parcial",0.5,0))+IF(F139="Sí",1,IF(F139="Parcial",0.5,0))+IF(G139="Sí",1,IF(G139="Parcial",0.5,0))+IF(H139="Sí",1,IF(H139="Parcial",0.5,0))</f>
        <v>0</v>
      </c>
      <c r="AM139" s="82">
        <f>IF(I139="Sí",1,IF(I139="Parcial",0.5,0))+IF(J139="Sí",1,IF(J139="Parcial",0.5,0))+IF(K139="Sí",1,IF(K139="Parcial",0.5,0))</f>
        <v>0</v>
      </c>
      <c r="AN139" s="83">
        <f>IF(L139="Sí",1,IF(L139="Parcial",0.5,0))+IF(M139="Sí",1,IF(M139="Parcial",0.5,0))+IF(N139="Sí",1,IF(N139="Parcial",0.5,0))+IF(O139="Sí",1,IF(O139="Parcial",0.5,0))</f>
        <v>0</v>
      </c>
      <c r="AO139" s="84">
        <f>IF(P139="Sí",1,IF(P139="Parcial",0.5,0))+IF(Q139="Sí",1,IF(Q139="Parcial",0.5,0))+IF(R139="Sí",1,IF(R139="Parcial",0.5,0))+IF(S139="Sí",1,IF(S139="Parcial",0.5,0))+IF(T139="Sí",1,IF(T139="Parcial",0.5,0))+IF(U139="Sí",1,IF(U139="Parcial",0.5,0))</f>
        <v>0</v>
      </c>
      <c r="AP139" s="85">
        <f>IF(V139="Sí",1,IF(V139="Parcial",0.5,0))+IF(W139="Sí",1,IF(W139="Parcial",0.5,0))+IF(X139="Sí",1,IF(X139="Parcial",0.5,0))+IF(Y139="Sí",1,IF(Y139="Parcial",0.5,0))</f>
        <v>0</v>
      </c>
      <c r="AQ139" s="86">
        <f>IF(Z139="Sí",1,IF(Z139="Parcial",0.5,0))+IF(AA139="Sí",1,IF(AA139="Parcial",0.5,0))+IF(AB139="Sí",1,IF(AB139="Parcial",0.5,0))</f>
        <v>0</v>
      </c>
      <c r="AR139" s="87">
        <f>IF(AC139="Sí",1,IF(AC139="Parcial",0.5,0))+IF(AD139="Sí",1,IF(AD139="Parcial",0.5,0))+IF(AE139="Sí",1,IF(AE139="Parcial",0.5,0))</f>
        <v>0</v>
      </c>
      <c r="AS139" s="88">
        <f>IF(AF139="Sí",1,IF(AF139="Parcial",0.5,0))+IF(AG139="Sí",1,IF(AG139="Parcial",0.5,0))+IF(AH139="Sí",1,IF(AH139="Parcial",0.5,0))</f>
        <v>1</v>
      </c>
      <c r="AT139" s="89">
        <f>IF(AI139="Sí",1,IF(AI139="Parcial",0.5,0))+IF(AJ139="Sí",1,IF(AJ139="Parcial",0.5,0))+IF(AK139="Sí",1,IF(AK139="Parcial",0.5,0))</f>
        <v>0</v>
      </c>
      <c r="AU139" s="90">
        <f>SUM(AL139,AM139,AN139,AO139,AP139,AQ139,AR139,AS139,AT139)</f>
        <v>1</v>
      </c>
      <c r="AV139" s="225">
        <f>IFERROR(IF(OR(A139="",AU139=0),"",AU139/(IF(AL139&gt;0,1,0)+IF(AM139&gt;0,1,0)+IF(AN139&gt;0,1,0)+IF(AO139&gt;0,1,0)+IF(AP139&gt;0,1,0)+IF(AQ139&gt;0,1,0)+IF(AR139&gt;0,1,0)+IF(AS139&gt;0,1,0)+IF(AT139&gt;0,1,0))),"")</f>
        <v>1</v>
      </c>
      <c r="AW139" s="225">
        <f>IFERROR(IF(OR(A139="",AU139=""),"",IF(AND(MAX($AU$8:$AU$156)=0,MAX($AV$8:$AV$156)=0),"",0.5*(AU139/MAX($AU$8:$AU$156))+0.5*(AV139/MAX($AV$8:$AV$156)))),"")</f>
        <v>0.18055555555555555</v>
      </c>
      <c r="AX139" s="79" t="str">
        <f>IF(A139="","",IF((IF(AL139&gt;=1,1,0)+IF(AM139&gt;=1,1,0)+IF(AN139&gt;=1,1,0)+IF(AO139&gt;=1,1,0)+IF(AP139&gt;=1,1,0)+IF(AQ139&gt;=1,1,0)+IF(AR139&gt;=1,1,0)+IF(AS139&gt;=1,1,0)+IF(AT139&gt;=1,1,0))&gt;=5,"Diversificado (5+ verticales)",IF((IF(AL139&gt;=1,1,0)+IF(AM139&gt;=1,1,0)+IF(AN139&gt;=1,1,0)+IF(AO139&gt;=1,1,0)+IF(AP139&gt;=1,1,0)+IF(AQ139&gt;=1,1,0)+IF(AR139&gt;=1,1,0)+IF(AS139&gt;=1,1,0)+IF(AT139&gt;=1,1,0))&gt;=3,"Multi-capacidad (3-4 verticales)",IF((IF(AL139&gt;=1,1,0)+IF(AM139&gt;=1,1,0)+IF(AN139&gt;=1,1,0)+IF(AO139&gt;=1,1,0)+IF(AP139&gt;=1,1,0)+IF(AQ139&gt;=1,1,0)+IF(AR139&gt;=1,1,0)+IF(AS139&gt;=1,1,0)+IF(AT139&gt;=1,1,0))&gt;=1,"Especialista (1-2 verticales)","Sin función mapeada"))))</f>
        <v>Especialista (1-2 verticales)</v>
      </c>
    </row>
    <row r="140" spans="1:50" ht="24" customHeight="1" x14ac:dyDescent="0.2">
      <c r="A140" s="48" t="s">
        <v>1281</v>
      </c>
      <c r="B140" s="48" t="s">
        <v>1282</v>
      </c>
      <c r="C140" s="78" t="str">
        <f>IF(A140="","",IFERROR(INDEX('UNIVERSO MAESTRO'!$C$6:$C$497,MATCH(A140,'UNIVERSO MAESTRO'!$A$6:$A$497,0)),"⚠ ID no encontrado"))</f>
        <v>SAP (Sports One)</v>
      </c>
      <c r="D140" s="79" t="str">
        <f>IF(A140="","",IFERROR(INDEX('UNIVERSO MAESTRO'!$D$6:$D$497,MATCH(A140,'UNIVERSO MAESTRO'!$A$6:$A$497,0)),""))</f>
        <v>V8</v>
      </c>
      <c r="E140" s="80" t="s">
        <v>353</v>
      </c>
      <c r="F140" s="80" t="s">
        <v>353</v>
      </c>
      <c r="G140" s="80" t="s">
        <v>353</v>
      </c>
      <c r="H140" s="80" t="s">
        <v>353</v>
      </c>
      <c r="I140" s="80" t="s">
        <v>353</v>
      </c>
      <c r="J140" s="80" t="s">
        <v>353</v>
      </c>
      <c r="K140" s="80" t="s">
        <v>353</v>
      </c>
      <c r="L140" s="80" t="s">
        <v>353</v>
      </c>
      <c r="M140" s="80" t="s">
        <v>353</v>
      </c>
      <c r="N140" s="80" t="s">
        <v>353</v>
      </c>
      <c r="O140" s="80" t="s">
        <v>353</v>
      </c>
      <c r="P140" s="80" t="s">
        <v>353</v>
      </c>
      <c r="Q140" s="80" t="s">
        <v>353</v>
      </c>
      <c r="R140" s="80" t="s">
        <v>353</v>
      </c>
      <c r="S140" s="80" t="s">
        <v>353</v>
      </c>
      <c r="T140" s="80" t="s">
        <v>353</v>
      </c>
      <c r="U140" s="80" t="s">
        <v>353</v>
      </c>
      <c r="V140" s="80" t="s">
        <v>353</v>
      </c>
      <c r="W140" s="80" t="s">
        <v>353</v>
      </c>
      <c r="X140" s="80" t="s">
        <v>353</v>
      </c>
      <c r="Y140" s="80" t="s">
        <v>353</v>
      </c>
      <c r="Z140" s="80" t="s">
        <v>353</v>
      </c>
      <c r="AA140" s="80" t="s">
        <v>353</v>
      </c>
      <c r="AB140" s="80" t="s">
        <v>353</v>
      </c>
      <c r="AC140" s="80" t="s">
        <v>353</v>
      </c>
      <c r="AD140" s="80" t="s">
        <v>353</v>
      </c>
      <c r="AE140" s="80" t="s">
        <v>353</v>
      </c>
      <c r="AF140" s="80" t="s">
        <v>353</v>
      </c>
      <c r="AG140" s="80" t="s">
        <v>1530</v>
      </c>
      <c r="AH140" s="80" t="s">
        <v>353</v>
      </c>
      <c r="AI140" s="80" t="s">
        <v>353</v>
      </c>
      <c r="AJ140" s="80" t="s">
        <v>353</v>
      </c>
      <c r="AK140" s="80" t="s">
        <v>353</v>
      </c>
      <c r="AL140" s="81">
        <f>IF(E140="Sí",1,IF(E140="Parcial",0.5,0))+IF(F140="Sí",1,IF(F140="Parcial",0.5,0))+IF(G140="Sí",1,IF(G140="Parcial",0.5,0))+IF(H140="Sí",1,IF(H140="Parcial",0.5,0))</f>
        <v>0</v>
      </c>
      <c r="AM140" s="82">
        <f>IF(I140="Sí",1,IF(I140="Parcial",0.5,0))+IF(J140="Sí",1,IF(J140="Parcial",0.5,0))+IF(K140="Sí",1,IF(K140="Parcial",0.5,0))</f>
        <v>0</v>
      </c>
      <c r="AN140" s="83">
        <f>IF(L140="Sí",1,IF(L140="Parcial",0.5,0))+IF(M140="Sí",1,IF(M140="Parcial",0.5,0))+IF(N140="Sí",1,IF(N140="Parcial",0.5,0))+IF(O140="Sí",1,IF(O140="Parcial",0.5,0))</f>
        <v>0</v>
      </c>
      <c r="AO140" s="84">
        <f>IF(P140="Sí",1,IF(P140="Parcial",0.5,0))+IF(Q140="Sí",1,IF(Q140="Parcial",0.5,0))+IF(R140="Sí",1,IF(R140="Parcial",0.5,0))+IF(S140="Sí",1,IF(S140="Parcial",0.5,0))+IF(T140="Sí",1,IF(T140="Parcial",0.5,0))+IF(U140="Sí",1,IF(U140="Parcial",0.5,0))</f>
        <v>0</v>
      </c>
      <c r="AP140" s="85">
        <f>IF(V140="Sí",1,IF(V140="Parcial",0.5,0))+IF(W140="Sí",1,IF(W140="Parcial",0.5,0))+IF(X140="Sí",1,IF(X140="Parcial",0.5,0))+IF(Y140="Sí",1,IF(Y140="Parcial",0.5,0))</f>
        <v>0</v>
      </c>
      <c r="AQ140" s="86">
        <f>IF(Z140="Sí",1,IF(Z140="Parcial",0.5,0))+IF(AA140="Sí",1,IF(AA140="Parcial",0.5,0))+IF(AB140="Sí",1,IF(AB140="Parcial",0.5,0))</f>
        <v>0</v>
      </c>
      <c r="AR140" s="87">
        <f>IF(AC140="Sí",1,IF(AC140="Parcial",0.5,0))+IF(AD140="Sí",1,IF(AD140="Parcial",0.5,0))+IF(AE140="Sí",1,IF(AE140="Parcial",0.5,0))</f>
        <v>0</v>
      </c>
      <c r="AS140" s="88">
        <f>IF(AF140="Sí",1,IF(AF140="Parcial",0.5,0))+IF(AG140="Sí",1,IF(AG140="Parcial",0.5,0))+IF(AH140="Sí",1,IF(AH140="Parcial",0.5,0))</f>
        <v>1</v>
      </c>
      <c r="AT140" s="89">
        <f>IF(AI140="Sí",1,IF(AI140="Parcial",0.5,0))+IF(AJ140="Sí",1,IF(AJ140="Parcial",0.5,0))+IF(AK140="Sí",1,IF(AK140="Parcial",0.5,0))</f>
        <v>0</v>
      </c>
      <c r="AU140" s="90">
        <f>SUM(AL140,AM140,AN140,AO140,AP140,AQ140,AR140,AS140,AT140)</f>
        <v>1</v>
      </c>
      <c r="AV140" s="225">
        <f>IFERROR(IF(OR(A140="",AU140=0),"",AU140/(IF(AL140&gt;0,1,0)+IF(AM140&gt;0,1,0)+IF(AN140&gt;0,1,0)+IF(AO140&gt;0,1,0)+IF(AP140&gt;0,1,0)+IF(AQ140&gt;0,1,0)+IF(AR140&gt;0,1,0)+IF(AS140&gt;0,1,0)+IF(AT140&gt;0,1,0))),"")</f>
        <v>1</v>
      </c>
      <c r="AW140" s="225">
        <f>IFERROR(IF(OR(A140="",AU140=""),"",IF(AND(MAX($AU$8:$AU$156)=0,MAX($AV$8:$AV$156)=0),"",0.5*(AU140/MAX($AU$8:$AU$156))+0.5*(AV140/MAX($AV$8:$AV$156)))),"")</f>
        <v>0.18055555555555555</v>
      </c>
      <c r="AX140" s="79" t="str">
        <f>IF(A140="","",IF((IF(AL140&gt;=1,1,0)+IF(AM140&gt;=1,1,0)+IF(AN140&gt;=1,1,0)+IF(AO140&gt;=1,1,0)+IF(AP140&gt;=1,1,0)+IF(AQ140&gt;=1,1,0)+IF(AR140&gt;=1,1,0)+IF(AS140&gt;=1,1,0)+IF(AT140&gt;=1,1,0))&gt;=5,"Diversificado (5+ verticales)",IF((IF(AL140&gt;=1,1,0)+IF(AM140&gt;=1,1,0)+IF(AN140&gt;=1,1,0)+IF(AO140&gt;=1,1,0)+IF(AP140&gt;=1,1,0)+IF(AQ140&gt;=1,1,0)+IF(AR140&gt;=1,1,0)+IF(AS140&gt;=1,1,0)+IF(AT140&gt;=1,1,0))&gt;=3,"Multi-capacidad (3-4 verticales)",IF((IF(AL140&gt;=1,1,0)+IF(AM140&gt;=1,1,0)+IF(AN140&gt;=1,1,0)+IF(AO140&gt;=1,1,0)+IF(AP140&gt;=1,1,0)+IF(AQ140&gt;=1,1,0)+IF(AR140&gt;=1,1,0)+IF(AS140&gt;=1,1,0)+IF(AT140&gt;=1,1,0))&gt;=1,"Especialista (1-2 verticales)","Sin función mapeada"))))</f>
        <v>Especialista (1-2 verticales)</v>
      </c>
    </row>
    <row r="141" spans="1:50" ht="24" customHeight="1" x14ac:dyDescent="0.2">
      <c r="A141" s="48" t="s">
        <v>1319</v>
      </c>
      <c r="B141" s="48" t="s">
        <v>1320</v>
      </c>
      <c r="C141" s="78" t="str">
        <f>IF(A141="","",IFERROR(INDEX('UNIVERSO MAESTRO'!$C$6:$C$497,MATCH(A141,'UNIVERSO MAESTRO'!$A$6:$A$497,0)),"⚠ ID no encontrado"))</f>
        <v>Silver Lake</v>
      </c>
      <c r="D141" s="79" t="str">
        <f>IF(A141="","",IFERROR(INDEX('UNIVERSO MAESTRO'!$D$6:$D$497,MATCH(A141,'UNIVERSO MAESTRO'!$A$6:$A$497,0)),""))</f>
        <v>V9</v>
      </c>
      <c r="E141" s="80" t="s">
        <v>353</v>
      </c>
      <c r="F141" s="80" t="s">
        <v>353</v>
      </c>
      <c r="G141" s="80" t="s">
        <v>353</v>
      </c>
      <c r="H141" s="80" t="s">
        <v>353</v>
      </c>
      <c r="I141" s="80" t="s">
        <v>353</v>
      </c>
      <c r="J141" s="80" t="s">
        <v>353</v>
      </c>
      <c r="K141" s="80" t="s">
        <v>353</v>
      </c>
      <c r="L141" s="80" t="s">
        <v>353</v>
      </c>
      <c r="M141" s="80" t="s">
        <v>353</v>
      </c>
      <c r="N141" s="80" t="s">
        <v>353</v>
      </c>
      <c r="O141" s="80" t="s">
        <v>353</v>
      </c>
      <c r="P141" s="80" t="s">
        <v>353</v>
      </c>
      <c r="Q141" s="80" t="s">
        <v>353</v>
      </c>
      <c r="R141" s="80" t="s">
        <v>353</v>
      </c>
      <c r="S141" s="80" t="s">
        <v>353</v>
      </c>
      <c r="T141" s="80" t="s">
        <v>353</v>
      </c>
      <c r="U141" s="80" t="s">
        <v>353</v>
      </c>
      <c r="V141" s="80" t="s">
        <v>353</v>
      </c>
      <c r="W141" s="80" t="s">
        <v>353</v>
      </c>
      <c r="X141" s="80" t="s">
        <v>353</v>
      </c>
      <c r="Y141" s="80" t="s">
        <v>353</v>
      </c>
      <c r="Z141" s="80" t="s">
        <v>353</v>
      </c>
      <c r="AA141" s="80" t="s">
        <v>353</v>
      </c>
      <c r="AB141" s="80" t="s">
        <v>353</v>
      </c>
      <c r="AC141" s="80" t="s">
        <v>353</v>
      </c>
      <c r="AD141" s="80" t="s">
        <v>353</v>
      </c>
      <c r="AE141" s="80" t="s">
        <v>353</v>
      </c>
      <c r="AF141" s="80" t="s">
        <v>353</v>
      </c>
      <c r="AG141" s="80" t="s">
        <v>353</v>
      </c>
      <c r="AH141" s="80" t="s">
        <v>353</v>
      </c>
      <c r="AI141" s="80" t="s">
        <v>353</v>
      </c>
      <c r="AJ141" s="80" t="s">
        <v>353</v>
      </c>
      <c r="AK141" s="80" t="s">
        <v>1530</v>
      </c>
      <c r="AL141" s="81">
        <f>IF(E141="Sí",1,IF(E141="Parcial",0.5,0))+IF(F141="Sí",1,IF(F141="Parcial",0.5,0))+IF(G141="Sí",1,IF(G141="Parcial",0.5,0))+IF(H141="Sí",1,IF(H141="Parcial",0.5,0))</f>
        <v>0</v>
      </c>
      <c r="AM141" s="82">
        <f>IF(I141="Sí",1,IF(I141="Parcial",0.5,0))+IF(J141="Sí",1,IF(J141="Parcial",0.5,0))+IF(K141="Sí",1,IF(K141="Parcial",0.5,0))</f>
        <v>0</v>
      </c>
      <c r="AN141" s="83">
        <f>IF(L141="Sí",1,IF(L141="Parcial",0.5,0))+IF(M141="Sí",1,IF(M141="Parcial",0.5,0))+IF(N141="Sí",1,IF(N141="Parcial",0.5,0))+IF(O141="Sí",1,IF(O141="Parcial",0.5,0))</f>
        <v>0</v>
      </c>
      <c r="AO141" s="84">
        <f>IF(P141="Sí",1,IF(P141="Parcial",0.5,0))+IF(Q141="Sí",1,IF(Q141="Parcial",0.5,0))+IF(R141="Sí",1,IF(R141="Parcial",0.5,0))+IF(S141="Sí",1,IF(S141="Parcial",0.5,0))+IF(T141="Sí",1,IF(T141="Parcial",0.5,0))+IF(U141="Sí",1,IF(U141="Parcial",0.5,0))</f>
        <v>0</v>
      </c>
      <c r="AP141" s="85">
        <f>IF(V141="Sí",1,IF(V141="Parcial",0.5,0))+IF(W141="Sí",1,IF(W141="Parcial",0.5,0))+IF(X141="Sí",1,IF(X141="Parcial",0.5,0))+IF(Y141="Sí",1,IF(Y141="Parcial",0.5,0))</f>
        <v>0</v>
      </c>
      <c r="AQ141" s="86">
        <f>IF(Z141="Sí",1,IF(Z141="Parcial",0.5,0))+IF(AA141="Sí",1,IF(AA141="Parcial",0.5,0))+IF(AB141="Sí",1,IF(AB141="Parcial",0.5,0))</f>
        <v>0</v>
      </c>
      <c r="AR141" s="87">
        <f>IF(AC141="Sí",1,IF(AC141="Parcial",0.5,0))+IF(AD141="Sí",1,IF(AD141="Parcial",0.5,0))+IF(AE141="Sí",1,IF(AE141="Parcial",0.5,0))</f>
        <v>0</v>
      </c>
      <c r="AS141" s="88">
        <f>IF(AF141="Sí",1,IF(AF141="Parcial",0.5,0))+IF(AG141="Sí",1,IF(AG141="Parcial",0.5,0))+IF(AH141="Sí",1,IF(AH141="Parcial",0.5,0))</f>
        <v>0</v>
      </c>
      <c r="AT141" s="89">
        <f>IF(AI141="Sí",1,IF(AI141="Parcial",0.5,0))+IF(AJ141="Sí",1,IF(AJ141="Parcial",0.5,0))+IF(AK141="Sí",1,IF(AK141="Parcial",0.5,0))</f>
        <v>1</v>
      </c>
      <c r="AU141" s="90">
        <f>SUM(AL141,AM141,AN141,AO141,AP141,AQ141,AR141,AS141,AT141)</f>
        <v>1</v>
      </c>
      <c r="AV141" s="225">
        <f>IFERROR(IF(OR(A141="",AU141=0),"",AU141/(IF(AL141&gt;0,1,0)+IF(AM141&gt;0,1,0)+IF(AN141&gt;0,1,0)+IF(AO141&gt;0,1,0)+IF(AP141&gt;0,1,0)+IF(AQ141&gt;0,1,0)+IF(AR141&gt;0,1,0)+IF(AS141&gt;0,1,0)+IF(AT141&gt;0,1,0))),"")</f>
        <v>1</v>
      </c>
      <c r="AW141" s="225">
        <f>IFERROR(IF(OR(A141="",AU141=""),"",IF(AND(MAX($AU$8:$AU$156)=0,MAX($AV$8:$AV$156)=0),"",0.5*(AU141/MAX($AU$8:$AU$156))+0.5*(AV141/MAX($AV$8:$AV$156)))),"")</f>
        <v>0.18055555555555555</v>
      </c>
      <c r="AX141" s="79" t="str">
        <f>IF(A141="","",IF((IF(AL141&gt;=1,1,0)+IF(AM141&gt;=1,1,0)+IF(AN141&gt;=1,1,0)+IF(AO141&gt;=1,1,0)+IF(AP141&gt;=1,1,0)+IF(AQ141&gt;=1,1,0)+IF(AR141&gt;=1,1,0)+IF(AS141&gt;=1,1,0)+IF(AT141&gt;=1,1,0))&gt;=5,"Diversificado (5+ verticales)",IF((IF(AL141&gt;=1,1,0)+IF(AM141&gt;=1,1,0)+IF(AN141&gt;=1,1,0)+IF(AO141&gt;=1,1,0)+IF(AP141&gt;=1,1,0)+IF(AQ141&gt;=1,1,0)+IF(AR141&gt;=1,1,0)+IF(AS141&gt;=1,1,0)+IF(AT141&gt;=1,1,0))&gt;=3,"Multi-capacidad (3-4 verticales)",IF((IF(AL141&gt;=1,1,0)+IF(AM141&gt;=1,1,0)+IF(AN141&gt;=1,1,0)+IF(AO141&gt;=1,1,0)+IF(AP141&gt;=1,1,0)+IF(AQ141&gt;=1,1,0)+IF(AR141&gt;=1,1,0)+IF(AS141&gt;=1,1,0)+IF(AT141&gt;=1,1,0))&gt;=1,"Especialista (1-2 verticales)","Sin función mapeada"))))</f>
        <v>Especialista (1-2 verticales)</v>
      </c>
    </row>
    <row r="142" spans="1:50" ht="24" customHeight="1" x14ac:dyDescent="0.2">
      <c r="A142" s="48" t="s">
        <v>1326</v>
      </c>
      <c r="B142" s="48" t="s">
        <v>1327</v>
      </c>
      <c r="C142" s="78" t="str">
        <f>IF(A142="","",IFERROR(INDEX('UNIVERSO MAESTRO'!$C$6:$C$497,MATCH(A142,'UNIVERSO MAESTRO'!$A$6:$A$497,0)),"⚠ ID no encontrado"))</f>
        <v>Skechers</v>
      </c>
      <c r="D142" s="79" t="str">
        <f>IF(A142="","",IFERROR(INDEX('UNIVERSO MAESTRO'!$D$6:$D$497,MATCH(A142,'UNIVERSO MAESTRO'!$A$6:$A$497,0)),""))</f>
        <v>V3</v>
      </c>
      <c r="E142" s="80" t="s">
        <v>353</v>
      </c>
      <c r="F142" s="80" t="s">
        <v>353</v>
      </c>
      <c r="G142" s="80" t="s">
        <v>353</v>
      </c>
      <c r="H142" s="80" t="s">
        <v>353</v>
      </c>
      <c r="I142" s="80" t="s">
        <v>353</v>
      </c>
      <c r="J142" s="80" t="s">
        <v>353</v>
      </c>
      <c r="K142" s="80" t="s">
        <v>353</v>
      </c>
      <c r="L142" s="80" t="s">
        <v>1530</v>
      </c>
      <c r="M142" s="80" t="s">
        <v>353</v>
      </c>
      <c r="N142" s="80" t="s">
        <v>353</v>
      </c>
      <c r="O142" s="80" t="s">
        <v>353</v>
      </c>
      <c r="P142" s="80" t="s">
        <v>353</v>
      </c>
      <c r="Q142" s="80" t="s">
        <v>353</v>
      </c>
      <c r="R142" s="80" t="s">
        <v>353</v>
      </c>
      <c r="S142" s="80" t="s">
        <v>353</v>
      </c>
      <c r="T142" s="80" t="s">
        <v>353</v>
      </c>
      <c r="U142" s="80" t="s">
        <v>353</v>
      </c>
      <c r="V142" s="80" t="s">
        <v>353</v>
      </c>
      <c r="W142" s="80" t="s">
        <v>353</v>
      </c>
      <c r="X142" s="80" t="s">
        <v>353</v>
      </c>
      <c r="Y142" s="80" t="s">
        <v>353</v>
      </c>
      <c r="Z142" s="80" t="s">
        <v>353</v>
      </c>
      <c r="AA142" s="80" t="s">
        <v>353</v>
      </c>
      <c r="AB142" s="80" t="s">
        <v>353</v>
      </c>
      <c r="AC142" s="80" t="s">
        <v>353</v>
      </c>
      <c r="AD142" s="80" t="s">
        <v>353</v>
      </c>
      <c r="AE142" s="80" t="s">
        <v>353</v>
      </c>
      <c r="AF142" s="80" t="s">
        <v>353</v>
      </c>
      <c r="AG142" s="80" t="s">
        <v>353</v>
      </c>
      <c r="AH142" s="80" t="s">
        <v>353</v>
      </c>
      <c r="AI142" s="80" t="s">
        <v>353</v>
      </c>
      <c r="AJ142" s="80" t="s">
        <v>353</v>
      </c>
      <c r="AK142" s="80" t="s">
        <v>353</v>
      </c>
      <c r="AL142" s="81">
        <f>IF(E142="Sí",1,IF(E142="Parcial",0.5,0))+IF(F142="Sí",1,IF(F142="Parcial",0.5,0))+IF(G142="Sí",1,IF(G142="Parcial",0.5,0))+IF(H142="Sí",1,IF(H142="Parcial",0.5,0))</f>
        <v>0</v>
      </c>
      <c r="AM142" s="82">
        <f>IF(I142="Sí",1,IF(I142="Parcial",0.5,0))+IF(J142="Sí",1,IF(J142="Parcial",0.5,0))+IF(K142="Sí",1,IF(K142="Parcial",0.5,0))</f>
        <v>0</v>
      </c>
      <c r="AN142" s="83">
        <f>IF(L142="Sí",1,IF(L142="Parcial",0.5,0))+IF(M142="Sí",1,IF(M142="Parcial",0.5,0))+IF(N142="Sí",1,IF(N142="Parcial",0.5,0))+IF(O142="Sí",1,IF(O142="Parcial",0.5,0))</f>
        <v>1</v>
      </c>
      <c r="AO142" s="84">
        <f>IF(P142="Sí",1,IF(P142="Parcial",0.5,0))+IF(Q142="Sí",1,IF(Q142="Parcial",0.5,0))+IF(R142="Sí",1,IF(R142="Parcial",0.5,0))+IF(S142="Sí",1,IF(S142="Parcial",0.5,0))+IF(T142="Sí",1,IF(T142="Parcial",0.5,0))+IF(U142="Sí",1,IF(U142="Parcial",0.5,0))</f>
        <v>0</v>
      </c>
      <c r="AP142" s="85">
        <f>IF(V142="Sí",1,IF(V142="Parcial",0.5,0))+IF(W142="Sí",1,IF(W142="Parcial",0.5,0))+IF(X142="Sí",1,IF(X142="Parcial",0.5,0))+IF(Y142="Sí",1,IF(Y142="Parcial",0.5,0))</f>
        <v>0</v>
      </c>
      <c r="AQ142" s="86">
        <f>IF(Z142="Sí",1,IF(Z142="Parcial",0.5,0))+IF(AA142="Sí",1,IF(AA142="Parcial",0.5,0))+IF(AB142="Sí",1,IF(AB142="Parcial",0.5,0))</f>
        <v>0</v>
      </c>
      <c r="AR142" s="87">
        <f>IF(AC142="Sí",1,IF(AC142="Parcial",0.5,0))+IF(AD142="Sí",1,IF(AD142="Parcial",0.5,0))+IF(AE142="Sí",1,IF(AE142="Parcial",0.5,0))</f>
        <v>0</v>
      </c>
      <c r="AS142" s="88">
        <f>IF(AF142="Sí",1,IF(AF142="Parcial",0.5,0))+IF(AG142="Sí",1,IF(AG142="Parcial",0.5,0))+IF(AH142="Sí",1,IF(AH142="Parcial",0.5,0))</f>
        <v>0</v>
      </c>
      <c r="AT142" s="89">
        <f>IF(AI142="Sí",1,IF(AI142="Parcial",0.5,0))+IF(AJ142="Sí",1,IF(AJ142="Parcial",0.5,0))+IF(AK142="Sí",1,IF(AK142="Parcial",0.5,0))</f>
        <v>0</v>
      </c>
      <c r="AU142" s="90">
        <f>SUM(AL142,AM142,AN142,AO142,AP142,AQ142,AR142,AS142,AT142)</f>
        <v>1</v>
      </c>
      <c r="AV142" s="225">
        <f>IFERROR(IF(OR(A142="",AU142=0),"",AU142/(IF(AL142&gt;0,1,0)+IF(AM142&gt;0,1,0)+IF(AN142&gt;0,1,0)+IF(AO142&gt;0,1,0)+IF(AP142&gt;0,1,0)+IF(AQ142&gt;0,1,0)+IF(AR142&gt;0,1,0)+IF(AS142&gt;0,1,0)+IF(AT142&gt;0,1,0))),"")</f>
        <v>1</v>
      </c>
      <c r="AW142" s="225">
        <f>IFERROR(IF(OR(A142="",AU142=""),"",IF(AND(MAX($AU$8:$AU$156)=0,MAX($AV$8:$AV$156)=0),"",0.5*(AU142/MAX($AU$8:$AU$156))+0.5*(AV142/MAX($AV$8:$AV$156)))),"")</f>
        <v>0.18055555555555555</v>
      </c>
      <c r="AX142" s="79" t="str">
        <f>IF(A142="","",IF((IF(AL142&gt;=1,1,0)+IF(AM142&gt;=1,1,0)+IF(AN142&gt;=1,1,0)+IF(AO142&gt;=1,1,0)+IF(AP142&gt;=1,1,0)+IF(AQ142&gt;=1,1,0)+IF(AR142&gt;=1,1,0)+IF(AS142&gt;=1,1,0)+IF(AT142&gt;=1,1,0))&gt;=5,"Diversificado (5+ verticales)",IF((IF(AL142&gt;=1,1,0)+IF(AM142&gt;=1,1,0)+IF(AN142&gt;=1,1,0)+IF(AO142&gt;=1,1,0)+IF(AP142&gt;=1,1,0)+IF(AQ142&gt;=1,1,0)+IF(AR142&gt;=1,1,0)+IF(AS142&gt;=1,1,0)+IF(AT142&gt;=1,1,0))&gt;=3,"Multi-capacidad (3-4 verticales)",IF((IF(AL142&gt;=1,1,0)+IF(AM142&gt;=1,1,0)+IF(AN142&gt;=1,1,0)+IF(AO142&gt;=1,1,0)+IF(AP142&gt;=1,1,0)+IF(AQ142&gt;=1,1,0)+IF(AR142&gt;=1,1,0)+IF(AS142&gt;=1,1,0)+IF(AT142&gt;=1,1,0))&gt;=1,"Especialista (1-2 verticales)","Sin función mapeada"))))</f>
        <v>Especialista (1-2 verticales)</v>
      </c>
    </row>
    <row r="143" spans="1:50" ht="24" customHeight="1" x14ac:dyDescent="0.2">
      <c r="A143" s="48" t="s">
        <v>1340</v>
      </c>
      <c r="B143" s="48" t="s">
        <v>1341</v>
      </c>
      <c r="C143" s="78" t="str">
        <f>IF(A143="","",IFERROR(INDEX('UNIVERSO MAESTRO'!$C$6:$C$497,MATCH(A143,'UNIVERSO MAESTRO'!$A$6:$A$497,0)),"⚠ ID no encontrado"))</f>
        <v>Smart Fit México</v>
      </c>
      <c r="D143" s="79" t="str">
        <f>IF(A143="","",IFERROR(INDEX('UNIVERSO MAESTRO'!$D$6:$D$497,MATCH(A143,'UNIVERSO MAESTRO'!$A$6:$A$497,0)),""))</f>
        <v>V3</v>
      </c>
      <c r="E143" s="80" t="s">
        <v>353</v>
      </c>
      <c r="F143" s="80" t="s">
        <v>353</v>
      </c>
      <c r="G143" s="80" t="s">
        <v>353</v>
      </c>
      <c r="H143" s="80" t="s">
        <v>353</v>
      </c>
      <c r="I143" s="80" t="s">
        <v>353</v>
      </c>
      <c r="J143" s="80" t="s">
        <v>353</v>
      </c>
      <c r="K143" s="80" t="s">
        <v>353</v>
      </c>
      <c r="L143" s="80" t="s">
        <v>353</v>
      </c>
      <c r="M143" s="80" t="s">
        <v>353</v>
      </c>
      <c r="N143" s="80" t="s">
        <v>1530</v>
      </c>
      <c r="O143" s="80" t="s">
        <v>353</v>
      </c>
      <c r="P143" s="80" t="s">
        <v>353</v>
      </c>
      <c r="Q143" s="80" t="s">
        <v>353</v>
      </c>
      <c r="R143" s="80" t="s">
        <v>353</v>
      </c>
      <c r="S143" s="80" t="s">
        <v>353</v>
      </c>
      <c r="T143" s="80" t="s">
        <v>353</v>
      </c>
      <c r="U143" s="80" t="s">
        <v>353</v>
      </c>
      <c r="V143" s="80" t="s">
        <v>353</v>
      </c>
      <c r="W143" s="80" t="s">
        <v>353</v>
      </c>
      <c r="X143" s="80" t="s">
        <v>353</v>
      </c>
      <c r="Y143" s="80" t="s">
        <v>353</v>
      </c>
      <c r="Z143" s="80" t="s">
        <v>353</v>
      </c>
      <c r="AA143" s="80" t="s">
        <v>353</v>
      </c>
      <c r="AB143" s="80" t="s">
        <v>353</v>
      </c>
      <c r="AC143" s="80" t="s">
        <v>353</v>
      </c>
      <c r="AD143" s="80" t="s">
        <v>353</v>
      </c>
      <c r="AE143" s="80" t="s">
        <v>353</v>
      </c>
      <c r="AF143" s="80" t="s">
        <v>353</v>
      </c>
      <c r="AG143" s="80" t="s">
        <v>353</v>
      </c>
      <c r="AH143" s="80" t="s">
        <v>353</v>
      </c>
      <c r="AI143" s="80" t="s">
        <v>353</v>
      </c>
      <c r="AJ143" s="80" t="s">
        <v>353</v>
      </c>
      <c r="AK143" s="80" t="s">
        <v>353</v>
      </c>
      <c r="AL143" s="81">
        <f>IF(E143="Sí",1,IF(E143="Parcial",0.5,0))+IF(F143="Sí",1,IF(F143="Parcial",0.5,0))+IF(G143="Sí",1,IF(G143="Parcial",0.5,0))+IF(H143="Sí",1,IF(H143="Parcial",0.5,0))</f>
        <v>0</v>
      </c>
      <c r="AM143" s="82">
        <f>IF(I143="Sí",1,IF(I143="Parcial",0.5,0))+IF(J143="Sí",1,IF(J143="Parcial",0.5,0))+IF(K143="Sí",1,IF(K143="Parcial",0.5,0))</f>
        <v>0</v>
      </c>
      <c r="AN143" s="83">
        <f>IF(L143="Sí",1,IF(L143="Parcial",0.5,0))+IF(M143="Sí",1,IF(M143="Parcial",0.5,0))+IF(N143="Sí",1,IF(N143="Parcial",0.5,0))+IF(O143="Sí",1,IF(O143="Parcial",0.5,0))</f>
        <v>1</v>
      </c>
      <c r="AO143" s="84">
        <f>IF(P143="Sí",1,IF(P143="Parcial",0.5,0))+IF(Q143="Sí",1,IF(Q143="Parcial",0.5,0))+IF(R143="Sí",1,IF(R143="Parcial",0.5,0))+IF(S143="Sí",1,IF(S143="Parcial",0.5,0))+IF(T143="Sí",1,IF(T143="Parcial",0.5,0))+IF(U143="Sí",1,IF(U143="Parcial",0.5,0))</f>
        <v>0</v>
      </c>
      <c r="AP143" s="85">
        <f>IF(V143="Sí",1,IF(V143="Parcial",0.5,0))+IF(W143="Sí",1,IF(W143="Parcial",0.5,0))+IF(X143="Sí",1,IF(X143="Parcial",0.5,0))+IF(Y143="Sí",1,IF(Y143="Parcial",0.5,0))</f>
        <v>0</v>
      </c>
      <c r="AQ143" s="86">
        <f>IF(Z143="Sí",1,IF(Z143="Parcial",0.5,0))+IF(AA143="Sí",1,IF(AA143="Parcial",0.5,0))+IF(AB143="Sí",1,IF(AB143="Parcial",0.5,0))</f>
        <v>0</v>
      </c>
      <c r="AR143" s="87">
        <f>IF(AC143="Sí",1,IF(AC143="Parcial",0.5,0))+IF(AD143="Sí",1,IF(AD143="Parcial",0.5,0))+IF(AE143="Sí",1,IF(AE143="Parcial",0.5,0))</f>
        <v>0</v>
      </c>
      <c r="AS143" s="88">
        <f>IF(AF143="Sí",1,IF(AF143="Parcial",0.5,0))+IF(AG143="Sí",1,IF(AG143="Parcial",0.5,0))+IF(AH143="Sí",1,IF(AH143="Parcial",0.5,0))</f>
        <v>0</v>
      </c>
      <c r="AT143" s="89">
        <f>IF(AI143="Sí",1,IF(AI143="Parcial",0.5,0))+IF(AJ143="Sí",1,IF(AJ143="Parcial",0.5,0))+IF(AK143="Sí",1,IF(AK143="Parcial",0.5,0))</f>
        <v>0</v>
      </c>
      <c r="AU143" s="90">
        <f>SUM(AL143,AM143,AN143,AO143,AP143,AQ143,AR143,AS143,AT143)</f>
        <v>1</v>
      </c>
      <c r="AV143" s="225">
        <f>IFERROR(IF(OR(A143="",AU143=0),"",AU143/(IF(AL143&gt;0,1,0)+IF(AM143&gt;0,1,0)+IF(AN143&gt;0,1,0)+IF(AO143&gt;0,1,0)+IF(AP143&gt;0,1,0)+IF(AQ143&gt;0,1,0)+IF(AR143&gt;0,1,0)+IF(AS143&gt;0,1,0)+IF(AT143&gt;0,1,0))),"")</f>
        <v>1</v>
      </c>
      <c r="AW143" s="225">
        <f>IFERROR(IF(OR(A143="",AU143=""),"",IF(AND(MAX($AU$8:$AU$156)=0,MAX($AV$8:$AV$156)=0),"",0.5*(AU143/MAX($AU$8:$AU$156))+0.5*(AV143/MAX($AV$8:$AV$156)))),"")</f>
        <v>0.18055555555555555</v>
      </c>
      <c r="AX143" s="79" t="str">
        <f>IF(A143="","",IF((IF(AL143&gt;=1,1,0)+IF(AM143&gt;=1,1,0)+IF(AN143&gt;=1,1,0)+IF(AO143&gt;=1,1,0)+IF(AP143&gt;=1,1,0)+IF(AQ143&gt;=1,1,0)+IF(AR143&gt;=1,1,0)+IF(AS143&gt;=1,1,0)+IF(AT143&gt;=1,1,0))&gt;=5,"Diversificado (5+ verticales)",IF((IF(AL143&gt;=1,1,0)+IF(AM143&gt;=1,1,0)+IF(AN143&gt;=1,1,0)+IF(AO143&gt;=1,1,0)+IF(AP143&gt;=1,1,0)+IF(AQ143&gt;=1,1,0)+IF(AR143&gt;=1,1,0)+IF(AS143&gt;=1,1,0)+IF(AT143&gt;=1,1,0))&gt;=3,"Multi-capacidad (3-4 verticales)",IF((IF(AL143&gt;=1,1,0)+IF(AM143&gt;=1,1,0)+IF(AN143&gt;=1,1,0)+IF(AO143&gt;=1,1,0)+IF(AP143&gt;=1,1,0)+IF(AQ143&gt;=1,1,0)+IF(AR143&gt;=1,1,0)+IF(AS143&gt;=1,1,0)+IF(AT143&gt;=1,1,0))&gt;=1,"Especialista (1-2 verticales)","Sin función mapeada"))))</f>
        <v>Especialista (1-2 verticales)</v>
      </c>
    </row>
    <row r="144" spans="1:50" ht="24" customHeight="1" x14ac:dyDescent="0.2">
      <c r="A144" s="48" t="s">
        <v>1365</v>
      </c>
      <c r="B144" s="48" t="s">
        <v>1366</v>
      </c>
      <c r="C144" s="78" t="str">
        <f>IF(A144="","",IFERROR(INDEX('UNIVERSO MAESTRO'!$C$6:$C$497,MATCH(A144,'UNIVERSO MAESTRO'!$A$6:$A$497,0)),"⚠ ID no encontrado"))</f>
        <v>StayPro</v>
      </c>
      <c r="D144" s="79" t="str">
        <f>IF(A144="","",IFERROR(INDEX('UNIVERSO MAESTRO'!$D$6:$D$497,MATCH(A144,'UNIVERSO MAESTRO'!$A$6:$A$497,0)),""))</f>
        <v>V4</v>
      </c>
      <c r="E144" s="80" t="s">
        <v>353</v>
      </c>
      <c r="F144" s="80" t="s">
        <v>353</v>
      </c>
      <c r="G144" s="80" t="s">
        <v>353</v>
      </c>
      <c r="H144" s="80" t="s">
        <v>353</v>
      </c>
      <c r="I144" s="80" t="s">
        <v>353</v>
      </c>
      <c r="J144" s="80" t="s">
        <v>353</v>
      </c>
      <c r="K144" s="80" t="s">
        <v>353</v>
      </c>
      <c r="L144" s="80" t="s">
        <v>353</v>
      </c>
      <c r="M144" s="80" t="s">
        <v>353</v>
      </c>
      <c r="N144" s="80" t="s">
        <v>353</v>
      </c>
      <c r="O144" s="80" t="s">
        <v>353</v>
      </c>
      <c r="P144" s="80" t="s">
        <v>353</v>
      </c>
      <c r="Q144" s="80" t="s">
        <v>353</v>
      </c>
      <c r="R144" s="80" t="s">
        <v>353</v>
      </c>
      <c r="S144" s="80" t="s">
        <v>353</v>
      </c>
      <c r="T144" s="80" t="s">
        <v>1530</v>
      </c>
      <c r="U144" s="80" t="s">
        <v>353</v>
      </c>
      <c r="V144" s="80" t="s">
        <v>353</v>
      </c>
      <c r="W144" s="80" t="s">
        <v>353</v>
      </c>
      <c r="X144" s="80" t="s">
        <v>353</v>
      </c>
      <c r="Y144" s="80" t="s">
        <v>353</v>
      </c>
      <c r="Z144" s="80" t="s">
        <v>353</v>
      </c>
      <c r="AA144" s="80" t="s">
        <v>353</v>
      </c>
      <c r="AB144" s="80" t="s">
        <v>353</v>
      </c>
      <c r="AC144" s="80" t="s">
        <v>353</v>
      </c>
      <c r="AD144" s="80" t="s">
        <v>353</v>
      </c>
      <c r="AE144" s="80" t="s">
        <v>353</v>
      </c>
      <c r="AF144" s="80" t="s">
        <v>353</v>
      </c>
      <c r="AG144" s="80" t="s">
        <v>353</v>
      </c>
      <c r="AH144" s="80" t="s">
        <v>353</v>
      </c>
      <c r="AI144" s="80" t="s">
        <v>353</v>
      </c>
      <c r="AJ144" s="80" t="s">
        <v>353</v>
      </c>
      <c r="AK144" s="80" t="s">
        <v>353</v>
      </c>
      <c r="AL144" s="81">
        <f>IF(E144="Sí",1,IF(E144="Parcial",0.5,0))+IF(F144="Sí",1,IF(F144="Parcial",0.5,0))+IF(G144="Sí",1,IF(G144="Parcial",0.5,0))+IF(H144="Sí",1,IF(H144="Parcial",0.5,0))</f>
        <v>0</v>
      </c>
      <c r="AM144" s="82">
        <f>IF(I144="Sí",1,IF(I144="Parcial",0.5,0))+IF(J144="Sí",1,IF(J144="Parcial",0.5,0))+IF(K144="Sí",1,IF(K144="Parcial",0.5,0))</f>
        <v>0</v>
      </c>
      <c r="AN144" s="83">
        <f>IF(L144="Sí",1,IF(L144="Parcial",0.5,0))+IF(M144="Sí",1,IF(M144="Parcial",0.5,0))+IF(N144="Sí",1,IF(N144="Parcial",0.5,0))+IF(O144="Sí",1,IF(O144="Parcial",0.5,0))</f>
        <v>0</v>
      </c>
      <c r="AO144" s="84">
        <f>IF(P144="Sí",1,IF(P144="Parcial",0.5,0))+IF(Q144="Sí",1,IF(Q144="Parcial",0.5,0))+IF(R144="Sí",1,IF(R144="Parcial",0.5,0))+IF(S144="Sí",1,IF(S144="Parcial",0.5,0))+IF(T144="Sí",1,IF(T144="Parcial",0.5,0))+IF(U144="Sí",1,IF(U144="Parcial",0.5,0))</f>
        <v>1</v>
      </c>
      <c r="AP144" s="85">
        <f>IF(V144="Sí",1,IF(V144="Parcial",0.5,0))+IF(W144="Sí",1,IF(W144="Parcial",0.5,0))+IF(X144="Sí",1,IF(X144="Parcial",0.5,0))+IF(Y144="Sí",1,IF(Y144="Parcial",0.5,0))</f>
        <v>0</v>
      </c>
      <c r="AQ144" s="86">
        <f>IF(Z144="Sí",1,IF(Z144="Parcial",0.5,0))+IF(AA144="Sí",1,IF(AA144="Parcial",0.5,0))+IF(AB144="Sí",1,IF(AB144="Parcial",0.5,0))</f>
        <v>0</v>
      </c>
      <c r="AR144" s="87">
        <f>IF(AC144="Sí",1,IF(AC144="Parcial",0.5,0))+IF(AD144="Sí",1,IF(AD144="Parcial",0.5,0))+IF(AE144="Sí",1,IF(AE144="Parcial",0.5,0))</f>
        <v>0</v>
      </c>
      <c r="AS144" s="88">
        <f>IF(AF144="Sí",1,IF(AF144="Parcial",0.5,0))+IF(AG144="Sí",1,IF(AG144="Parcial",0.5,0))+IF(AH144="Sí",1,IF(AH144="Parcial",0.5,0))</f>
        <v>0</v>
      </c>
      <c r="AT144" s="89">
        <f>IF(AI144="Sí",1,IF(AI144="Parcial",0.5,0))+IF(AJ144="Sí",1,IF(AJ144="Parcial",0.5,0))+IF(AK144="Sí",1,IF(AK144="Parcial",0.5,0))</f>
        <v>0</v>
      </c>
      <c r="AU144" s="90">
        <f>SUM(AL144,AM144,AN144,AO144,AP144,AQ144,AR144,AS144,AT144)</f>
        <v>1</v>
      </c>
      <c r="AV144" s="225">
        <f>IFERROR(IF(OR(A144="",AU144=0),"",AU144/(IF(AL144&gt;0,1,0)+IF(AM144&gt;0,1,0)+IF(AN144&gt;0,1,0)+IF(AO144&gt;0,1,0)+IF(AP144&gt;0,1,0)+IF(AQ144&gt;0,1,0)+IF(AR144&gt;0,1,0)+IF(AS144&gt;0,1,0)+IF(AT144&gt;0,1,0))),"")</f>
        <v>1</v>
      </c>
      <c r="AW144" s="225">
        <f>IFERROR(IF(OR(A144="",AU144=""),"",IF(AND(MAX($AU$8:$AU$156)=0,MAX($AV$8:$AV$156)=0),"",0.5*(AU144/MAX($AU$8:$AU$156))+0.5*(AV144/MAX($AV$8:$AV$156)))),"")</f>
        <v>0.18055555555555555</v>
      </c>
      <c r="AX144" s="79" t="str">
        <f>IF(A144="","",IF((IF(AL144&gt;=1,1,0)+IF(AM144&gt;=1,1,0)+IF(AN144&gt;=1,1,0)+IF(AO144&gt;=1,1,0)+IF(AP144&gt;=1,1,0)+IF(AQ144&gt;=1,1,0)+IF(AR144&gt;=1,1,0)+IF(AS144&gt;=1,1,0)+IF(AT144&gt;=1,1,0))&gt;=5,"Diversificado (5+ verticales)",IF((IF(AL144&gt;=1,1,0)+IF(AM144&gt;=1,1,0)+IF(AN144&gt;=1,1,0)+IF(AO144&gt;=1,1,0)+IF(AP144&gt;=1,1,0)+IF(AQ144&gt;=1,1,0)+IF(AR144&gt;=1,1,0)+IF(AS144&gt;=1,1,0)+IF(AT144&gt;=1,1,0))&gt;=3,"Multi-capacidad (3-4 verticales)",IF((IF(AL144&gt;=1,1,0)+IF(AM144&gt;=1,1,0)+IF(AN144&gt;=1,1,0)+IF(AO144&gt;=1,1,0)+IF(AP144&gt;=1,1,0)+IF(AQ144&gt;=1,1,0)+IF(AR144&gt;=1,1,0)+IF(AS144&gt;=1,1,0)+IF(AT144&gt;=1,1,0))&gt;=1,"Especialista (1-2 verticales)","Sin función mapeada"))))</f>
        <v>Especialista (1-2 verticales)</v>
      </c>
    </row>
    <row r="145" spans="1:50" ht="24" customHeight="1" x14ac:dyDescent="0.2">
      <c r="A145" s="48" t="s">
        <v>1372</v>
      </c>
      <c r="B145" s="48" t="s">
        <v>1373</v>
      </c>
      <c r="C145" s="78" t="str">
        <f>IF(A145="","",IFERROR(INDEX('UNIVERSO MAESTRO'!$C$6:$C$497,MATCH(A145,'UNIVERSO MAESTRO'!$A$6:$A$497,0)),"⚠ ID no encontrado"))</f>
        <v>StubHub México</v>
      </c>
      <c r="D145" s="79" t="str">
        <f>IF(A145="","",IFERROR(INDEX('UNIVERSO MAESTRO'!$D$6:$D$497,MATCH(A145,'UNIVERSO MAESTRO'!$A$6:$A$497,0)),""))</f>
        <v>V6</v>
      </c>
      <c r="E145" s="80" t="s">
        <v>353</v>
      </c>
      <c r="F145" s="80" t="s">
        <v>353</v>
      </c>
      <c r="G145" s="80" t="s">
        <v>353</v>
      </c>
      <c r="H145" s="80" t="s">
        <v>353</v>
      </c>
      <c r="I145" s="80" t="s">
        <v>353</v>
      </c>
      <c r="J145" s="80" t="s">
        <v>353</v>
      </c>
      <c r="K145" s="80" t="s">
        <v>353</v>
      </c>
      <c r="L145" s="80" t="s">
        <v>353</v>
      </c>
      <c r="M145" s="80" t="s">
        <v>353</v>
      </c>
      <c r="N145" s="80" t="s">
        <v>353</v>
      </c>
      <c r="O145" s="80" t="s">
        <v>353</v>
      </c>
      <c r="P145" s="80" t="s">
        <v>353</v>
      </c>
      <c r="Q145" s="80" t="s">
        <v>353</v>
      </c>
      <c r="R145" s="80" t="s">
        <v>353</v>
      </c>
      <c r="S145" s="80" t="s">
        <v>353</v>
      </c>
      <c r="T145" s="80" t="s">
        <v>353</v>
      </c>
      <c r="U145" s="80" t="s">
        <v>353</v>
      </c>
      <c r="V145" s="80" t="s">
        <v>353</v>
      </c>
      <c r="W145" s="80" t="s">
        <v>353</v>
      </c>
      <c r="X145" s="80" t="s">
        <v>353</v>
      </c>
      <c r="Y145" s="80" t="s">
        <v>353</v>
      </c>
      <c r="Z145" s="80" t="s">
        <v>353</v>
      </c>
      <c r="AA145" s="80" t="s">
        <v>1530</v>
      </c>
      <c r="AB145" s="80" t="s">
        <v>353</v>
      </c>
      <c r="AC145" s="80" t="s">
        <v>353</v>
      </c>
      <c r="AD145" s="80" t="s">
        <v>353</v>
      </c>
      <c r="AE145" s="80" t="s">
        <v>353</v>
      </c>
      <c r="AF145" s="80" t="s">
        <v>353</v>
      </c>
      <c r="AG145" s="80" t="s">
        <v>353</v>
      </c>
      <c r="AH145" s="80" t="s">
        <v>353</v>
      </c>
      <c r="AI145" s="80" t="s">
        <v>353</v>
      </c>
      <c r="AJ145" s="80" t="s">
        <v>353</v>
      </c>
      <c r="AK145" s="80" t="s">
        <v>353</v>
      </c>
      <c r="AL145" s="81">
        <f>IF(E145="Sí",1,IF(E145="Parcial",0.5,0))+IF(F145="Sí",1,IF(F145="Parcial",0.5,0))+IF(G145="Sí",1,IF(G145="Parcial",0.5,0))+IF(H145="Sí",1,IF(H145="Parcial",0.5,0))</f>
        <v>0</v>
      </c>
      <c r="AM145" s="82">
        <f>IF(I145="Sí",1,IF(I145="Parcial",0.5,0))+IF(J145="Sí",1,IF(J145="Parcial",0.5,0))+IF(K145="Sí",1,IF(K145="Parcial",0.5,0))</f>
        <v>0</v>
      </c>
      <c r="AN145" s="83">
        <f>IF(L145="Sí",1,IF(L145="Parcial",0.5,0))+IF(M145="Sí",1,IF(M145="Parcial",0.5,0))+IF(N145="Sí",1,IF(N145="Parcial",0.5,0))+IF(O145="Sí",1,IF(O145="Parcial",0.5,0))</f>
        <v>0</v>
      </c>
      <c r="AO145" s="84">
        <f>IF(P145="Sí",1,IF(P145="Parcial",0.5,0))+IF(Q145="Sí",1,IF(Q145="Parcial",0.5,0))+IF(R145="Sí",1,IF(R145="Parcial",0.5,0))+IF(S145="Sí",1,IF(S145="Parcial",0.5,0))+IF(T145="Sí",1,IF(T145="Parcial",0.5,0))+IF(U145="Sí",1,IF(U145="Parcial",0.5,0))</f>
        <v>0</v>
      </c>
      <c r="AP145" s="85">
        <f>IF(V145="Sí",1,IF(V145="Parcial",0.5,0))+IF(W145="Sí",1,IF(W145="Parcial",0.5,0))+IF(X145="Sí",1,IF(X145="Parcial",0.5,0))+IF(Y145="Sí",1,IF(Y145="Parcial",0.5,0))</f>
        <v>0</v>
      </c>
      <c r="AQ145" s="86">
        <f>IF(Z145="Sí",1,IF(Z145="Parcial",0.5,0))+IF(AA145="Sí",1,IF(AA145="Parcial",0.5,0))+IF(AB145="Sí",1,IF(AB145="Parcial",0.5,0))</f>
        <v>1</v>
      </c>
      <c r="AR145" s="87">
        <f>IF(AC145="Sí",1,IF(AC145="Parcial",0.5,0))+IF(AD145="Sí",1,IF(AD145="Parcial",0.5,0))+IF(AE145="Sí",1,IF(AE145="Parcial",0.5,0))</f>
        <v>0</v>
      </c>
      <c r="AS145" s="88">
        <f>IF(AF145="Sí",1,IF(AF145="Parcial",0.5,0))+IF(AG145="Sí",1,IF(AG145="Parcial",0.5,0))+IF(AH145="Sí",1,IF(AH145="Parcial",0.5,0))</f>
        <v>0</v>
      </c>
      <c r="AT145" s="89">
        <f>IF(AI145="Sí",1,IF(AI145="Parcial",0.5,0))+IF(AJ145="Sí",1,IF(AJ145="Parcial",0.5,0))+IF(AK145="Sí",1,IF(AK145="Parcial",0.5,0))</f>
        <v>0</v>
      </c>
      <c r="AU145" s="90">
        <f>SUM(AL145,AM145,AN145,AO145,AP145,AQ145,AR145,AS145,AT145)</f>
        <v>1</v>
      </c>
      <c r="AV145" s="225">
        <f>IFERROR(IF(OR(A145="",AU145=0),"",AU145/(IF(AL145&gt;0,1,0)+IF(AM145&gt;0,1,0)+IF(AN145&gt;0,1,0)+IF(AO145&gt;0,1,0)+IF(AP145&gt;0,1,0)+IF(AQ145&gt;0,1,0)+IF(AR145&gt;0,1,0)+IF(AS145&gt;0,1,0)+IF(AT145&gt;0,1,0))),"")</f>
        <v>1</v>
      </c>
      <c r="AW145" s="225">
        <f>IFERROR(IF(OR(A145="",AU145=""),"",IF(AND(MAX($AU$8:$AU$156)=0,MAX($AV$8:$AV$156)=0),"",0.5*(AU145/MAX($AU$8:$AU$156))+0.5*(AV145/MAX($AV$8:$AV$156)))),"")</f>
        <v>0.18055555555555555</v>
      </c>
      <c r="AX145" s="79" t="str">
        <f>IF(A145="","",IF((IF(AL145&gt;=1,1,0)+IF(AM145&gt;=1,1,0)+IF(AN145&gt;=1,1,0)+IF(AO145&gt;=1,1,0)+IF(AP145&gt;=1,1,0)+IF(AQ145&gt;=1,1,0)+IF(AR145&gt;=1,1,0)+IF(AS145&gt;=1,1,0)+IF(AT145&gt;=1,1,0))&gt;=5,"Diversificado (5+ verticales)",IF((IF(AL145&gt;=1,1,0)+IF(AM145&gt;=1,1,0)+IF(AN145&gt;=1,1,0)+IF(AO145&gt;=1,1,0)+IF(AP145&gt;=1,1,0)+IF(AQ145&gt;=1,1,0)+IF(AR145&gt;=1,1,0)+IF(AS145&gt;=1,1,0)+IF(AT145&gt;=1,1,0))&gt;=3,"Multi-capacidad (3-4 verticales)",IF((IF(AL145&gt;=1,1,0)+IF(AM145&gt;=1,1,0)+IF(AN145&gt;=1,1,0)+IF(AO145&gt;=1,1,0)+IF(AP145&gt;=1,1,0)+IF(AQ145&gt;=1,1,0)+IF(AR145&gt;=1,1,0)+IF(AS145&gt;=1,1,0)+IF(AT145&gt;=1,1,0))&gt;=1,"Especialista (1-2 verticales)","Sin función mapeada"))))</f>
        <v>Especialista (1-2 verticales)</v>
      </c>
    </row>
    <row r="146" spans="1:50" ht="24" customHeight="1" x14ac:dyDescent="0.2">
      <c r="A146" s="48" t="s">
        <v>1442</v>
      </c>
      <c r="B146" s="48" t="s">
        <v>1443</v>
      </c>
      <c r="C146" s="78" t="str">
        <f>IF(A146="","",IFERROR(INDEX('UNIVERSO MAESTRO'!$C$6:$C$497,MATCH(A146,'UNIVERSO MAESTRO'!$A$6:$A$497,0)),"⚠ ID no encontrado"))</f>
        <v>Uber / Uber Eats</v>
      </c>
      <c r="D146" s="79" t="str">
        <f>IF(A146="","",IFERROR(INDEX('UNIVERSO MAESTRO'!$D$6:$D$497,MATCH(A146,'UNIVERSO MAESTRO'!$A$6:$A$497,0)),""))</f>
        <v>V3</v>
      </c>
      <c r="E146" s="80" t="s">
        <v>353</v>
      </c>
      <c r="F146" s="80" t="s">
        <v>353</v>
      </c>
      <c r="G146" s="80" t="s">
        <v>353</v>
      </c>
      <c r="H146" s="80" t="s">
        <v>353</v>
      </c>
      <c r="I146" s="80" t="s">
        <v>353</v>
      </c>
      <c r="J146" s="80" t="s">
        <v>353</v>
      </c>
      <c r="K146" s="80" t="s">
        <v>353</v>
      </c>
      <c r="L146" s="80" t="s">
        <v>353</v>
      </c>
      <c r="M146" s="80" t="s">
        <v>1530</v>
      </c>
      <c r="N146" s="80" t="s">
        <v>353</v>
      </c>
      <c r="O146" s="80" t="s">
        <v>353</v>
      </c>
      <c r="P146" s="80" t="s">
        <v>353</v>
      </c>
      <c r="Q146" s="80" t="s">
        <v>353</v>
      </c>
      <c r="R146" s="80" t="s">
        <v>353</v>
      </c>
      <c r="S146" s="80" t="s">
        <v>353</v>
      </c>
      <c r="T146" s="80" t="s">
        <v>353</v>
      </c>
      <c r="U146" s="80" t="s">
        <v>353</v>
      </c>
      <c r="V146" s="80" t="s">
        <v>353</v>
      </c>
      <c r="W146" s="80" t="s">
        <v>353</v>
      </c>
      <c r="X146" s="80" t="s">
        <v>353</v>
      </c>
      <c r="Y146" s="80" t="s">
        <v>353</v>
      </c>
      <c r="Z146" s="80" t="s">
        <v>353</v>
      </c>
      <c r="AA146" s="80" t="s">
        <v>353</v>
      </c>
      <c r="AB146" s="80" t="s">
        <v>353</v>
      </c>
      <c r="AC146" s="80" t="s">
        <v>353</v>
      </c>
      <c r="AD146" s="80" t="s">
        <v>353</v>
      </c>
      <c r="AE146" s="80" t="s">
        <v>353</v>
      </c>
      <c r="AF146" s="80" t="s">
        <v>353</v>
      </c>
      <c r="AG146" s="80" t="s">
        <v>353</v>
      </c>
      <c r="AH146" s="80" t="s">
        <v>353</v>
      </c>
      <c r="AI146" s="80" t="s">
        <v>353</v>
      </c>
      <c r="AJ146" s="80" t="s">
        <v>353</v>
      </c>
      <c r="AK146" s="80" t="s">
        <v>353</v>
      </c>
      <c r="AL146" s="81">
        <f>IF(E146="Sí",1,IF(E146="Parcial",0.5,0))+IF(F146="Sí",1,IF(F146="Parcial",0.5,0))+IF(G146="Sí",1,IF(G146="Parcial",0.5,0))+IF(H146="Sí",1,IF(H146="Parcial",0.5,0))</f>
        <v>0</v>
      </c>
      <c r="AM146" s="82">
        <f>IF(I146="Sí",1,IF(I146="Parcial",0.5,0))+IF(J146="Sí",1,IF(J146="Parcial",0.5,0))+IF(K146="Sí",1,IF(K146="Parcial",0.5,0))</f>
        <v>0</v>
      </c>
      <c r="AN146" s="83">
        <f>IF(L146="Sí",1,IF(L146="Parcial",0.5,0))+IF(M146="Sí",1,IF(M146="Parcial",0.5,0))+IF(N146="Sí",1,IF(N146="Parcial",0.5,0))+IF(O146="Sí",1,IF(O146="Parcial",0.5,0))</f>
        <v>1</v>
      </c>
      <c r="AO146" s="84">
        <f>IF(P146="Sí",1,IF(P146="Parcial",0.5,0))+IF(Q146="Sí",1,IF(Q146="Parcial",0.5,0))+IF(R146="Sí",1,IF(R146="Parcial",0.5,0))+IF(S146="Sí",1,IF(S146="Parcial",0.5,0))+IF(T146="Sí",1,IF(T146="Parcial",0.5,0))+IF(U146="Sí",1,IF(U146="Parcial",0.5,0))</f>
        <v>0</v>
      </c>
      <c r="AP146" s="85">
        <f>IF(V146="Sí",1,IF(V146="Parcial",0.5,0))+IF(W146="Sí",1,IF(W146="Parcial",0.5,0))+IF(X146="Sí",1,IF(X146="Parcial",0.5,0))+IF(Y146="Sí",1,IF(Y146="Parcial",0.5,0))</f>
        <v>0</v>
      </c>
      <c r="AQ146" s="86">
        <f>IF(Z146="Sí",1,IF(Z146="Parcial",0.5,0))+IF(AA146="Sí",1,IF(AA146="Parcial",0.5,0))+IF(AB146="Sí",1,IF(AB146="Parcial",0.5,0))</f>
        <v>0</v>
      </c>
      <c r="AR146" s="87">
        <f>IF(AC146="Sí",1,IF(AC146="Parcial",0.5,0))+IF(AD146="Sí",1,IF(AD146="Parcial",0.5,0))+IF(AE146="Sí",1,IF(AE146="Parcial",0.5,0))</f>
        <v>0</v>
      </c>
      <c r="AS146" s="88">
        <f>IF(AF146="Sí",1,IF(AF146="Parcial",0.5,0))+IF(AG146="Sí",1,IF(AG146="Parcial",0.5,0))+IF(AH146="Sí",1,IF(AH146="Parcial",0.5,0))</f>
        <v>0</v>
      </c>
      <c r="AT146" s="89">
        <f>IF(AI146="Sí",1,IF(AI146="Parcial",0.5,0))+IF(AJ146="Sí",1,IF(AJ146="Parcial",0.5,0))+IF(AK146="Sí",1,IF(AK146="Parcial",0.5,0))</f>
        <v>0</v>
      </c>
      <c r="AU146" s="90">
        <f>SUM(AL146,AM146,AN146,AO146,AP146,AQ146,AR146,AS146,AT146)</f>
        <v>1</v>
      </c>
      <c r="AV146" s="225">
        <f>IFERROR(IF(OR(A146="",AU146=0),"",AU146/(IF(AL146&gt;0,1,0)+IF(AM146&gt;0,1,0)+IF(AN146&gt;0,1,0)+IF(AO146&gt;0,1,0)+IF(AP146&gt;0,1,0)+IF(AQ146&gt;0,1,0)+IF(AR146&gt;0,1,0)+IF(AS146&gt;0,1,0)+IF(AT146&gt;0,1,0))),"")</f>
        <v>1</v>
      </c>
      <c r="AW146" s="225">
        <f>IFERROR(IF(OR(A146="",AU146=""),"",IF(AND(MAX($AU$8:$AU$156)=0,MAX($AV$8:$AV$156)=0),"",0.5*(AU146/MAX($AU$8:$AU$156))+0.5*(AV146/MAX($AV$8:$AV$156)))),"")</f>
        <v>0.18055555555555555</v>
      </c>
      <c r="AX146" s="79" t="str">
        <f>IF(A146="","",IF((IF(AL146&gt;=1,1,0)+IF(AM146&gt;=1,1,0)+IF(AN146&gt;=1,1,0)+IF(AO146&gt;=1,1,0)+IF(AP146&gt;=1,1,0)+IF(AQ146&gt;=1,1,0)+IF(AR146&gt;=1,1,0)+IF(AS146&gt;=1,1,0)+IF(AT146&gt;=1,1,0))&gt;=5,"Diversificado (5+ verticales)",IF((IF(AL146&gt;=1,1,0)+IF(AM146&gt;=1,1,0)+IF(AN146&gt;=1,1,0)+IF(AO146&gt;=1,1,0)+IF(AP146&gt;=1,1,0)+IF(AQ146&gt;=1,1,0)+IF(AR146&gt;=1,1,0)+IF(AS146&gt;=1,1,0)+IF(AT146&gt;=1,1,0))&gt;=3,"Multi-capacidad (3-4 verticales)",IF((IF(AL146&gt;=1,1,0)+IF(AM146&gt;=1,1,0)+IF(AN146&gt;=1,1,0)+IF(AO146&gt;=1,1,0)+IF(AP146&gt;=1,1,0)+IF(AQ146&gt;=1,1,0)+IF(AR146&gt;=1,1,0)+IF(AS146&gt;=1,1,0)+IF(AT146&gt;=1,1,0))&gt;=1,"Especialista (1-2 verticales)","Sin función mapeada"))))</f>
        <v>Especialista (1-2 verticales)</v>
      </c>
    </row>
    <row r="147" spans="1:50" ht="24" customHeight="1" x14ac:dyDescent="0.2">
      <c r="A147" s="48" t="s">
        <v>1457</v>
      </c>
      <c r="B147" s="48" t="s">
        <v>1458</v>
      </c>
      <c r="C147" s="78" t="str">
        <f>IF(A147="","",IFERROR(INDEX('UNIVERSO MAESTRO'!$C$6:$C$497,MATCH(A147,'UNIVERSO MAESTRO'!$A$6:$A$497,0)),"⚠ ID no encontrado"))</f>
        <v>Viagogo / Helloticket / Tophop</v>
      </c>
      <c r="D147" s="79" t="str">
        <f>IF(A147="","",IFERROR(INDEX('UNIVERSO MAESTRO'!$D$6:$D$497,MATCH(A147,'UNIVERSO MAESTRO'!$A$6:$A$497,0)),""))</f>
        <v>V6</v>
      </c>
      <c r="E147" s="80" t="s">
        <v>353</v>
      </c>
      <c r="F147" s="80" t="s">
        <v>353</v>
      </c>
      <c r="G147" s="80" t="s">
        <v>353</v>
      </c>
      <c r="H147" s="80" t="s">
        <v>353</v>
      </c>
      <c r="I147" s="80" t="s">
        <v>353</v>
      </c>
      <c r="J147" s="80" t="s">
        <v>353</v>
      </c>
      <c r="K147" s="80" t="s">
        <v>353</v>
      </c>
      <c r="L147" s="80" t="s">
        <v>353</v>
      </c>
      <c r="M147" s="80" t="s">
        <v>353</v>
      </c>
      <c r="N147" s="80" t="s">
        <v>353</v>
      </c>
      <c r="O147" s="80" t="s">
        <v>353</v>
      </c>
      <c r="P147" s="80" t="s">
        <v>353</v>
      </c>
      <c r="Q147" s="80" t="s">
        <v>353</v>
      </c>
      <c r="R147" s="80" t="s">
        <v>353</v>
      </c>
      <c r="S147" s="80" t="s">
        <v>353</v>
      </c>
      <c r="T147" s="80" t="s">
        <v>353</v>
      </c>
      <c r="U147" s="80" t="s">
        <v>353</v>
      </c>
      <c r="V147" s="80" t="s">
        <v>353</v>
      </c>
      <c r="W147" s="80" t="s">
        <v>353</v>
      </c>
      <c r="X147" s="80" t="s">
        <v>353</v>
      </c>
      <c r="Y147" s="80" t="s">
        <v>353</v>
      </c>
      <c r="Z147" s="80" t="s">
        <v>353</v>
      </c>
      <c r="AA147" s="80" t="s">
        <v>1530</v>
      </c>
      <c r="AB147" s="80" t="s">
        <v>353</v>
      </c>
      <c r="AC147" s="80" t="s">
        <v>353</v>
      </c>
      <c r="AD147" s="80" t="s">
        <v>353</v>
      </c>
      <c r="AE147" s="80" t="s">
        <v>353</v>
      </c>
      <c r="AF147" s="80" t="s">
        <v>353</v>
      </c>
      <c r="AG147" s="80" t="s">
        <v>353</v>
      </c>
      <c r="AH147" s="80" t="s">
        <v>353</v>
      </c>
      <c r="AI147" s="80" t="s">
        <v>353</v>
      </c>
      <c r="AJ147" s="80" t="s">
        <v>353</v>
      </c>
      <c r="AK147" s="80" t="s">
        <v>353</v>
      </c>
      <c r="AL147" s="81">
        <f>IF(E147="Sí",1,IF(E147="Parcial",0.5,0))+IF(F147="Sí",1,IF(F147="Parcial",0.5,0))+IF(G147="Sí",1,IF(G147="Parcial",0.5,0))+IF(H147="Sí",1,IF(H147="Parcial",0.5,0))</f>
        <v>0</v>
      </c>
      <c r="AM147" s="82">
        <f>IF(I147="Sí",1,IF(I147="Parcial",0.5,0))+IF(J147="Sí",1,IF(J147="Parcial",0.5,0))+IF(K147="Sí",1,IF(K147="Parcial",0.5,0))</f>
        <v>0</v>
      </c>
      <c r="AN147" s="83">
        <f>IF(L147="Sí",1,IF(L147="Parcial",0.5,0))+IF(M147="Sí",1,IF(M147="Parcial",0.5,0))+IF(N147="Sí",1,IF(N147="Parcial",0.5,0))+IF(O147="Sí",1,IF(O147="Parcial",0.5,0))</f>
        <v>0</v>
      </c>
      <c r="AO147" s="84">
        <f>IF(P147="Sí",1,IF(P147="Parcial",0.5,0))+IF(Q147="Sí",1,IF(Q147="Parcial",0.5,0))+IF(R147="Sí",1,IF(R147="Parcial",0.5,0))+IF(S147="Sí",1,IF(S147="Parcial",0.5,0))+IF(T147="Sí",1,IF(T147="Parcial",0.5,0))+IF(U147="Sí",1,IF(U147="Parcial",0.5,0))</f>
        <v>0</v>
      </c>
      <c r="AP147" s="85">
        <f>IF(V147="Sí",1,IF(V147="Parcial",0.5,0))+IF(W147="Sí",1,IF(W147="Parcial",0.5,0))+IF(X147="Sí",1,IF(X147="Parcial",0.5,0))+IF(Y147="Sí",1,IF(Y147="Parcial",0.5,0))</f>
        <v>0</v>
      </c>
      <c r="AQ147" s="86">
        <f>IF(Z147="Sí",1,IF(Z147="Parcial",0.5,0))+IF(AA147="Sí",1,IF(AA147="Parcial",0.5,0))+IF(AB147="Sí",1,IF(AB147="Parcial",0.5,0))</f>
        <v>1</v>
      </c>
      <c r="AR147" s="87">
        <f>IF(AC147="Sí",1,IF(AC147="Parcial",0.5,0))+IF(AD147="Sí",1,IF(AD147="Parcial",0.5,0))+IF(AE147="Sí",1,IF(AE147="Parcial",0.5,0))</f>
        <v>0</v>
      </c>
      <c r="AS147" s="88">
        <f>IF(AF147="Sí",1,IF(AF147="Parcial",0.5,0))+IF(AG147="Sí",1,IF(AG147="Parcial",0.5,0))+IF(AH147="Sí",1,IF(AH147="Parcial",0.5,0))</f>
        <v>0</v>
      </c>
      <c r="AT147" s="89">
        <f>IF(AI147="Sí",1,IF(AI147="Parcial",0.5,0))+IF(AJ147="Sí",1,IF(AJ147="Parcial",0.5,0))+IF(AK147="Sí",1,IF(AK147="Parcial",0.5,0))</f>
        <v>0</v>
      </c>
      <c r="AU147" s="90">
        <f>SUM(AL147,AM147,AN147,AO147,AP147,AQ147,AR147,AS147,AT147)</f>
        <v>1</v>
      </c>
      <c r="AV147" s="225">
        <f>IFERROR(IF(OR(A147="",AU147=0),"",AU147/(IF(AL147&gt;0,1,0)+IF(AM147&gt;0,1,0)+IF(AN147&gt;0,1,0)+IF(AO147&gt;0,1,0)+IF(AP147&gt;0,1,0)+IF(AQ147&gt;0,1,0)+IF(AR147&gt;0,1,0)+IF(AS147&gt;0,1,0)+IF(AT147&gt;0,1,0))),"")</f>
        <v>1</v>
      </c>
      <c r="AW147" s="225">
        <f>IFERROR(IF(OR(A147="",AU147=""),"",IF(AND(MAX($AU$8:$AU$156)=0,MAX($AV$8:$AV$156)=0),"",0.5*(AU147/MAX($AU$8:$AU$156))+0.5*(AV147/MAX($AV$8:$AV$156)))),"")</f>
        <v>0.18055555555555555</v>
      </c>
      <c r="AX147" s="79" t="str">
        <f>IF(A147="","",IF((IF(AL147&gt;=1,1,0)+IF(AM147&gt;=1,1,0)+IF(AN147&gt;=1,1,0)+IF(AO147&gt;=1,1,0)+IF(AP147&gt;=1,1,0)+IF(AQ147&gt;=1,1,0)+IF(AR147&gt;=1,1,0)+IF(AS147&gt;=1,1,0)+IF(AT147&gt;=1,1,0))&gt;=5,"Diversificado (5+ verticales)",IF((IF(AL147&gt;=1,1,0)+IF(AM147&gt;=1,1,0)+IF(AN147&gt;=1,1,0)+IF(AO147&gt;=1,1,0)+IF(AP147&gt;=1,1,0)+IF(AQ147&gt;=1,1,0)+IF(AR147&gt;=1,1,0)+IF(AS147&gt;=1,1,0)+IF(AT147&gt;=1,1,0))&gt;=3,"Multi-capacidad (3-4 verticales)",IF((IF(AL147&gt;=1,1,0)+IF(AM147&gt;=1,1,0)+IF(AN147&gt;=1,1,0)+IF(AO147&gt;=1,1,0)+IF(AP147&gt;=1,1,0)+IF(AQ147&gt;=1,1,0)+IF(AR147&gt;=1,1,0)+IF(AS147&gt;=1,1,0)+IF(AT147&gt;=1,1,0))&gt;=1,"Especialista (1-2 verticales)","Sin función mapeada"))))</f>
        <v>Especialista (1-2 verticales)</v>
      </c>
    </row>
    <row r="148" spans="1:50" ht="24" customHeight="1" x14ac:dyDescent="0.2">
      <c r="A148" s="48" t="s">
        <v>1483</v>
      </c>
      <c r="B148" s="48" t="s">
        <v>1484</v>
      </c>
      <c r="C148" s="78" t="str">
        <f>IF(A148="","",IFERROR(INDEX('UNIVERSO MAESTRO'!$C$6:$C$497,MATCH(A148,'UNIVERSO MAESTRO'!$A$6:$A$497,0)),"⚠ ID no encontrado"))</f>
        <v>Walmart México</v>
      </c>
      <c r="D148" s="79" t="str">
        <f>IF(A148="","",IFERROR(INDEX('UNIVERSO MAESTRO'!$D$6:$D$497,MATCH(A148,'UNIVERSO MAESTRO'!$A$6:$A$497,0)),""))</f>
        <v>V3</v>
      </c>
      <c r="E148" s="80" t="s">
        <v>353</v>
      </c>
      <c r="F148" s="80" t="s">
        <v>353</v>
      </c>
      <c r="G148" s="80" t="s">
        <v>353</v>
      </c>
      <c r="H148" s="80" t="s">
        <v>353</v>
      </c>
      <c r="I148" s="80" t="s">
        <v>353</v>
      </c>
      <c r="J148" s="80" t="s">
        <v>353</v>
      </c>
      <c r="K148" s="80" t="s">
        <v>353</v>
      </c>
      <c r="L148" s="80" t="s">
        <v>1530</v>
      </c>
      <c r="M148" s="80" t="s">
        <v>353</v>
      </c>
      <c r="N148" s="80" t="s">
        <v>353</v>
      </c>
      <c r="O148" s="80" t="s">
        <v>353</v>
      </c>
      <c r="P148" s="80" t="s">
        <v>353</v>
      </c>
      <c r="Q148" s="80" t="s">
        <v>353</v>
      </c>
      <c r="R148" s="80" t="s">
        <v>353</v>
      </c>
      <c r="S148" s="80" t="s">
        <v>353</v>
      </c>
      <c r="T148" s="80" t="s">
        <v>353</v>
      </c>
      <c r="U148" s="80" t="s">
        <v>353</v>
      </c>
      <c r="V148" s="80" t="s">
        <v>353</v>
      </c>
      <c r="W148" s="80" t="s">
        <v>353</v>
      </c>
      <c r="X148" s="80" t="s">
        <v>353</v>
      </c>
      <c r="Y148" s="80" t="s">
        <v>353</v>
      </c>
      <c r="Z148" s="80" t="s">
        <v>353</v>
      </c>
      <c r="AA148" s="80" t="s">
        <v>353</v>
      </c>
      <c r="AB148" s="80" t="s">
        <v>353</v>
      </c>
      <c r="AC148" s="80" t="s">
        <v>353</v>
      </c>
      <c r="AD148" s="80" t="s">
        <v>353</v>
      </c>
      <c r="AE148" s="80" t="s">
        <v>353</v>
      </c>
      <c r="AF148" s="80" t="s">
        <v>353</v>
      </c>
      <c r="AG148" s="80" t="s">
        <v>353</v>
      </c>
      <c r="AH148" s="80" t="s">
        <v>353</v>
      </c>
      <c r="AI148" s="80" t="s">
        <v>353</v>
      </c>
      <c r="AJ148" s="80" t="s">
        <v>353</v>
      </c>
      <c r="AK148" s="80" t="s">
        <v>353</v>
      </c>
      <c r="AL148" s="81">
        <f>IF(E148="Sí",1,IF(E148="Parcial",0.5,0))+IF(F148="Sí",1,IF(F148="Parcial",0.5,0))+IF(G148="Sí",1,IF(G148="Parcial",0.5,0))+IF(H148="Sí",1,IF(H148="Parcial",0.5,0))</f>
        <v>0</v>
      </c>
      <c r="AM148" s="82">
        <f>IF(I148="Sí",1,IF(I148="Parcial",0.5,0))+IF(J148="Sí",1,IF(J148="Parcial",0.5,0))+IF(K148="Sí",1,IF(K148="Parcial",0.5,0))</f>
        <v>0</v>
      </c>
      <c r="AN148" s="83">
        <f>IF(L148="Sí",1,IF(L148="Parcial",0.5,0))+IF(M148="Sí",1,IF(M148="Parcial",0.5,0))+IF(N148="Sí",1,IF(N148="Parcial",0.5,0))+IF(O148="Sí",1,IF(O148="Parcial",0.5,0))</f>
        <v>1</v>
      </c>
      <c r="AO148" s="84">
        <f>IF(P148="Sí",1,IF(P148="Parcial",0.5,0))+IF(Q148="Sí",1,IF(Q148="Parcial",0.5,0))+IF(R148="Sí",1,IF(R148="Parcial",0.5,0))+IF(S148="Sí",1,IF(S148="Parcial",0.5,0))+IF(T148="Sí",1,IF(T148="Parcial",0.5,0))+IF(U148="Sí",1,IF(U148="Parcial",0.5,0))</f>
        <v>0</v>
      </c>
      <c r="AP148" s="85">
        <f>IF(V148="Sí",1,IF(V148="Parcial",0.5,0))+IF(W148="Sí",1,IF(W148="Parcial",0.5,0))+IF(X148="Sí",1,IF(X148="Parcial",0.5,0))+IF(Y148="Sí",1,IF(Y148="Parcial",0.5,0))</f>
        <v>0</v>
      </c>
      <c r="AQ148" s="86">
        <f>IF(Z148="Sí",1,IF(Z148="Parcial",0.5,0))+IF(AA148="Sí",1,IF(AA148="Parcial",0.5,0))+IF(AB148="Sí",1,IF(AB148="Parcial",0.5,0))</f>
        <v>0</v>
      </c>
      <c r="AR148" s="87">
        <f>IF(AC148="Sí",1,IF(AC148="Parcial",0.5,0))+IF(AD148="Sí",1,IF(AD148="Parcial",0.5,0))+IF(AE148="Sí",1,IF(AE148="Parcial",0.5,0))</f>
        <v>0</v>
      </c>
      <c r="AS148" s="88">
        <f>IF(AF148="Sí",1,IF(AF148="Parcial",0.5,0))+IF(AG148="Sí",1,IF(AG148="Parcial",0.5,0))+IF(AH148="Sí",1,IF(AH148="Parcial",0.5,0))</f>
        <v>0</v>
      </c>
      <c r="AT148" s="89">
        <f>IF(AI148="Sí",1,IF(AI148="Parcial",0.5,0))+IF(AJ148="Sí",1,IF(AJ148="Parcial",0.5,0))+IF(AK148="Sí",1,IF(AK148="Parcial",0.5,0))</f>
        <v>0</v>
      </c>
      <c r="AU148" s="90">
        <f>SUM(AL148,AM148,AN148,AO148,AP148,AQ148,AR148,AS148,AT148)</f>
        <v>1</v>
      </c>
      <c r="AV148" s="225">
        <f>IFERROR(IF(OR(A148="",AU148=0),"",AU148/(IF(AL148&gt;0,1,0)+IF(AM148&gt;0,1,0)+IF(AN148&gt;0,1,0)+IF(AO148&gt;0,1,0)+IF(AP148&gt;0,1,0)+IF(AQ148&gt;0,1,0)+IF(AR148&gt;0,1,0)+IF(AS148&gt;0,1,0)+IF(AT148&gt;0,1,0))),"")</f>
        <v>1</v>
      </c>
      <c r="AW148" s="225">
        <f>IFERROR(IF(OR(A148="",AU148=""),"",IF(AND(MAX($AU$8:$AU$156)=0,MAX($AV$8:$AV$156)=0),"",0.5*(AU148/MAX($AU$8:$AU$156))+0.5*(AV148/MAX($AV$8:$AV$156)))),"")</f>
        <v>0.18055555555555555</v>
      </c>
      <c r="AX148" s="79" t="str">
        <f>IF(A148="","",IF((IF(AL148&gt;=1,1,0)+IF(AM148&gt;=1,1,0)+IF(AN148&gt;=1,1,0)+IF(AO148&gt;=1,1,0)+IF(AP148&gt;=1,1,0)+IF(AQ148&gt;=1,1,0)+IF(AR148&gt;=1,1,0)+IF(AS148&gt;=1,1,0)+IF(AT148&gt;=1,1,0))&gt;=5,"Diversificado (5+ verticales)",IF((IF(AL148&gt;=1,1,0)+IF(AM148&gt;=1,1,0)+IF(AN148&gt;=1,1,0)+IF(AO148&gt;=1,1,0)+IF(AP148&gt;=1,1,0)+IF(AQ148&gt;=1,1,0)+IF(AR148&gt;=1,1,0)+IF(AS148&gt;=1,1,0)+IF(AT148&gt;=1,1,0))&gt;=3,"Multi-capacidad (3-4 verticales)",IF((IF(AL148&gt;=1,1,0)+IF(AM148&gt;=1,1,0)+IF(AN148&gt;=1,1,0)+IF(AO148&gt;=1,1,0)+IF(AP148&gt;=1,1,0)+IF(AQ148&gt;=1,1,0)+IF(AR148&gt;=1,1,0)+IF(AS148&gt;=1,1,0)+IF(AT148&gt;=1,1,0))&gt;=1,"Especialista (1-2 verticales)","Sin función mapeada"))))</f>
        <v>Especialista (1-2 verticales)</v>
      </c>
    </row>
    <row r="149" spans="1:50" ht="24" customHeight="1" x14ac:dyDescent="0.2">
      <c r="A149" s="48" t="s">
        <v>389</v>
      </c>
      <c r="B149" s="48" t="s">
        <v>390</v>
      </c>
      <c r="C149" s="78" t="str">
        <f>IF(A149="","",IFERROR(INDEX('UNIVERSO MAESTRO'!$C$6:$C$497,MATCH(A149,'UNIVERSO MAESTRO'!$A$6:$A$497,0)),"⚠ ID no encontrado"))</f>
        <v>Charros de Jalisco (LMB + LMP)</v>
      </c>
      <c r="D149" s="79" t="str">
        <f>IF(A149="","",IFERROR(INDEX('UNIVERSO MAESTRO'!$D$6:$D$497,MATCH(A149,'UNIVERSO MAESTRO'!$A$6:$A$497,0)),""))</f>
        <v>V1</v>
      </c>
      <c r="E149" s="80" t="s">
        <v>1530</v>
      </c>
      <c r="F149" s="80" t="s">
        <v>353</v>
      </c>
      <c r="G149" s="80" t="s">
        <v>353</v>
      </c>
      <c r="H149" s="80" t="s">
        <v>353</v>
      </c>
      <c r="I149" s="80" t="s">
        <v>353</v>
      </c>
      <c r="J149" s="80" t="s">
        <v>353</v>
      </c>
      <c r="K149" s="80" t="s">
        <v>353</v>
      </c>
      <c r="L149" s="80" t="s">
        <v>353</v>
      </c>
      <c r="M149" s="80" t="s">
        <v>353</v>
      </c>
      <c r="N149" s="80" t="s">
        <v>353</v>
      </c>
      <c r="O149" s="80" t="s">
        <v>353</v>
      </c>
      <c r="P149" s="80" t="s">
        <v>353</v>
      </c>
      <c r="Q149" s="80" t="s">
        <v>353</v>
      </c>
      <c r="R149" s="80" t="s">
        <v>353</v>
      </c>
      <c r="S149" s="80" t="s">
        <v>353</v>
      </c>
      <c r="T149" s="80" t="s">
        <v>353</v>
      </c>
      <c r="U149" s="80" t="s">
        <v>353</v>
      </c>
      <c r="V149" s="80" t="s">
        <v>353</v>
      </c>
      <c r="W149" s="80" t="s">
        <v>353</v>
      </c>
      <c r="X149" s="80" t="s">
        <v>353</v>
      </c>
      <c r="Y149" s="80" t="s">
        <v>353</v>
      </c>
      <c r="Z149" s="80" t="s">
        <v>353</v>
      </c>
      <c r="AA149" s="80" t="s">
        <v>353</v>
      </c>
      <c r="AB149" s="80" t="s">
        <v>353</v>
      </c>
      <c r="AC149" s="80" t="s">
        <v>353</v>
      </c>
      <c r="AD149" s="80" t="s">
        <v>3340</v>
      </c>
      <c r="AE149" s="80" t="s">
        <v>353</v>
      </c>
      <c r="AF149" s="80" t="s">
        <v>353</v>
      </c>
      <c r="AG149" s="80" t="s">
        <v>353</v>
      </c>
      <c r="AH149" s="80" t="s">
        <v>353</v>
      </c>
      <c r="AI149" s="80" t="s">
        <v>353</v>
      </c>
      <c r="AJ149" s="80" t="s">
        <v>353</v>
      </c>
      <c r="AK149" s="80" t="s">
        <v>353</v>
      </c>
      <c r="AL149" s="81">
        <f>IF(E149="Sí",1,IF(E149="Parcial",0.5,0))+IF(F149="Sí",1,IF(F149="Parcial",0.5,0))+IF(G149="Sí",1,IF(G149="Parcial",0.5,0))+IF(H149="Sí",1,IF(H149="Parcial",0.5,0))</f>
        <v>1</v>
      </c>
      <c r="AM149" s="82">
        <f>IF(I149="Sí",1,IF(I149="Parcial",0.5,0))+IF(J149="Sí",1,IF(J149="Parcial",0.5,0))+IF(K149="Sí",1,IF(K149="Parcial",0.5,0))</f>
        <v>0</v>
      </c>
      <c r="AN149" s="83">
        <f>IF(L149="Sí",1,IF(L149="Parcial",0.5,0))+IF(M149="Sí",1,IF(M149="Parcial",0.5,0))+IF(N149="Sí",1,IF(N149="Parcial",0.5,0))+IF(O149="Sí",1,IF(O149="Parcial",0.5,0))</f>
        <v>0</v>
      </c>
      <c r="AO149" s="84">
        <f>IF(P149="Sí",1,IF(P149="Parcial",0.5,0))+IF(Q149="Sí",1,IF(Q149="Parcial",0.5,0))+IF(R149="Sí",1,IF(R149="Parcial",0.5,0))+IF(S149="Sí",1,IF(S149="Parcial",0.5,0))+IF(T149="Sí",1,IF(T149="Parcial",0.5,0))+IF(U149="Sí",1,IF(U149="Parcial",0.5,0))</f>
        <v>0</v>
      </c>
      <c r="AP149" s="85">
        <f>IF(V149="Sí",1,IF(V149="Parcial",0.5,0))+IF(W149="Sí",1,IF(W149="Parcial",0.5,0))+IF(X149="Sí",1,IF(X149="Parcial",0.5,0))+IF(Y149="Sí",1,IF(Y149="Parcial",0.5,0))</f>
        <v>0</v>
      </c>
      <c r="AQ149" s="86">
        <f>IF(Z149="Sí",1,IF(Z149="Parcial",0.5,0))+IF(AA149="Sí",1,IF(AA149="Parcial",0.5,0))+IF(AB149="Sí",1,IF(AB149="Parcial",0.5,0))</f>
        <v>0</v>
      </c>
      <c r="AR149" s="87">
        <f>IF(AC149="Sí",1,IF(AC149="Parcial",0.5,0))+IF(AD149="Sí",1,IF(AD149="Parcial",0.5,0))+IF(AE149="Sí",1,IF(AE149="Parcial",0.5,0))</f>
        <v>0.5</v>
      </c>
      <c r="AS149" s="88">
        <f>IF(AF149="Sí",1,IF(AF149="Parcial",0.5,0))+IF(AG149="Sí",1,IF(AG149="Parcial",0.5,0))+IF(AH149="Sí",1,IF(AH149="Parcial",0.5,0))</f>
        <v>0</v>
      </c>
      <c r="AT149" s="89">
        <f>IF(AI149="Sí",1,IF(AI149="Parcial",0.5,0))+IF(AJ149="Sí",1,IF(AJ149="Parcial",0.5,0))+IF(AK149="Sí",1,IF(AK149="Parcial",0.5,0))</f>
        <v>0</v>
      </c>
      <c r="AU149" s="90">
        <f>SUM(AL149,AM149,AN149,AO149,AP149,AQ149,AR149,AS149,AT149)</f>
        <v>1.5</v>
      </c>
      <c r="AV149" s="225">
        <f>IFERROR(IF(OR(A149="",AU149=0),"",AU149/(IF(AL149&gt;0,1,0)+IF(AM149&gt;0,1,0)+IF(AN149&gt;0,1,0)+IF(AO149&gt;0,1,0)+IF(AP149&gt;0,1,0)+IF(AQ149&gt;0,1,0)+IF(AR149&gt;0,1,0)+IF(AS149&gt;0,1,0)+IF(AT149&gt;0,1,0))),"")</f>
        <v>0.75</v>
      </c>
      <c r="AW149" s="225">
        <f>IFERROR(IF(OR(A149="",AU149=""),"",IF(AND(MAX($AU$8:$AU$156)=0,MAX($AV$8:$AV$156)=0),"",0.5*(AU149/MAX($AU$8:$AU$156))+0.5*(AV149/MAX($AV$8:$AV$156)))),"")</f>
        <v>0.17708333333333331</v>
      </c>
      <c r="AX149" s="79" t="str">
        <f>IF(A149="","",IF((IF(AL149&gt;=1,1,0)+IF(AM149&gt;=1,1,0)+IF(AN149&gt;=1,1,0)+IF(AO149&gt;=1,1,0)+IF(AP149&gt;=1,1,0)+IF(AQ149&gt;=1,1,0)+IF(AR149&gt;=1,1,0)+IF(AS149&gt;=1,1,0)+IF(AT149&gt;=1,1,0))&gt;=5,"Diversificado (5+ verticales)",IF((IF(AL149&gt;=1,1,0)+IF(AM149&gt;=1,1,0)+IF(AN149&gt;=1,1,0)+IF(AO149&gt;=1,1,0)+IF(AP149&gt;=1,1,0)+IF(AQ149&gt;=1,1,0)+IF(AR149&gt;=1,1,0)+IF(AS149&gt;=1,1,0)+IF(AT149&gt;=1,1,0))&gt;=3,"Multi-capacidad (3-4 verticales)",IF((IF(AL149&gt;=1,1,0)+IF(AM149&gt;=1,1,0)+IF(AN149&gt;=1,1,0)+IF(AO149&gt;=1,1,0)+IF(AP149&gt;=1,1,0)+IF(AQ149&gt;=1,1,0)+IF(AR149&gt;=1,1,0)+IF(AS149&gt;=1,1,0)+IF(AT149&gt;=1,1,0))&gt;=1,"Especialista (1-2 verticales)","Sin función mapeada"))))</f>
        <v>Especialista (1-2 verticales)</v>
      </c>
    </row>
    <row r="150" spans="1:50" ht="24" customHeight="1" x14ac:dyDescent="0.2">
      <c r="A150" s="48" t="s">
        <v>528</v>
      </c>
      <c r="B150" s="48" t="s">
        <v>529</v>
      </c>
      <c r="C150" s="78" t="str">
        <f>IF(A150="","",IFERROR(INDEX('UNIVERSO MAESTRO'!$C$6:$C$497,MATCH(A150,'UNIVERSO MAESTRO'!$A$6:$A$497,0)),"⚠ ID no encontrado"))</f>
        <v>Elevate Sports Ventures</v>
      </c>
      <c r="D150" s="79" t="str">
        <f>IF(A150="","",IFERROR(INDEX('UNIVERSO MAESTRO'!$D$6:$D$497,MATCH(A150,'UNIVERSO MAESTRO'!$A$6:$A$497,0)),""))</f>
        <v>V5</v>
      </c>
      <c r="E150" s="80" t="s">
        <v>353</v>
      </c>
      <c r="F150" s="80" t="s">
        <v>353</v>
      </c>
      <c r="G150" s="80" t="s">
        <v>353</v>
      </c>
      <c r="H150" s="80" t="s">
        <v>353</v>
      </c>
      <c r="I150" s="80" t="s">
        <v>353</v>
      </c>
      <c r="J150" s="80" t="s">
        <v>353</v>
      </c>
      <c r="K150" s="80" t="s">
        <v>353</v>
      </c>
      <c r="L150" s="80" t="s">
        <v>353</v>
      </c>
      <c r="M150" s="80" t="s">
        <v>353</v>
      </c>
      <c r="N150" s="80" t="s">
        <v>353</v>
      </c>
      <c r="O150" s="80" t="s">
        <v>353</v>
      </c>
      <c r="P150" s="80" t="s">
        <v>353</v>
      </c>
      <c r="Q150" s="80" t="s">
        <v>353</v>
      </c>
      <c r="R150" s="80" t="s">
        <v>353</v>
      </c>
      <c r="S150" s="80" t="s">
        <v>353</v>
      </c>
      <c r="T150" s="80" t="s">
        <v>353</v>
      </c>
      <c r="U150" s="80" t="s">
        <v>353</v>
      </c>
      <c r="V150" s="80" t="s">
        <v>353</v>
      </c>
      <c r="W150" s="80" t="s">
        <v>1530</v>
      </c>
      <c r="X150" s="80" t="s">
        <v>353</v>
      </c>
      <c r="Y150" s="80" t="s">
        <v>353</v>
      </c>
      <c r="Z150" s="80" t="s">
        <v>353</v>
      </c>
      <c r="AA150" s="80" t="s">
        <v>353</v>
      </c>
      <c r="AB150" s="80" t="s">
        <v>353</v>
      </c>
      <c r="AC150" s="80" t="s">
        <v>353</v>
      </c>
      <c r="AD150" s="80" t="s">
        <v>3340</v>
      </c>
      <c r="AE150" s="80" t="s">
        <v>353</v>
      </c>
      <c r="AF150" s="80" t="s">
        <v>353</v>
      </c>
      <c r="AG150" s="80" t="s">
        <v>353</v>
      </c>
      <c r="AH150" s="80" t="s">
        <v>353</v>
      </c>
      <c r="AI150" s="80" t="s">
        <v>353</v>
      </c>
      <c r="AJ150" s="80" t="s">
        <v>353</v>
      </c>
      <c r="AK150" s="80" t="s">
        <v>353</v>
      </c>
      <c r="AL150" s="81">
        <f>IF(E150="Sí",1,IF(E150="Parcial",0.5,0))+IF(F150="Sí",1,IF(F150="Parcial",0.5,0))+IF(G150="Sí",1,IF(G150="Parcial",0.5,0))+IF(H150="Sí",1,IF(H150="Parcial",0.5,0))</f>
        <v>0</v>
      </c>
      <c r="AM150" s="82">
        <f>IF(I150="Sí",1,IF(I150="Parcial",0.5,0))+IF(J150="Sí",1,IF(J150="Parcial",0.5,0))+IF(K150="Sí",1,IF(K150="Parcial",0.5,0))</f>
        <v>0</v>
      </c>
      <c r="AN150" s="83">
        <f>IF(L150="Sí",1,IF(L150="Parcial",0.5,0))+IF(M150="Sí",1,IF(M150="Parcial",0.5,0))+IF(N150="Sí",1,IF(N150="Parcial",0.5,0))+IF(O150="Sí",1,IF(O150="Parcial",0.5,0))</f>
        <v>0</v>
      </c>
      <c r="AO150" s="84">
        <f>IF(P150="Sí",1,IF(P150="Parcial",0.5,0))+IF(Q150="Sí",1,IF(Q150="Parcial",0.5,0))+IF(R150="Sí",1,IF(R150="Parcial",0.5,0))+IF(S150="Sí",1,IF(S150="Parcial",0.5,0))+IF(T150="Sí",1,IF(T150="Parcial",0.5,0))+IF(U150="Sí",1,IF(U150="Parcial",0.5,0))</f>
        <v>0</v>
      </c>
      <c r="AP150" s="85">
        <f>IF(V150="Sí",1,IF(V150="Parcial",0.5,0))+IF(W150="Sí",1,IF(W150="Parcial",0.5,0))+IF(X150="Sí",1,IF(X150="Parcial",0.5,0))+IF(Y150="Sí",1,IF(Y150="Parcial",0.5,0))</f>
        <v>1</v>
      </c>
      <c r="AQ150" s="86">
        <f>IF(Z150="Sí",1,IF(Z150="Parcial",0.5,0))+IF(AA150="Sí",1,IF(AA150="Parcial",0.5,0))+IF(AB150="Sí",1,IF(AB150="Parcial",0.5,0))</f>
        <v>0</v>
      </c>
      <c r="AR150" s="87">
        <f>IF(AC150="Sí",1,IF(AC150="Parcial",0.5,0))+IF(AD150="Sí",1,IF(AD150="Parcial",0.5,0))+IF(AE150="Sí",1,IF(AE150="Parcial",0.5,0))</f>
        <v>0.5</v>
      </c>
      <c r="AS150" s="88">
        <f>IF(AF150="Sí",1,IF(AF150="Parcial",0.5,0))+IF(AG150="Sí",1,IF(AG150="Parcial",0.5,0))+IF(AH150="Sí",1,IF(AH150="Parcial",0.5,0))</f>
        <v>0</v>
      </c>
      <c r="AT150" s="89">
        <f>IF(AI150="Sí",1,IF(AI150="Parcial",0.5,0))+IF(AJ150="Sí",1,IF(AJ150="Parcial",0.5,0))+IF(AK150="Sí",1,IF(AK150="Parcial",0.5,0))</f>
        <v>0</v>
      </c>
      <c r="AU150" s="90">
        <f>SUM(AL150,AM150,AN150,AO150,AP150,AQ150,AR150,AS150,AT150)</f>
        <v>1.5</v>
      </c>
      <c r="AV150" s="225">
        <f>IFERROR(IF(OR(A150="",AU150=0),"",AU150/(IF(AL150&gt;0,1,0)+IF(AM150&gt;0,1,0)+IF(AN150&gt;0,1,0)+IF(AO150&gt;0,1,0)+IF(AP150&gt;0,1,0)+IF(AQ150&gt;0,1,0)+IF(AR150&gt;0,1,0)+IF(AS150&gt;0,1,0)+IF(AT150&gt;0,1,0))),"")</f>
        <v>0.75</v>
      </c>
      <c r="AW150" s="225">
        <f>IFERROR(IF(OR(A150="",AU150=""),"",IF(AND(MAX($AU$8:$AU$156)=0,MAX($AV$8:$AV$156)=0),"",0.5*(AU150/MAX($AU$8:$AU$156))+0.5*(AV150/MAX($AV$8:$AV$156)))),"")</f>
        <v>0.17708333333333331</v>
      </c>
      <c r="AX150" s="79" t="str">
        <f>IF(A150="","",IF((IF(AL150&gt;=1,1,0)+IF(AM150&gt;=1,1,0)+IF(AN150&gt;=1,1,0)+IF(AO150&gt;=1,1,0)+IF(AP150&gt;=1,1,0)+IF(AQ150&gt;=1,1,0)+IF(AR150&gt;=1,1,0)+IF(AS150&gt;=1,1,0)+IF(AT150&gt;=1,1,0))&gt;=5,"Diversificado (5+ verticales)",IF((IF(AL150&gt;=1,1,0)+IF(AM150&gt;=1,1,0)+IF(AN150&gt;=1,1,0)+IF(AO150&gt;=1,1,0)+IF(AP150&gt;=1,1,0)+IF(AQ150&gt;=1,1,0)+IF(AR150&gt;=1,1,0)+IF(AS150&gt;=1,1,0)+IF(AT150&gt;=1,1,0))&gt;=3,"Multi-capacidad (3-4 verticales)",IF((IF(AL150&gt;=1,1,0)+IF(AM150&gt;=1,1,0)+IF(AN150&gt;=1,1,0)+IF(AO150&gt;=1,1,0)+IF(AP150&gt;=1,1,0)+IF(AQ150&gt;=1,1,0)+IF(AR150&gt;=1,1,0)+IF(AS150&gt;=1,1,0)+IF(AT150&gt;=1,1,0))&gt;=1,"Especialista (1-2 verticales)","Sin función mapeada"))))</f>
        <v>Especialista (1-2 verticales)</v>
      </c>
    </row>
    <row r="151" spans="1:50" ht="24" customHeight="1" x14ac:dyDescent="0.2">
      <c r="A151" s="48" t="s">
        <v>1093</v>
      </c>
      <c r="B151" s="48" t="s">
        <v>1094</v>
      </c>
      <c r="C151" s="78" t="str">
        <f>IF(A151="","",IFERROR(INDEX('UNIVERSO MAESTRO'!$C$6:$C$497,MATCH(A151,'UNIVERSO MAESTRO'!$A$6:$A$497,0)),"⚠ ID no encontrado"))</f>
        <v>Naranjeros de Hermosillo (LMP)</v>
      </c>
      <c r="D151" s="79" t="str">
        <f>IF(A151="","",IFERROR(INDEX('UNIVERSO MAESTRO'!$D$6:$D$497,MATCH(A151,'UNIVERSO MAESTRO'!$A$6:$A$497,0)),""))</f>
        <v>V1</v>
      </c>
      <c r="E151" s="80" t="s">
        <v>1530</v>
      </c>
      <c r="F151" s="80" t="s">
        <v>353</v>
      </c>
      <c r="G151" s="80" t="s">
        <v>353</v>
      </c>
      <c r="H151" s="80" t="s">
        <v>353</v>
      </c>
      <c r="I151" s="80" t="s">
        <v>353</v>
      </c>
      <c r="J151" s="80" t="s">
        <v>353</v>
      </c>
      <c r="K151" s="80" t="s">
        <v>353</v>
      </c>
      <c r="L151" s="80" t="s">
        <v>353</v>
      </c>
      <c r="M151" s="80" t="s">
        <v>353</v>
      </c>
      <c r="N151" s="80" t="s">
        <v>353</v>
      </c>
      <c r="O151" s="80" t="s">
        <v>353</v>
      </c>
      <c r="P151" s="80" t="s">
        <v>353</v>
      </c>
      <c r="Q151" s="80" t="s">
        <v>353</v>
      </c>
      <c r="R151" s="80" t="s">
        <v>353</v>
      </c>
      <c r="S151" s="80" t="s">
        <v>353</v>
      </c>
      <c r="T151" s="80" t="s">
        <v>353</v>
      </c>
      <c r="U151" s="80" t="s">
        <v>353</v>
      </c>
      <c r="V151" s="80" t="s">
        <v>353</v>
      </c>
      <c r="W151" s="80" t="s">
        <v>353</v>
      </c>
      <c r="X151" s="80" t="s">
        <v>353</v>
      </c>
      <c r="Y151" s="80" t="s">
        <v>353</v>
      </c>
      <c r="Z151" s="80" t="s">
        <v>353</v>
      </c>
      <c r="AA151" s="80" t="s">
        <v>353</v>
      </c>
      <c r="AB151" s="80" t="s">
        <v>353</v>
      </c>
      <c r="AC151" s="80" t="s">
        <v>353</v>
      </c>
      <c r="AD151" s="80" t="s">
        <v>3340</v>
      </c>
      <c r="AE151" s="80" t="s">
        <v>353</v>
      </c>
      <c r="AF151" s="80" t="s">
        <v>353</v>
      </c>
      <c r="AG151" s="80" t="s">
        <v>353</v>
      </c>
      <c r="AH151" s="80" t="s">
        <v>353</v>
      </c>
      <c r="AI151" s="80" t="s">
        <v>353</v>
      </c>
      <c r="AJ151" s="80" t="s">
        <v>353</v>
      </c>
      <c r="AK151" s="80" t="s">
        <v>353</v>
      </c>
      <c r="AL151" s="81">
        <f>IF(E151="Sí",1,IF(E151="Parcial",0.5,0))+IF(F151="Sí",1,IF(F151="Parcial",0.5,0))+IF(G151="Sí",1,IF(G151="Parcial",0.5,0))+IF(H151="Sí",1,IF(H151="Parcial",0.5,0))</f>
        <v>1</v>
      </c>
      <c r="AM151" s="82">
        <f>IF(I151="Sí",1,IF(I151="Parcial",0.5,0))+IF(J151="Sí",1,IF(J151="Parcial",0.5,0))+IF(K151="Sí",1,IF(K151="Parcial",0.5,0))</f>
        <v>0</v>
      </c>
      <c r="AN151" s="83">
        <f>IF(L151="Sí",1,IF(L151="Parcial",0.5,0))+IF(M151="Sí",1,IF(M151="Parcial",0.5,0))+IF(N151="Sí",1,IF(N151="Parcial",0.5,0))+IF(O151="Sí",1,IF(O151="Parcial",0.5,0))</f>
        <v>0</v>
      </c>
      <c r="AO151" s="84">
        <f>IF(P151="Sí",1,IF(P151="Parcial",0.5,0))+IF(Q151="Sí",1,IF(Q151="Parcial",0.5,0))+IF(R151="Sí",1,IF(R151="Parcial",0.5,0))+IF(S151="Sí",1,IF(S151="Parcial",0.5,0))+IF(T151="Sí",1,IF(T151="Parcial",0.5,0))+IF(U151="Sí",1,IF(U151="Parcial",0.5,0))</f>
        <v>0</v>
      </c>
      <c r="AP151" s="85">
        <f>IF(V151="Sí",1,IF(V151="Parcial",0.5,0))+IF(W151="Sí",1,IF(W151="Parcial",0.5,0))+IF(X151="Sí",1,IF(X151="Parcial",0.5,0))+IF(Y151="Sí",1,IF(Y151="Parcial",0.5,0))</f>
        <v>0</v>
      </c>
      <c r="AQ151" s="86">
        <f>IF(Z151="Sí",1,IF(Z151="Parcial",0.5,0))+IF(AA151="Sí",1,IF(AA151="Parcial",0.5,0))+IF(AB151="Sí",1,IF(AB151="Parcial",0.5,0))</f>
        <v>0</v>
      </c>
      <c r="AR151" s="87">
        <f>IF(AC151="Sí",1,IF(AC151="Parcial",0.5,0))+IF(AD151="Sí",1,IF(AD151="Parcial",0.5,0))+IF(AE151="Sí",1,IF(AE151="Parcial",0.5,0))</f>
        <v>0.5</v>
      </c>
      <c r="AS151" s="88">
        <f>IF(AF151="Sí",1,IF(AF151="Parcial",0.5,0))+IF(AG151="Sí",1,IF(AG151="Parcial",0.5,0))+IF(AH151="Sí",1,IF(AH151="Parcial",0.5,0))</f>
        <v>0</v>
      </c>
      <c r="AT151" s="89">
        <f>IF(AI151="Sí",1,IF(AI151="Parcial",0.5,0))+IF(AJ151="Sí",1,IF(AJ151="Parcial",0.5,0))+IF(AK151="Sí",1,IF(AK151="Parcial",0.5,0))</f>
        <v>0</v>
      </c>
      <c r="AU151" s="90">
        <f>SUM(AL151,AM151,AN151,AO151,AP151,AQ151,AR151,AS151,AT151)</f>
        <v>1.5</v>
      </c>
      <c r="AV151" s="225">
        <f>IFERROR(IF(OR(A151="",AU151=0),"",AU151/(IF(AL151&gt;0,1,0)+IF(AM151&gt;0,1,0)+IF(AN151&gt;0,1,0)+IF(AO151&gt;0,1,0)+IF(AP151&gt;0,1,0)+IF(AQ151&gt;0,1,0)+IF(AR151&gt;0,1,0)+IF(AS151&gt;0,1,0)+IF(AT151&gt;0,1,0))),"")</f>
        <v>0.75</v>
      </c>
      <c r="AW151" s="225">
        <f>IFERROR(IF(OR(A151="",AU151=""),"",IF(AND(MAX($AU$8:$AU$156)=0,MAX($AV$8:$AV$156)=0),"",0.5*(AU151/MAX($AU$8:$AU$156))+0.5*(AV151/MAX($AV$8:$AV$156)))),"")</f>
        <v>0.17708333333333331</v>
      </c>
      <c r="AX151" s="79" t="str">
        <f>IF(A151="","",IF((IF(AL151&gt;=1,1,0)+IF(AM151&gt;=1,1,0)+IF(AN151&gt;=1,1,0)+IF(AO151&gt;=1,1,0)+IF(AP151&gt;=1,1,0)+IF(AQ151&gt;=1,1,0)+IF(AR151&gt;=1,1,0)+IF(AS151&gt;=1,1,0)+IF(AT151&gt;=1,1,0))&gt;=5,"Diversificado (5+ verticales)",IF((IF(AL151&gt;=1,1,0)+IF(AM151&gt;=1,1,0)+IF(AN151&gt;=1,1,0)+IF(AO151&gt;=1,1,0)+IF(AP151&gt;=1,1,0)+IF(AQ151&gt;=1,1,0)+IF(AR151&gt;=1,1,0)+IF(AS151&gt;=1,1,0)+IF(AT151&gt;=1,1,0))&gt;=3,"Multi-capacidad (3-4 verticales)",IF((IF(AL151&gt;=1,1,0)+IF(AM151&gt;=1,1,0)+IF(AN151&gt;=1,1,0)+IF(AO151&gt;=1,1,0)+IF(AP151&gt;=1,1,0)+IF(AQ151&gt;=1,1,0)+IF(AR151&gt;=1,1,0)+IF(AS151&gt;=1,1,0)+IF(AT151&gt;=1,1,0))&gt;=1,"Especialista (1-2 verticales)","Sin función mapeada"))))</f>
        <v>Especialista (1-2 verticales)</v>
      </c>
    </row>
    <row r="152" spans="1:50" ht="24" customHeight="1" x14ac:dyDescent="0.2">
      <c r="A152" s="48" t="s">
        <v>1449</v>
      </c>
      <c r="B152" s="48" t="s">
        <v>1450</v>
      </c>
      <c r="C152" s="78" t="str">
        <f>IF(A152="","",IFERROR(INDEX('UNIVERSO MAESTRO'!$C$6:$C$497,MATCH(A152,'UNIVERSO MAESTRO'!$A$6:$A$497,0)),"⚠ ID no encontrado"))</f>
        <v>Venados de Mazatlán (LMP)</v>
      </c>
      <c r="D152" s="79" t="str">
        <f>IF(A152="","",IFERROR(INDEX('UNIVERSO MAESTRO'!$D$6:$D$497,MATCH(A152,'UNIVERSO MAESTRO'!$A$6:$A$497,0)),""))</f>
        <v>V1</v>
      </c>
      <c r="E152" s="80" t="s">
        <v>1530</v>
      </c>
      <c r="F152" s="80" t="s">
        <v>353</v>
      </c>
      <c r="G152" s="80" t="s">
        <v>353</v>
      </c>
      <c r="H152" s="80" t="s">
        <v>353</v>
      </c>
      <c r="I152" s="80" t="s">
        <v>353</v>
      </c>
      <c r="J152" s="80" t="s">
        <v>353</v>
      </c>
      <c r="K152" s="80" t="s">
        <v>353</v>
      </c>
      <c r="L152" s="80" t="s">
        <v>353</v>
      </c>
      <c r="M152" s="80" t="s">
        <v>353</v>
      </c>
      <c r="N152" s="80" t="s">
        <v>353</v>
      </c>
      <c r="O152" s="80" t="s">
        <v>353</v>
      </c>
      <c r="P152" s="80" t="s">
        <v>353</v>
      </c>
      <c r="Q152" s="80" t="s">
        <v>353</v>
      </c>
      <c r="R152" s="80" t="s">
        <v>353</v>
      </c>
      <c r="S152" s="80" t="s">
        <v>353</v>
      </c>
      <c r="T152" s="80" t="s">
        <v>353</v>
      </c>
      <c r="U152" s="80" t="s">
        <v>353</v>
      </c>
      <c r="V152" s="80" t="s">
        <v>353</v>
      </c>
      <c r="W152" s="80" t="s">
        <v>353</v>
      </c>
      <c r="X152" s="80" t="s">
        <v>353</v>
      </c>
      <c r="Y152" s="80" t="s">
        <v>353</v>
      </c>
      <c r="Z152" s="80" t="s">
        <v>353</v>
      </c>
      <c r="AA152" s="80" t="s">
        <v>353</v>
      </c>
      <c r="AB152" s="80" t="s">
        <v>353</v>
      </c>
      <c r="AC152" s="80" t="s">
        <v>353</v>
      </c>
      <c r="AD152" s="80" t="s">
        <v>3340</v>
      </c>
      <c r="AE152" s="80" t="s">
        <v>353</v>
      </c>
      <c r="AF152" s="80" t="s">
        <v>353</v>
      </c>
      <c r="AG152" s="80" t="s">
        <v>353</v>
      </c>
      <c r="AH152" s="80" t="s">
        <v>353</v>
      </c>
      <c r="AI152" s="80" t="s">
        <v>353</v>
      </c>
      <c r="AJ152" s="80" t="s">
        <v>353</v>
      </c>
      <c r="AK152" s="80" t="s">
        <v>353</v>
      </c>
      <c r="AL152" s="81">
        <f>IF(E152="Sí",1,IF(E152="Parcial",0.5,0))+IF(F152="Sí",1,IF(F152="Parcial",0.5,0))+IF(G152="Sí",1,IF(G152="Parcial",0.5,0))+IF(H152="Sí",1,IF(H152="Parcial",0.5,0))</f>
        <v>1</v>
      </c>
      <c r="AM152" s="82">
        <f>IF(I152="Sí",1,IF(I152="Parcial",0.5,0))+IF(J152="Sí",1,IF(J152="Parcial",0.5,0))+IF(K152="Sí",1,IF(K152="Parcial",0.5,0))</f>
        <v>0</v>
      </c>
      <c r="AN152" s="83">
        <f>IF(L152="Sí",1,IF(L152="Parcial",0.5,0))+IF(M152="Sí",1,IF(M152="Parcial",0.5,0))+IF(N152="Sí",1,IF(N152="Parcial",0.5,0))+IF(O152="Sí",1,IF(O152="Parcial",0.5,0))</f>
        <v>0</v>
      </c>
      <c r="AO152" s="84">
        <f>IF(P152="Sí",1,IF(P152="Parcial",0.5,0))+IF(Q152="Sí",1,IF(Q152="Parcial",0.5,0))+IF(R152="Sí",1,IF(R152="Parcial",0.5,0))+IF(S152="Sí",1,IF(S152="Parcial",0.5,0))+IF(T152="Sí",1,IF(T152="Parcial",0.5,0))+IF(U152="Sí",1,IF(U152="Parcial",0.5,0))</f>
        <v>0</v>
      </c>
      <c r="AP152" s="85">
        <f>IF(V152="Sí",1,IF(V152="Parcial",0.5,0))+IF(W152="Sí",1,IF(W152="Parcial",0.5,0))+IF(X152="Sí",1,IF(X152="Parcial",0.5,0))+IF(Y152="Sí",1,IF(Y152="Parcial",0.5,0))</f>
        <v>0</v>
      </c>
      <c r="AQ152" s="86">
        <f>IF(Z152="Sí",1,IF(Z152="Parcial",0.5,0))+IF(AA152="Sí",1,IF(AA152="Parcial",0.5,0))+IF(AB152="Sí",1,IF(AB152="Parcial",0.5,0))</f>
        <v>0</v>
      </c>
      <c r="AR152" s="87">
        <f>IF(AC152="Sí",1,IF(AC152="Parcial",0.5,0))+IF(AD152="Sí",1,IF(AD152="Parcial",0.5,0))+IF(AE152="Sí",1,IF(AE152="Parcial",0.5,0))</f>
        <v>0.5</v>
      </c>
      <c r="AS152" s="88">
        <f>IF(AF152="Sí",1,IF(AF152="Parcial",0.5,0))+IF(AG152="Sí",1,IF(AG152="Parcial",0.5,0))+IF(AH152="Sí",1,IF(AH152="Parcial",0.5,0))</f>
        <v>0</v>
      </c>
      <c r="AT152" s="89">
        <f>IF(AI152="Sí",1,IF(AI152="Parcial",0.5,0))+IF(AJ152="Sí",1,IF(AJ152="Parcial",0.5,0))+IF(AK152="Sí",1,IF(AK152="Parcial",0.5,0))</f>
        <v>0</v>
      </c>
      <c r="AU152" s="90">
        <f>SUM(AL152,AM152,AN152,AO152,AP152,AQ152,AR152,AS152,AT152)</f>
        <v>1.5</v>
      </c>
      <c r="AV152" s="225">
        <f>IFERROR(IF(OR(A152="",AU152=0),"",AU152/(IF(AL152&gt;0,1,0)+IF(AM152&gt;0,1,0)+IF(AN152&gt;0,1,0)+IF(AO152&gt;0,1,0)+IF(AP152&gt;0,1,0)+IF(AQ152&gt;0,1,0)+IF(AR152&gt;0,1,0)+IF(AS152&gt;0,1,0)+IF(AT152&gt;0,1,0))),"")</f>
        <v>0.75</v>
      </c>
      <c r="AW152" s="225">
        <f>IFERROR(IF(OR(A152="",AU152=""),"",IF(AND(MAX($AU$8:$AU$156)=0,MAX($AV$8:$AV$156)=0),"",0.5*(AU152/MAX($AU$8:$AU$156))+0.5*(AV152/MAX($AV$8:$AV$156)))),"")</f>
        <v>0.17708333333333331</v>
      </c>
      <c r="AX152" s="79" t="str">
        <f>IF(A152="","",IF((IF(AL152&gt;=1,1,0)+IF(AM152&gt;=1,1,0)+IF(AN152&gt;=1,1,0)+IF(AO152&gt;=1,1,0)+IF(AP152&gt;=1,1,0)+IF(AQ152&gt;=1,1,0)+IF(AR152&gt;=1,1,0)+IF(AS152&gt;=1,1,0)+IF(AT152&gt;=1,1,0))&gt;=5,"Diversificado (5+ verticales)",IF((IF(AL152&gt;=1,1,0)+IF(AM152&gt;=1,1,0)+IF(AN152&gt;=1,1,0)+IF(AO152&gt;=1,1,0)+IF(AP152&gt;=1,1,0)+IF(AQ152&gt;=1,1,0)+IF(AR152&gt;=1,1,0)+IF(AS152&gt;=1,1,0)+IF(AT152&gt;=1,1,0))&gt;=3,"Multi-capacidad (3-4 verticales)",IF((IF(AL152&gt;=1,1,0)+IF(AM152&gt;=1,1,0)+IF(AN152&gt;=1,1,0)+IF(AO152&gt;=1,1,0)+IF(AP152&gt;=1,1,0)+IF(AQ152&gt;=1,1,0)+IF(AR152&gt;=1,1,0)+IF(AS152&gt;=1,1,0)+IF(AT152&gt;=1,1,0))&gt;=1,"Especialista (1-2 verticales)","Sin función mapeada"))))</f>
        <v>Especialista (1-2 verticales)</v>
      </c>
    </row>
    <row r="153" spans="1:50" ht="24" customHeight="1" x14ac:dyDescent="0.2">
      <c r="A153" s="48" t="s">
        <v>760</v>
      </c>
      <c r="B153" s="48" t="s">
        <v>761</v>
      </c>
      <c r="C153" s="78" t="str">
        <f>IF(A153="","",IFERROR(INDEX('UNIVERSO MAESTRO'!$C$6:$C$497,MATCH(A153,'UNIVERSO MAESTRO'!$A$6:$A$497,0)),"⚠ ID no encontrado"))</f>
        <v>Grupo Mundomex</v>
      </c>
      <c r="D153" s="79" t="str">
        <f>IF(A153="","",IFERROR(INDEX('UNIVERSO MAESTRO'!$D$6:$D$497,MATCH(A153,'UNIVERSO MAESTRO'!$A$6:$A$497,0)),""))</f>
        <v>V5</v>
      </c>
      <c r="E153" s="80" t="s">
        <v>353</v>
      </c>
      <c r="F153" s="80" t="s">
        <v>353</v>
      </c>
      <c r="G153" s="80" t="s">
        <v>353</v>
      </c>
      <c r="H153" s="80" t="s">
        <v>353</v>
      </c>
      <c r="I153" s="80" t="s">
        <v>353</v>
      </c>
      <c r="J153" s="80" t="s">
        <v>353</v>
      </c>
      <c r="K153" s="80" t="s">
        <v>353</v>
      </c>
      <c r="L153" s="80" t="s">
        <v>353</v>
      </c>
      <c r="M153" s="80" t="s">
        <v>353</v>
      </c>
      <c r="N153" s="80" t="s">
        <v>353</v>
      </c>
      <c r="O153" s="80" t="s">
        <v>353</v>
      </c>
      <c r="P153" s="80" t="s">
        <v>353</v>
      </c>
      <c r="Q153" s="80" t="s">
        <v>353</v>
      </c>
      <c r="R153" s="80" t="s">
        <v>353</v>
      </c>
      <c r="S153" s="80" t="s">
        <v>353</v>
      </c>
      <c r="T153" s="80" t="s">
        <v>353</v>
      </c>
      <c r="U153" s="80" t="s">
        <v>353</v>
      </c>
      <c r="V153" s="80" t="s">
        <v>353</v>
      </c>
      <c r="W153" s="80" t="s">
        <v>3340</v>
      </c>
      <c r="X153" s="80" t="s">
        <v>353</v>
      </c>
      <c r="Y153" s="80" t="s">
        <v>353</v>
      </c>
      <c r="Z153" s="80" t="s">
        <v>353</v>
      </c>
      <c r="AA153" s="80" t="s">
        <v>3340</v>
      </c>
      <c r="AB153" s="80" t="s">
        <v>353</v>
      </c>
      <c r="AC153" s="80" t="s">
        <v>353</v>
      </c>
      <c r="AD153" s="80" t="s">
        <v>353</v>
      </c>
      <c r="AE153" s="80" t="s">
        <v>353</v>
      </c>
      <c r="AF153" s="80" t="s">
        <v>353</v>
      </c>
      <c r="AG153" s="80" t="s">
        <v>353</v>
      </c>
      <c r="AH153" s="80" t="s">
        <v>353</v>
      </c>
      <c r="AI153" s="80" t="s">
        <v>353</v>
      </c>
      <c r="AJ153" s="80" t="s">
        <v>353</v>
      </c>
      <c r="AK153" s="80" t="s">
        <v>353</v>
      </c>
      <c r="AL153" s="81">
        <f>IF(E153="Sí",1,IF(E153="Parcial",0.5,0))+IF(F153="Sí",1,IF(F153="Parcial",0.5,0))+IF(G153="Sí",1,IF(G153="Parcial",0.5,0))+IF(H153="Sí",1,IF(H153="Parcial",0.5,0))</f>
        <v>0</v>
      </c>
      <c r="AM153" s="82">
        <f>IF(I153="Sí",1,IF(I153="Parcial",0.5,0))+IF(J153="Sí",1,IF(J153="Parcial",0.5,0))+IF(K153="Sí",1,IF(K153="Parcial",0.5,0))</f>
        <v>0</v>
      </c>
      <c r="AN153" s="83">
        <f>IF(L153="Sí",1,IF(L153="Parcial",0.5,0))+IF(M153="Sí",1,IF(M153="Parcial",0.5,0))+IF(N153="Sí",1,IF(N153="Parcial",0.5,0))+IF(O153="Sí",1,IF(O153="Parcial",0.5,0))</f>
        <v>0</v>
      </c>
      <c r="AO153" s="84">
        <f>IF(P153="Sí",1,IF(P153="Parcial",0.5,0))+IF(Q153="Sí",1,IF(Q153="Parcial",0.5,0))+IF(R153="Sí",1,IF(R153="Parcial",0.5,0))+IF(S153="Sí",1,IF(S153="Parcial",0.5,0))+IF(T153="Sí",1,IF(T153="Parcial",0.5,0))+IF(U153="Sí",1,IF(U153="Parcial",0.5,0))</f>
        <v>0</v>
      </c>
      <c r="AP153" s="85">
        <f>IF(V153="Sí",1,IF(V153="Parcial",0.5,0))+IF(W153="Sí",1,IF(W153="Parcial",0.5,0))+IF(X153="Sí",1,IF(X153="Parcial",0.5,0))+IF(Y153="Sí",1,IF(Y153="Parcial",0.5,0))</f>
        <v>0.5</v>
      </c>
      <c r="AQ153" s="86">
        <f>IF(Z153="Sí",1,IF(Z153="Parcial",0.5,0))+IF(AA153="Sí",1,IF(AA153="Parcial",0.5,0))+IF(AB153="Sí",1,IF(AB153="Parcial",0.5,0))</f>
        <v>0.5</v>
      </c>
      <c r="AR153" s="87">
        <f>IF(AC153="Sí",1,IF(AC153="Parcial",0.5,0))+IF(AD153="Sí",1,IF(AD153="Parcial",0.5,0))+IF(AE153="Sí",1,IF(AE153="Parcial",0.5,0))</f>
        <v>0</v>
      </c>
      <c r="AS153" s="88">
        <f>IF(AF153="Sí",1,IF(AF153="Parcial",0.5,0))+IF(AG153="Sí",1,IF(AG153="Parcial",0.5,0))+IF(AH153="Sí",1,IF(AH153="Parcial",0.5,0))</f>
        <v>0</v>
      </c>
      <c r="AT153" s="89">
        <f>IF(AI153="Sí",1,IF(AI153="Parcial",0.5,0))+IF(AJ153="Sí",1,IF(AJ153="Parcial",0.5,0))+IF(AK153="Sí",1,IF(AK153="Parcial",0.5,0))</f>
        <v>0</v>
      </c>
      <c r="AU153" s="90">
        <f>SUM(AL153,AM153,AN153,AO153,AP153,AQ153,AR153,AS153,AT153)</f>
        <v>1</v>
      </c>
      <c r="AV153" s="225">
        <f>IFERROR(IF(OR(A153="",AU153=0),"",AU153/(IF(AL153&gt;0,1,0)+IF(AM153&gt;0,1,0)+IF(AN153&gt;0,1,0)+IF(AO153&gt;0,1,0)+IF(AP153&gt;0,1,0)+IF(AQ153&gt;0,1,0)+IF(AR153&gt;0,1,0)+IF(AS153&gt;0,1,0)+IF(AT153&gt;0,1,0))),"")</f>
        <v>0.5</v>
      </c>
      <c r="AW153" s="225">
        <f>IFERROR(IF(OR(A153="",AU153=""),"",IF(AND(MAX($AU$8:$AU$156)=0,MAX($AV$8:$AV$156)=0),"",0.5*(AU153/MAX($AU$8:$AU$156))+0.5*(AV153/MAX($AV$8:$AV$156)))),"")</f>
        <v>0.11805555555555555</v>
      </c>
      <c r="AX153" s="79" t="str">
        <f>IF(A153="","",IF((IF(AL153&gt;=1,1,0)+IF(AM153&gt;=1,1,0)+IF(AN153&gt;=1,1,0)+IF(AO153&gt;=1,1,0)+IF(AP153&gt;=1,1,0)+IF(AQ153&gt;=1,1,0)+IF(AR153&gt;=1,1,0)+IF(AS153&gt;=1,1,0)+IF(AT153&gt;=1,1,0))&gt;=5,"Diversificado (5+ verticales)",IF((IF(AL153&gt;=1,1,0)+IF(AM153&gt;=1,1,0)+IF(AN153&gt;=1,1,0)+IF(AO153&gt;=1,1,0)+IF(AP153&gt;=1,1,0)+IF(AQ153&gt;=1,1,0)+IF(AR153&gt;=1,1,0)+IF(AS153&gt;=1,1,0)+IF(AT153&gt;=1,1,0))&gt;=3,"Multi-capacidad (3-4 verticales)",IF((IF(AL153&gt;=1,1,0)+IF(AM153&gt;=1,1,0)+IF(AN153&gt;=1,1,0)+IF(AO153&gt;=1,1,0)+IF(AP153&gt;=1,1,0)+IF(AQ153&gt;=1,1,0)+IF(AR153&gt;=1,1,0)+IF(AS153&gt;=1,1,0)+IF(AT153&gt;=1,1,0))&gt;=1,"Especialista (1-2 verticales)","Sin función mapeada"))))</f>
        <v>Sin función mapeada</v>
      </c>
    </row>
    <row r="154" spans="1:50" ht="24" customHeight="1" x14ac:dyDescent="0.2">
      <c r="A154" s="48" t="s">
        <v>930</v>
      </c>
      <c r="B154" s="48" t="s">
        <v>931</v>
      </c>
      <c r="C154" s="78" t="str">
        <f>IF(A154="","",IFERROR(INDEX('UNIVERSO MAESTRO'!$C$6:$C$497,MATCH(A154,'UNIVERSO MAESTRO'!$A$6:$A$497,0)),"⚠ ID no encontrado"))</f>
        <v>Konnecta Travel</v>
      </c>
      <c r="D154" s="79" t="str">
        <f>IF(A154="","",IFERROR(INDEX('UNIVERSO MAESTRO'!$D$6:$D$497,MATCH(A154,'UNIVERSO MAESTRO'!$A$6:$A$497,0)),""))</f>
        <v>V5</v>
      </c>
      <c r="E154" s="80" t="s">
        <v>353</v>
      </c>
      <c r="F154" s="80" t="s">
        <v>353</v>
      </c>
      <c r="G154" s="80" t="s">
        <v>353</v>
      </c>
      <c r="H154" s="80" t="s">
        <v>353</v>
      </c>
      <c r="I154" s="80" t="s">
        <v>353</v>
      </c>
      <c r="J154" s="80" t="s">
        <v>353</v>
      </c>
      <c r="K154" s="80" t="s">
        <v>353</v>
      </c>
      <c r="L154" s="80" t="s">
        <v>353</v>
      </c>
      <c r="M154" s="80" t="s">
        <v>353</v>
      </c>
      <c r="N154" s="80" t="s">
        <v>353</v>
      </c>
      <c r="O154" s="80" t="s">
        <v>353</v>
      </c>
      <c r="P154" s="80" t="s">
        <v>353</v>
      </c>
      <c r="Q154" s="80" t="s">
        <v>353</v>
      </c>
      <c r="R154" s="80" t="s">
        <v>353</v>
      </c>
      <c r="S154" s="80" t="s">
        <v>353</v>
      </c>
      <c r="T154" s="80" t="s">
        <v>353</v>
      </c>
      <c r="U154" s="80" t="s">
        <v>353</v>
      </c>
      <c r="V154" s="80" t="s">
        <v>353</v>
      </c>
      <c r="W154" s="80" t="s">
        <v>3340</v>
      </c>
      <c r="X154" s="80" t="s">
        <v>353</v>
      </c>
      <c r="Y154" s="80" t="s">
        <v>353</v>
      </c>
      <c r="Z154" s="80" t="s">
        <v>353</v>
      </c>
      <c r="AA154" s="80" t="s">
        <v>3340</v>
      </c>
      <c r="AB154" s="80" t="s">
        <v>353</v>
      </c>
      <c r="AC154" s="80" t="s">
        <v>353</v>
      </c>
      <c r="AD154" s="80" t="s">
        <v>353</v>
      </c>
      <c r="AE154" s="80" t="s">
        <v>353</v>
      </c>
      <c r="AF154" s="80" t="s">
        <v>353</v>
      </c>
      <c r="AG154" s="80" t="s">
        <v>353</v>
      </c>
      <c r="AH154" s="80" t="s">
        <v>353</v>
      </c>
      <c r="AI154" s="80" t="s">
        <v>353</v>
      </c>
      <c r="AJ154" s="80" t="s">
        <v>353</v>
      </c>
      <c r="AK154" s="80" t="s">
        <v>353</v>
      </c>
      <c r="AL154" s="81">
        <f>IF(E154="Sí",1,IF(E154="Parcial",0.5,0))+IF(F154="Sí",1,IF(F154="Parcial",0.5,0))+IF(G154="Sí",1,IF(G154="Parcial",0.5,0))+IF(H154="Sí",1,IF(H154="Parcial",0.5,0))</f>
        <v>0</v>
      </c>
      <c r="AM154" s="82">
        <f>IF(I154="Sí",1,IF(I154="Parcial",0.5,0))+IF(J154="Sí",1,IF(J154="Parcial",0.5,0))+IF(K154="Sí",1,IF(K154="Parcial",0.5,0))</f>
        <v>0</v>
      </c>
      <c r="AN154" s="83">
        <f>IF(L154="Sí",1,IF(L154="Parcial",0.5,0))+IF(M154="Sí",1,IF(M154="Parcial",0.5,0))+IF(N154="Sí",1,IF(N154="Parcial",0.5,0))+IF(O154="Sí",1,IF(O154="Parcial",0.5,0))</f>
        <v>0</v>
      </c>
      <c r="AO154" s="84">
        <f>IF(P154="Sí",1,IF(P154="Parcial",0.5,0))+IF(Q154="Sí",1,IF(Q154="Parcial",0.5,0))+IF(R154="Sí",1,IF(R154="Parcial",0.5,0))+IF(S154="Sí",1,IF(S154="Parcial",0.5,0))+IF(T154="Sí",1,IF(T154="Parcial",0.5,0))+IF(U154="Sí",1,IF(U154="Parcial",0.5,0))</f>
        <v>0</v>
      </c>
      <c r="AP154" s="85">
        <f>IF(V154="Sí",1,IF(V154="Parcial",0.5,0))+IF(W154="Sí",1,IF(W154="Parcial",0.5,0))+IF(X154="Sí",1,IF(X154="Parcial",0.5,0))+IF(Y154="Sí",1,IF(Y154="Parcial",0.5,0))</f>
        <v>0.5</v>
      </c>
      <c r="AQ154" s="86">
        <f>IF(Z154="Sí",1,IF(Z154="Parcial",0.5,0))+IF(AA154="Sí",1,IF(AA154="Parcial",0.5,0))+IF(AB154="Sí",1,IF(AB154="Parcial",0.5,0))</f>
        <v>0.5</v>
      </c>
      <c r="AR154" s="87">
        <f>IF(AC154="Sí",1,IF(AC154="Parcial",0.5,0))+IF(AD154="Sí",1,IF(AD154="Parcial",0.5,0))+IF(AE154="Sí",1,IF(AE154="Parcial",0.5,0))</f>
        <v>0</v>
      </c>
      <c r="AS154" s="88">
        <f>IF(AF154="Sí",1,IF(AF154="Parcial",0.5,0))+IF(AG154="Sí",1,IF(AG154="Parcial",0.5,0))+IF(AH154="Sí",1,IF(AH154="Parcial",0.5,0))</f>
        <v>0</v>
      </c>
      <c r="AT154" s="89">
        <f>IF(AI154="Sí",1,IF(AI154="Parcial",0.5,0))+IF(AJ154="Sí",1,IF(AJ154="Parcial",0.5,0))+IF(AK154="Sí",1,IF(AK154="Parcial",0.5,0))</f>
        <v>0</v>
      </c>
      <c r="AU154" s="90">
        <f>SUM(AL154,AM154,AN154,AO154,AP154,AQ154,AR154,AS154,AT154)</f>
        <v>1</v>
      </c>
      <c r="AV154" s="227">
        <f>IFERROR(IF(OR(A154="",AU154=0),"",AU154/(IF(AL154&gt;0,1,0)+IF(AM154&gt;0,1,0)+IF(AN154&gt;0,1,0)+IF(AO154&gt;0,1,0)+IF(AP154&gt;0,1,0)+IF(AQ154&gt;0,1,0)+IF(AR154&gt;0,1,0)+IF(AS154&gt;0,1,0)+IF(AT154&gt;0,1,0))),"")</f>
        <v>0.5</v>
      </c>
      <c r="AW154" s="227">
        <f>IFERROR(IF(OR(A154="",AU154=""),"",IF(AND(MAX($AU$8:$AU$156)=0,MAX($AV$8:$AV$156)=0),"",0.5*(AU154/MAX($AU$8:$AU$156))+0.5*(AV154/MAX($AV$8:$AV$156)))),"")</f>
        <v>0.11805555555555555</v>
      </c>
      <c r="AX154" s="79" t="str">
        <f>IF(A154="","",IF((IF(AL154&gt;=1,1,0)+IF(AM154&gt;=1,1,0)+IF(AN154&gt;=1,1,0)+IF(AO154&gt;=1,1,0)+IF(AP154&gt;=1,1,0)+IF(AQ154&gt;=1,1,0)+IF(AR154&gt;=1,1,0)+IF(AS154&gt;=1,1,0)+IF(AT154&gt;=1,1,0))&gt;=5,"Diversificado (5+ verticales)",IF((IF(AL154&gt;=1,1,0)+IF(AM154&gt;=1,1,0)+IF(AN154&gt;=1,1,0)+IF(AO154&gt;=1,1,0)+IF(AP154&gt;=1,1,0)+IF(AQ154&gt;=1,1,0)+IF(AR154&gt;=1,1,0)+IF(AS154&gt;=1,1,0)+IF(AT154&gt;=1,1,0))&gt;=3,"Multi-capacidad (3-4 verticales)",IF((IF(AL154&gt;=1,1,0)+IF(AM154&gt;=1,1,0)+IF(AN154&gt;=1,1,0)+IF(AO154&gt;=1,1,0)+IF(AP154&gt;=1,1,0)+IF(AQ154&gt;=1,1,0)+IF(AR154&gt;=1,1,0)+IF(AS154&gt;=1,1,0)+IF(AT154&gt;=1,1,0))&gt;=1,"Especialista (1-2 verticales)","Sin función mapeada"))))</f>
        <v>Sin función mapeada</v>
      </c>
    </row>
    <row r="155" spans="1:50" ht="24" customHeight="1" x14ac:dyDescent="0.2">
      <c r="A155" s="48" t="s">
        <v>1259</v>
      </c>
      <c r="B155" s="48" t="s">
        <v>1260</v>
      </c>
      <c r="C155" s="78" t="str">
        <f>IF(A155="","",IFERROR(INDEX('UNIVERSO MAESTRO'!$C$6:$C$497,MATCH(A155,'UNIVERSO MAESTRO'!$A$6:$A$497,0)),"⚠ ID no encontrado"))</f>
        <v>Roadtrips (Canadá)</v>
      </c>
      <c r="D155" s="79" t="str">
        <f>IF(A155="","",IFERROR(INDEX('UNIVERSO MAESTRO'!$D$6:$D$497,MATCH(A155,'UNIVERSO MAESTRO'!$A$6:$A$497,0)),""))</f>
        <v>V5</v>
      </c>
      <c r="E155" s="80" t="s">
        <v>353</v>
      </c>
      <c r="F155" s="80" t="s">
        <v>353</v>
      </c>
      <c r="G155" s="80" t="s">
        <v>353</v>
      </c>
      <c r="H155" s="80" t="s">
        <v>353</v>
      </c>
      <c r="I155" s="80" t="s">
        <v>353</v>
      </c>
      <c r="J155" s="80" t="s">
        <v>353</v>
      </c>
      <c r="K155" s="80" t="s">
        <v>353</v>
      </c>
      <c r="L155" s="80" t="s">
        <v>353</v>
      </c>
      <c r="M155" s="80" t="s">
        <v>353</v>
      </c>
      <c r="N155" s="80" t="s">
        <v>353</v>
      </c>
      <c r="O155" s="80" t="s">
        <v>353</v>
      </c>
      <c r="P155" s="80" t="s">
        <v>353</v>
      </c>
      <c r="Q155" s="80" t="s">
        <v>353</v>
      </c>
      <c r="R155" s="80" t="s">
        <v>353</v>
      </c>
      <c r="S155" s="80" t="s">
        <v>353</v>
      </c>
      <c r="T155" s="80" t="s">
        <v>353</v>
      </c>
      <c r="U155" s="80" t="s">
        <v>353</v>
      </c>
      <c r="V155" s="80" t="s">
        <v>353</v>
      </c>
      <c r="W155" s="80" t="s">
        <v>3340</v>
      </c>
      <c r="X155" s="80" t="s">
        <v>353</v>
      </c>
      <c r="Y155" s="80" t="s">
        <v>353</v>
      </c>
      <c r="Z155" s="80" t="s">
        <v>353</v>
      </c>
      <c r="AA155" s="80" t="s">
        <v>3340</v>
      </c>
      <c r="AB155" s="80" t="s">
        <v>353</v>
      </c>
      <c r="AC155" s="80" t="s">
        <v>353</v>
      </c>
      <c r="AD155" s="80" t="s">
        <v>353</v>
      </c>
      <c r="AE155" s="80" t="s">
        <v>353</v>
      </c>
      <c r="AF155" s="80" t="s">
        <v>353</v>
      </c>
      <c r="AG155" s="80" t="s">
        <v>353</v>
      </c>
      <c r="AH155" s="80" t="s">
        <v>353</v>
      </c>
      <c r="AI155" s="80" t="s">
        <v>353</v>
      </c>
      <c r="AJ155" s="80" t="s">
        <v>353</v>
      </c>
      <c r="AK155" s="80" t="s">
        <v>353</v>
      </c>
      <c r="AL155" s="81">
        <f>IF(E155="Sí",1,IF(E155="Parcial",0.5,0))+IF(F155="Sí",1,IF(F155="Parcial",0.5,0))+IF(G155="Sí",1,IF(G155="Parcial",0.5,0))+IF(H155="Sí",1,IF(H155="Parcial",0.5,0))</f>
        <v>0</v>
      </c>
      <c r="AM155" s="82">
        <f>IF(I155="Sí",1,IF(I155="Parcial",0.5,0))+IF(J155="Sí",1,IF(J155="Parcial",0.5,0))+IF(K155="Sí",1,IF(K155="Parcial",0.5,0))</f>
        <v>0</v>
      </c>
      <c r="AN155" s="83">
        <f>IF(L155="Sí",1,IF(L155="Parcial",0.5,0))+IF(M155="Sí",1,IF(M155="Parcial",0.5,0))+IF(N155="Sí",1,IF(N155="Parcial",0.5,0))+IF(O155="Sí",1,IF(O155="Parcial",0.5,0))</f>
        <v>0</v>
      </c>
      <c r="AO155" s="84">
        <f>IF(P155="Sí",1,IF(P155="Parcial",0.5,0))+IF(Q155="Sí",1,IF(Q155="Parcial",0.5,0))+IF(R155="Sí",1,IF(R155="Parcial",0.5,0))+IF(S155="Sí",1,IF(S155="Parcial",0.5,0))+IF(T155="Sí",1,IF(T155="Parcial",0.5,0))+IF(U155="Sí",1,IF(U155="Parcial",0.5,0))</f>
        <v>0</v>
      </c>
      <c r="AP155" s="85">
        <f>IF(V155="Sí",1,IF(V155="Parcial",0.5,0))+IF(W155="Sí",1,IF(W155="Parcial",0.5,0))+IF(X155="Sí",1,IF(X155="Parcial",0.5,0))+IF(Y155="Sí",1,IF(Y155="Parcial",0.5,0))</f>
        <v>0.5</v>
      </c>
      <c r="AQ155" s="86">
        <f>IF(Z155="Sí",1,IF(Z155="Parcial",0.5,0))+IF(AA155="Sí",1,IF(AA155="Parcial",0.5,0))+IF(AB155="Sí",1,IF(AB155="Parcial",0.5,0))</f>
        <v>0.5</v>
      </c>
      <c r="AR155" s="87">
        <f>IF(AC155="Sí",1,IF(AC155="Parcial",0.5,0))+IF(AD155="Sí",1,IF(AD155="Parcial",0.5,0))+IF(AE155="Sí",1,IF(AE155="Parcial",0.5,0))</f>
        <v>0</v>
      </c>
      <c r="AS155" s="88">
        <f>IF(AF155="Sí",1,IF(AF155="Parcial",0.5,0))+IF(AG155="Sí",1,IF(AG155="Parcial",0.5,0))+IF(AH155="Sí",1,IF(AH155="Parcial",0.5,0))</f>
        <v>0</v>
      </c>
      <c r="AT155" s="89">
        <f>IF(AI155="Sí",1,IF(AI155="Parcial",0.5,0))+IF(AJ155="Sí",1,IF(AJ155="Parcial",0.5,0))+IF(AK155="Sí",1,IF(AK155="Parcial",0.5,0))</f>
        <v>0</v>
      </c>
      <c r="AU155" s="90">
        <f>SUM(AL155,AM155,AN155,AO155,AP155,AQ155,AR155,AS155,AT155)</f>
        <v>1</v>
      </c>
      <c r="AV155" s="227">
        <f>IFERROR(IF(OR(A155="",AU155=0),"",AU155/(IF(AL155&gt;0,1,0)+IF(AM155&gt;0,1,0)+IF(AN155&gt;0,1,0)+IF(AO155&gt;0,1,0)+IF(AP155&gt;0,1,0)+IF(AQ155&gt;0,1,0)+IF(AR155&gt;0,1,0)+IF(AS155&gt;0,1,0)+IF(AT155&gt;0,1,0))),"")</f>
        <v>0.5</v>
      </c>
      <c r="AW155" s="227">
        <f>IFERROR(IF(OR(A155="",AU155=""),"",IF(AND(MAX($AU$8:$AU$156)=0,MAX($AV$8:$AV$156)=0),"",0.5*(AU155/MAX($AU$8:$AU$156))+0.5*(AV155/MAX($AV$8:$AV$156)))),"")</f>
        <v>0.11805555555555555</v>
      </c>
      <c r="AX155" s="79" t="str">
        <f>IF(A155="","",IF((IF(AL155&gt;=1,1,0)+IF(AM155&gt;=1,1,0)+IF(AN155&gt;=1,1,0)+IF(AO155&gt;=1,1,0)+IF(AP155&gt;=1,1,0)+IF(AQ155&gt;=1,1,0)+IF(AR155&gt;=1,1,0)+IF(AS155&gt;=1,1,0)+IF(AT155&gt;=1,1,0))&gt;=5,"Diversificado (5+ verticales)",IF((IF(AL155&gt;=1,1,0)+IF(AM155&gt;=1,1,0)+IF(AN155&gt;=1,1,0)+IF(AO155&gt;=1,1,0)+IF(AP155&gt;=1,1,0)+IF(AQ155&gt;=1,1,0)+IF(AR155&gt;=1,1,0)+IF(AS155&gt;=1,1,0)+IF(AT155&gt;=1,1,0))&gt;=3,"Multi-capacidad (3-4 verticales)",IF((IF(AL155&gt;=1,1,0)+IF(AM155&gt;=1,1,0)+IF(AN155&gt;=1,1,0)+IF(AO155&gt;=1,1,0)+IF(AP155&gt;=1,1,0)+IF(AQ155&gt;=1,1,0)+IF(AR155&gt;=1,1,0)+IF(AS155&gt;=1,1,0)+IF(AT155&gt;=1,1,0))&gt;=1,"Especialista (1-2 verticales)","Sin función mapeada"))))</f>
        <v>Sin función mapeada</v>
      </c>
    </row>
    <row r="156" spans="1:50" ht="24" customHeight="1" x14ac:dyDescent="0.2">
      <c r="A156" s="48" t="s">
        <v>581</v>
      </c>
      <c r="B156" s="48" t="s">
        <v>582</v>
      </c>
      <c r="C156" s="78" t="str">
        <f>IF(A156="","",IFERROR(INDEX('UNIVERSO MAESTRO'!$C$6:$C$497,MATCH(A156,'UNIVERSO MAESTRO'!$A$6:$A$497,0)),"⚠ ID no encontrado"))</f>
        <v>F1 Experiences / QuintEvents</v>
      </c>
      <c r="D156" s="79" t="str">
        <f>IF(A156="","",IFERROR(INDEX('UNIVERSO MAESTRO'!$D$6:$D$497,MATCH(A156,'UNIVERSO MAESTRO'!$A$6:$A$497,0)),""))</f>
        <v>V5</v>
      </c>
      <c r="E156" s="80" t="s">
        <v>353</v>
      </c>
      <c r="F156" s="80" t="s">
        <v>353</v>
      </c>
      <c r="G156" s="80" t="s">
        <v>353</v>
      </c>
      <c r="H156" s="80" t="s">
        <v>353</v>
      </c>
      <c r="I156" s="80" t="s">
        <v>353</v>
      </c>
      <c r="J156" s="80" t="s">
        <v>353</v>
      </c>
      <c r="K156" s="80" t="s">
        <v>353</v>
      </c>
      <c r="L156" s="80" t="s">
        <v>353</v>
      </c>
      <c r="M156" s="80" t="s">
        <v>353</v>
      </c>
      <c r="N156" s="80" t="s">
        <v>353</v>
      </c>
      <c r="O156" s="80" t="s">
        <v>353</v>
      </c>
      <c r="P156" s="80" t="s">
        <v>353</v>
      </c>
      <c r="Q156" s="80" t="s">
        <v>353</v>
      </c>
      <c r="R156" s="80" t="s">
        <v>353</v>
      </c>
      <c r="S156" s="80" t="s">
        <v>353</v>
      </c>
      <c r="T156" s="80" t="s">
        <v>353</v>
      </c>
      <c r="U156" s="80" t="s">
        <v>353</v>
      </c>
      <c r="V156" s="80" t="s">
        <v>353</v>
      </c>
      <c r="W156" s="80" t="s">
        <v>3340</v>
      </c>
      <c r="X156" s="80" t="s">
        <v>353</v>
      </c>
      <c r="Y156" s="80" t="s">
        <v>353</v>
      </c>
      <c r="Z156" s="80" t="s">
        <v>353</v>
      </c>
      <c r="AA156" s="80" t="s">
        <v>353</v>
      </c>
      <c r="AB156" s="80" t="s">
        <v>353</v>
      </c>
      <c r="AC156" s="80" t="s">
        <v>353</v>
      </c>
      <c r="AD156" s="80" t="s">
        <v>353</v>
      </c>
      <c r="AE156" s="80" t="s">
        <v>353</v>
      </c>
      <c r="AF156" s="80" t="s">
        <v>353</v>
      </c>
      <c r="AG156" s="80" t="s">
        <v>353</v>
      </c>
      <c r="AH156" s="80" t="s">
        <v>353</v>
      </c>
      <c r="AI156" s="80" t="s">
        <v>353</v>
      </c>
      <c r="AJ156" s="80" t="s">
        <v>353</v>
      </c>
      <c r="AK156" s="80" t="s">
        <v>353</v>
      </c>
      <c r="AL156" s="81">
        <f>IF(E156="Sí",1,IF(E156="Parcial",0.5,0))+IF(F156="Sí",1,IF(F156="Parcial",0.5,0))+IF(G156="Sí",1,IF(G156="Parcial",0.5,0))+IF(H156="Sí",1,IF(H156="Parcial",0.5,0))</f>
        <v>0</v>
      </c>
      <c r="AM156" s="82">
        <f>IF(I156="Sí",1,IF(I156="Parcial",0.5,0))+IF(J156="Sí",1,IF(J156="Parcial",0.5,0))+IF(K156="Sí",1,IF(K156="Parcial",0.5,0))</f>
        <v>0</v>
      </c>
      <c r="AN156" s="83">
        <f>IF(L156="Sí",1,IF(L156="Parcial",0.5,0))+IF(M156="Sí",1,IF(M156="Parcial",0.5,0))+IF(N156="Sí",1,IF(N156="Parcial",0.5,0))+IF(O156="Sí",1,IF(O156="Parcial",0.5,0))</f>
        <v>0</v>
      </c>
      <c r="AO156" s="84">
        <f>IF(P156="Sí",1,IF(P156="Parcial",0.5,0))+IF(Q156="Sí",1,IF(Q156="Parcial",0.5,0))+IF(R156="Sí",1,IF(R156="Parcial",0.5,0))+IF(S156="Sí",1,IF(S156="Parcial",0.5,0))+IF(T156="Sí",1,IF(T156="Parcial",0.5,0))+IF(U156="Sí",1,IF(U156="Parcial",0.5,0))</f>
        <v>0</v>
      </c>
      <c r="AP156" s="85">
        <f>IF(V156="Sí",1,IF(V156="Parcial",0.5,0))+IF(W156="Sí",1,IF(W156="Parcial",0.5,0))+IF(X156="Sí",1,IF(X156="Parcial",0.5,0))+IF(Y156="Sí",1,IF(Y156="Parcial",0.5,0))</f>
        <v>0.5</v>
      </c>
      <c r="AQ156" s="86">
        <f>IF(Z156="Sí",1,IF(Z156="Parcial",0.5,0))+IF(AA156="Sí",1,IF(AA156="Parcial",0.5,0))+IF(AB156="Sí",1,IF(AB156="Parcial",0.5,0))</f>
        <v>0</v>
      </c>
      <c r="AR156" s="87">
        <f>IF(AC156="Sí",1,IF(AC156="Parcial",0.5,0))+IF(AD156="Sí",1,IF(AD156="Parcial",0.5,0))+IF(AE156="Sí",1,IF(AE156="Parcial",0.5,0))</f>
        <v>0</v>
      </c>
      <c r="AS156" s="88">
        <f>IF(AF156="Sí",1,IF(AF156="Parcial",0.5,0))+IF(AG156="Sí",1,IF(AG156="Parcial",0.5,0))+IF(AH156="Sí",1,IF(AH156="Parcial",0.5,0))</f>
        <v>0</v>
      </c>
      <c r="AT156" s="89">
        <f>IF(AI156="Sí",1,IF(AI156="Parcial",0.5,0))+IF(AJ156="Sí",1,IF(AJ156="Parcial",0.5,0))+IF(AK156="Sí",1,IF(AK156="Parcial",0.5,0))</f>
        <v>0</v>
      </c>
      <c r="AU156" s="90">
        <f>SUM(AL156,AM156,AN156,AO156,AP156,AQ156,AR156,AS156,AT156)</f>
        <v>0.5</v>
      </c>
      <c r="AV156" s="227">
        <f>IFERROR(IF(OR(A156="",AU156=0),"",AU156/(IF(AL156&gt;0,1,0)+IF(AM156&gt;0,1,0)+IF(AN156&gt;0,1,0)+IF(AO156&gt;0,1,0)+IF(AP156&gt;0,1,0)+IF(AQ156&gt;0,1,0)+IF(AR156&gt;0,1,0)+IF(AS156&gt;0,1,0)+IF(AT156&gt;0,1,0))),"")</f>
        <v>0.5</v>
      </c>
      <c r="AW156" s="227">
        <f>IFERROR(IF(OR(A156="",AU156=""),"",IF(AND(MAX($AU$8:$AU$156)=0,MAX($AV$8:$AV$156)=0),"",0.5*(AU156/MAX($AU$8:$AU$156))+0.5*(AV156/MAX($AV$8:$AV$156)))),"")</f>
        <v>9.0277777777777776E-2</v>
      </c>
      <c r="AX156" s="79" t="str">
        <f>IF(A156="","",IF((IF(AL156&gt;=1,1,0)+IF(AM156&gt;=1,1,0)+IF(AN156&gt;=1,1,0)+IF(AO156&gt;=1,1,0)+IF(AP156&gt;=1,1,0)+IF(AQ156&gt;=1,1,0)+IF(AR156&gt;=1,1,0)+IF(AS156&gt;=1,1,0)+IF(AT156&gt;=1,1,0))&gt;=5,"Diversificado (5+ verticales)",IF((IF(AL156&gt;=1,1,0)+IF(AM156&gt;=1,1,0)+IF(AN156&gt;=1,1,0)+IF(AO156&gt;=1,1,0)+IF(AP156&gt;=1,1,0)+IF(AQ156&gt;=1,1,0)+IF(AR156&gt;=1,1,0)+IF(AS156&gt;=1,1,0)+IF(AT156&gt;=1,1,0))&gt;=3,"Multi-capacidad (3-4 verticales)",IF((IF(AL156&gt;=1,1,0)+IF(AM156&gt;=1,1,0)+IF(AN156&gt;=1,1,0)+IF(AO156&gt;=1,1,0)+IF(AP156&gt;=1,1,0)+IF(AQ156&gt;=1,1,0)+IF(AR156&gt;=1,1,0)+IF(AS156&gt;=1,1,0)+IF(AT156&gt;=1,1,0))&gt;=1,"Especialista (1-2 verticales)","Sin función mapeada"))))</f>
        <v>Sin función mapeada</v>
      </c>
    </row>
    <row r="157" spans="1:50" ht="24" customHeight="1" x14ac:dyDescent="0.2">
      <c r="A157" s="48"/>
      <c r="B157" s="48"/>
      <c r="C157" s="78" t="str">
        <f>IF(A157="","",IFERROR(INDEX('UNIVERSO MAESTRO'!$C$6:$C$497,MATCH(A157,'UNIVERSO MAESTRO'!$A$6:$A$497,0)),"⚠ ID no encontrado"))</f>
        <v/>
      </c>
      <c r="D157" s="79" t="str">
        <f>IF(A157="","",IFERROR(INDEX('UNIVERSO MAESTRO'!$D$6:$D$497,MATCH(A157,'UNIVERSO MAESTRO'!$A$6:$A$497,0)),""))</f>
        <v/>
      </c>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1">
        <f>IF(E157="Sí",1,IF(E157="Parcial",0.5,0))+IF(F157="Sí",1,IF(F157="Parcial",0.5,0))+IF(G157="Sí",1,IF(G157="Parcial",0.5,0))+IF(H157="Sí",1,IF(H157="Parcial",0.5,0))</f>
        <v>0</v>
      </c>
      <c r="AM157" s="82">
        <f>IF(I157="Sí",1,IF(I157="Parcial",0.5,0))+IF(J157="Sí",1,IF(J157="Parcial",0.5,0))+IF(K157="Sí",1,IF(K157="Parcial",0.5,0))</f>
        <v>0</v>
      </c>
      <c r="AN157" s="83">
        <f>IF(L157="Sí",1,IF(L157="Parcial",0.5,0))+IF(M157="Sí",1,IF(M157="Parcial",0.5,0))+IF(N157="Sí",1,IF(N157="Parcial",0.5,0))+IF(O157="Sí",1,IF(O157="Parcial",0.5,0))</f>
        <v>0</v>
      </c>
      <c r="AO157" s="84">
        <f>IF(P157="Sí",1,IF(P157="Parcial",0.5,0))+IF(Q157="Sí",1,IF(Q157="Parcial",0.5,0))+IF(R157="Sí",1,IF(R157="Parcial",0.5,0))+IF(S157="Sí",1,IF(S157="Parcial",0.5,0))+IF(T157="Sí",1,IF(T157="Parcial",0.5,0))+IF(U157="Sí",1,IF(U157="Parcial",0.5,0))</f>
        <v>0</v>
      </c>
      <c r="AP157" s="85">
        <f>IF(V157="Sí",1,IF(V157="Parcial",0.5,0))+IF(W157="Sí",1,IF(W157="Parcial",0.5,0))+IF(X157="Sí",1,IF(X157="Parcial",0.5,0))+IF(Y157="Sí",1,IF(Y157="Parcial",0.5,0))</f>
        <v>0</v>
      </c>
      <c r="AQ157" s="86">
        <f>IF(Z157="Sí",1,IF(Z157="Parcial",0.5,0))+IF(AA157="Sí",1,IF(AA157="Parcial",0.5,0))+IF(AB157="Sí",1,IF(AB157="Parcial",0.5,0))</f>
        <v>0</v>
      </c>
      <c r="AR157" s="87">
        <f>IF(AC157="Sí",1,IF(AC157="Parcial",0.5,0))+IF(AD157="Sí",1,IF(AD157="Parcial",0.5,0))+IF(AE157="Sí",1,IF(AE157="Parcial",0.5,0))</f>
        <v>0</v>
      </c>
      <c r="AS157" s="88">
        <f>IF(AF157="Sí",1,IF(AF157="Parcial",0.5,0))+IF(AG157="Sí",1,IF(AG157="Parcial",0.5,0))+IF(AH157="Sí",1,IF(AH157="Parcial",0.5,0))</f>
        <v>0</v>
      </c>
      <c r="AT157" s="89">
        <f>IF(AI157="Sí",1,IF(AI157="Parcial",0.5,0))+IF(AJ157="Sí",1,IF(AJ157="Parcial",0.5,0))+IF(AK157="Sí",1,IF(AK157="Parcial",0.5,0))</f>
        <v>0</v>
      </c>
      <c r="AU157" s="90">
        <f>SUM(AL157,AM157,AN157,AO157,AP157,AQ157,AR157,AS157,AT157)</f>
        <v>0</v>
      </c>
      <c r="AV157" s="79" t="str">
        <f>IF(A157="","",IF((IF(AL157&gt;=1,1,0)+IF(AM157&gt;=1,1,0)+IF(AN157&gt;=1,1,0)+IF(AO157&gt;=1,1,0)+IF(AP157&gt;=1,1,0)+IF(AQ157&gt;=1,1,0)+IF(AR157&gt;=1,1,0)+IF(AS157&gt;=1,1,0)+IF(AT157&gt;=1,1,0))&gt;=5,"Diversificado (5+ verticales)",IF((IF(AL157&gt;=1,1,0)+IF(AM157&gt;=1,1,0)+IF(AN157&gt;=1,1,0)+IF(AO157&gt;=1,1,0)+IF(AP157&gt;=1,1,0)+IF(AQ157&gt;=1,1,0)+IF(AR157&gt;=1,1,0)+IF(AS157&gt;=1,1,0)+IF(AT157&gt;=1,1,0))&gt;=3,"Multi-capacidad (3-4 verticales)",IF((IF(AL157&gt;=1,1,0)+IF(AM157&gt;=1,1,0)+IF(AN157&gt;=1,1,0)+IF(AO157&gt;=1,1,0)+IF(AP157&gt;=1,1,0)+IF(AQ157&gt;=1,1,0)+IF(AR157&gt;=1,1,0)+IF(AS157&gt;=1,1,0)+IF(AT157&gt;=1,1,0))&gt;=1,"Especialista (1-2 verticales)","Sin función mapeada"))))</f>
        <v/>
      </c>
    </row>
    <row r="158" spans="1:50" ht="24" customHeight="1" x14ac:dyDescent="0.2">
      <c r="A158" s="48"/>
      <c r="B158" s="48"/>
      <c r="C158" s="78" t="str">
        <f>IF(A158="","",IFERROR(INDEX('UNIVERSO MAESTRO'!$C$6:$C$497,MATCH(A158,'UNIVERSO MAESTRO'!$A$6:$A$497,0)),"⚠ ID no encontrado"))</f>
        <v/>
      </c>
      <c r="D158" s="79" t="str">
        <f>IF(A158="","",IFERROR(INDEX('UNIVERSO MAESTRO'!$D$6:$D$497,MATCH(A158,'UNIVERSO MAESTRO'!$A$6:$A$497,0)),""))</f>
        <v/>
      </c>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1">
        <f>IF(E158="Sí",1,IF(E158="Parcial",0.5,0))+IF(F158="Sí",1,IF(F158="Parcial",0.5,0))+IF(G158="Sí",1,IF(G158="Parcial",0.5,0))+IF(H158="Sí",1,IF(H158="Parcial",0.5,0))</f>
        <v>0</v>
      </c>
      <c r="AM158" s="82">
        <f>IF(I158="Sí",1,IF(I158="Parcial",0.5,0))+IF(J158="Sí",1,IF(J158="Parcial",0.5,0))+IF(K158="Sí",1,IF(K158="Parcial",0.5,0))</f>
        <v>0</v>
      </c>
      <c r="AN158" s="83">
        <f>IF(L158="Sí",1,IF(L158="Parcial",0.5,0))+IF(M158="Sí",1,IF(M158="Parcial",0.5,0))+IF(N158="Sí",1,IF(N158="Parcial",0.5,0))+IF(O158="Sí",1,IF(O158="Parcial",0.5,0))</f>
        <v>0</v>
      </c>
      <c r="AO158" s="84">
        <f>IF(P158="Sí",1,IF(P158="Parcial",0.5,0))+IF(Q158="Sí",1,IF(Q158="Parcial",0.5,0))+IF(R158="Sí",1,IF(R158="Parcial",0.5,0))+IF(S158="Sí",1,IF(S158="Parcial",0.5,0))+IF(T158="Sí",1,IF(T158="Parcial",0.5,0))+IF(U158="Sí",1,IF(U158="Parcial",0.5,0))</f>
        <v>0</v>
      </c>
      <c r="AP158" s="85">
        <f>IF(V158="Sí",1,IF(V158="Parcial",0.5,0))+IF(W158="Sí",1,IF(W158="Parcial",0.5,0))+IF(X158="Sí",1,IF(X158="Parcial",0.5,0))+IF(Y158="Sí",1,IF(Y158="Parcial",0.5,0))</f>
        <v>0</v>
      </c>
      <c r="AQ158" s="86">
        <f>IF(Z158="Sí",1,IF(Z158="Parcial",0.5,0))+IF(AA158="Sí",1,IF(AA158="Parcial",0.5,0))+IF(AB158="Sí",1,IF(AB158="Parcial",0.5,0))</f>
        <v>0</v>
      </c>
      <c r="AR158" s="87">
        <f>IF(AC158="Sí",1,IF(AC158="Parcial",0.5,0))+IF(AD158="Sí",1,IF(AD158="Parcial",0.5,0))+IF(AE158="Sí",1,IF(AE158="Parcial",0.5,0))</f>
        <v>0</v>
      </c>
      <c r="AS158" s="88">
        <f>IF(AF158="Sí",1,IF(AF158="Parcial",0.5,0))+IF(AG158="Sí",1,IF(AG158="Parcial",0.5,0))+IF(AH158="Sí",1,IF(AH158="Parcial",0.5,0))</f>
        <v>0</v>
      </c>
      <c r="AT158" s="89">
        <f>IF(AI158="Sí",1,IF(AI158="Parcial",0.5,0))+IF(AJ158="Sí",1,IF(AJ158="Parcial",0.5,0))+IF(AK158="Sí",1,IF(AK158="Parcial",0.5,0))</f>
        <v>0</v>
      </c>
      <c r="AU158" s="90">
        <f>SUM(AL158,AM158,AN158,AO158,AP158,AQ158,AR158,AS158,AT158)</f>
        <v>0</v>
      </c>
      <c r="AV158" s="79" t="str">
        <f>IF(A158="","",IF((IF(AL158&gt;=1,1,0)+IF(AM158&gt;=1,1,0)+IF(AN158&gt;=1,1,0)+IF(AO158&gt;=1,1,0)+IF(AP158&gt;=1,1,0)+IF(AQ158&gt;=1,1,0)+IF(AR158&gt;=1,1,0)+IF(AS158&gt;=1,1,0)+IF(AT158&gt;=1,1,0))&gt;=5,"Diversificado (5+ verticales)",IF((IF(AL158&gt;=1,1,0)+IF(AM158&gt;=1,1,0)+IF(AN158&gt;=1,1,0)+IF(AO158&gt;=1,1,0)+IF(AP158&gt;=1,1,0)+IF(AQ158&gt;=1,1,0)+IF(AR158&gt;=1,1,0)+IF(AS158&gt;=1,1,0)+IF(AT158&gt;=1,1,0))&gt;=3,"Multi-capacidad (3-4 verticales)",IF((IF(AL158&gt;=1,1,0)+IF(AM158&gt;=1,1,0)+IF(AN158&gt;=1,1,0)+IF(AO158&gt;=1,1,0)+IF(AP158&gt;=1,1,0)+IF(AQ158&gt;=1,1,0)+IF(AR158&gt;=1,1,0)+IF(AS158&gt;=1,1,0)+IF(AT158&gt;=1,1,0))&gt;=1,"Especialista (1-2 verticales)","Sin función mapeada"))))</f>
        <v/>
      </c>
    </row>
    <row r="159" spans="1:50" ht="24" customHeight="1" x14ac:dyDescent="0.2">
      <c r="A159" s="48"/>
      <c r="B159" s="48"/>
      <c r="C159" s="78" t="str">
        <f>IF(A159="","",IFERROR(INDEX('UNIVERSO MAESTRO'!$C$6:$C$497,MATCH(A159,'UNIVERSO MAESTRO'!$A$6:$A$497,0)),"⚠ ID no encontrado"))</f>
        <v/>
      </c>
      <c r="D159" s="79" t="str">
        <f>IF(A159="","",IFERROR(INDEX('UNIVERSO MAESTRO'!$D$6:$D$497,MATCH(A159,'UNIVERSO MAESTRO'!$A$6:$A$497,0)),""))</f>
        <v/>
      </c>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1">
        <f>IF(E159="Sí",1,IF(E159="Parcial",0.5,0))+IF(F159="Sí",1,IF(F159="Parcial",0.5,0))+IF(G159="Sí",1,IF(G159="Parcial",0.5,0))+IF(H159="Sí",1,IF(H159="Parcial",0.5,0))</f>
        <v>0</v>
      </c>
      <c r="AM159" s="82">
        <f>IF(I159="Sí",1,IF(I159="Parcial",0.5,0))+IF(J159="Sí",1,IF(J159="Parcial",0.5,0))+IF(K159="Sí",1,IF(K159="Parcial",0.5,0))</f>
        <v>0</v>
      </c>
      <c r="AN159" s="83">
        <f>IF(L159="Sí",1,IF(L159="Parcial",0.5,0))+IF(M159="Sí",1,IF(M159="Parcial",0.5,0))+IF(N159="Sí",1,IF(N159="Parcial",0.5,0))+IF(O159="Sí",1,IF(O159="Parcial",0.5,0))</f>
        <v>0</v>
      </c>
      <c r="AO159" s="84">
        <f>IF(P159="Sí",1,IF(P159="Parcial",0.5,0))+IF(Q159="Sí",1,IF(Q159="Parcial",0.5,0))+IF(R159="Sí",1,IF(R159="Parcial",0.5,0))+IF(S159="Sí",1,IF(S159="Parcial",0.5,0))+IF(T159="Sí",1,IF(T159="Parcial",0.5,0))+IF(U159="Sí",1,IF(U159="Parcial",0.5,0))</f>
        <v>0</v>
      </c>
      <c r="AP159" s="85">
        <f>IF(V159="Sí",1,IF(V159="Parcial",0.5,0))+IF(W159="Sí",1,IF(W159="Parcial",0.5,0))+IF(X159="Sí",1,IF(X159="Parcial",0.5,0))+IF(Y159="Sí",1,IF(Y159="Parcial",0.5,0))</f>
        <v>0</v>
      </c>
      <c r="AQ159" s="86">
        <f>IF(Z159="Sí",1,IF(Z159="Parcial",0.5,0))+IF(AA159="Sí",1,IF(AA159="Parcial",0.5,0))+IF(AB159="Sí",1,IF(AB159="Parcial",0.5,0))</f>
        <v>0</v>
      </c>
      <c r="AR159" s="87">
        <f>IF(AC159="Sí",1,IF(AC159="Parcial",0.5,0))+IF(AD159="Sí",1,IF(AD159="Parcial",0.5,0))+IF(AE159="Sí",1,IF(AE159="Parcial",0.5,0))</f>
        <v>0</v>
      </c>
      <c r="AS159" s="88">
        <f>IF(AF159="Sí",1,IF(AF159="Parcial",0.5,0))+IF(AG159="Sí",1,IF(AG159="Parcial",0.5,0))+IF(AH159="Sí",1,IF(AH159="Parcial",0.5,0))</f>
        <v>0</v>
      </c>
      <c r="AT159" s="89">
        <f>IF(AI159="Sí",1,IF(AI159="Parcial",0.5,0))+IF(AJ159="Sí",1,IF(AJ159="Parcial",0.5,0))+IF(AK159="Sí",1,IF(AK159="Parcial",0.5,0))</f>
        <v>0</v>
      </c>
      <c r="AU159" s="90">
        <f>SUM(AL159,AM159,AN159,AO159,AP159,AQ159,AR159,AS159,AT159)</f>
        <v>0</v>
      </c>
      <c r="AV159" s="79" t="str">
        <f>IF(A159="","",IF((IF(AL159&gt;=1,1,0)+IF(AM159&gt;=1,1,0)+IF(AN159&gt;=1,1,0)+IF(AO159&gt;=1,1,0)+IF(AP159&gt;=1,1,0)+IF(AQ159&gt;=1,1,0)+IF(AR159&gt;=1,1,0)+IF(AS159&gt;=1,1,0)+IF(AT159&gt;=1,1,0))&gt;=5,"Diversificado (5+ verticales)",IF((IF(AL159&gt;=1,1,0)+IF(AM159&gt;=1,1,0)+IF(AN159&gt;=1,1,0)+IF(AO159&gt;=1,1,0)+IF(AP159&gt;=1,1,0)+IF(AQ159&gt;=1,1,0)+IF(AR159&gt;=1,1,0)+IF(AS159&gt;=1,1,0)+IF(AT159&gt;=1,1,0))&gt;=3,"Multi-capacidad (3-4 verticales)",IF((IF(AL159&gt;=1,1,0)+IF(AM159&gt;=1,1,0)+IF(AN159&gt;=1,1,0)+IF(AO159&gt;=1,1,0)+IF(AP159&gt;=1,1,0)+IF(AQ159&gt;=1,1,0)+IF(AR159&gt;=1,1,0)+IF(AS159&gt;=1,1,0)+IF(AT159&gt;=1,1,0))&gt;=1,"Especialista (1-2 verticales)","Sin función mapeada"))))</f>
        <v/>
      </c>
    </row>
    <row r="160" spans="1:50" ht="15" customHeight="1" x14ac:dyDescent="0.2">
      <c r="C160" s="53" t="str">
        <f>IF(A160="","",IFERROR(INDEX('UNIVERSO MAESTRO'!$C$6:$C$497,MATCH(A160,'UNIVERSO MAESTRO'!$A$6:$A$497,0)),"⚠ ID no encontrado"))</f>
        <v/>
      </c>
      <c r="D160" s="54" t="str">
        <f>IF(A160="","",IFERROR(INDEX('UNIVERSO MAESTRO'!$D$6:$D$497,MATCH(A160,'UNIVERSO MAESTRO'!$A$6:$A$497,0)),""))</f>
        <v/>
      </c>
      <c r="AL160" s="91">
        <f>IF(E160="Sí",1,IF(E160="Parcial",0.5,0))+IF(F160="Sí",1,IF(F160="Parcial",0.5,0))+IF(G160="Sí",1,IF(G160="Parcial",0.5,0))+IF(H160="Sí",1,IF(H160="Parcial",0.5,0))</f>
        <v>0</v>
      </c>
      <c r="AM160" s="92">
        <f>IF(I160="Sí",1,IF(I160="Parcial",0.5,0))+IF(J160="Sí",1,IF(J160="Parcial",0.5,0))+IF(K160="Sí",1,IF(K160="Parcial",0.5,0))</f>
        <v>0</v>
      </c>
      <c r="AN160" s="93">
        <f>IF(L160="Sí",1,IF(L160="Parcial",0.5,0))+IF(M160="Sí",1,IF(M160="Parcial",0.5,0))+IF(N160="Sí",1,IF(N160="Parcial",0.5,0))+IF(O160="Sí",1,IF(O160="Parcial",0.5,0))</f>
        <v>0</v>
      </c>
      <c r="AO160" s="94">
        <f>IF(P160="Sí",1,IF(P160="Parcial",0.5,0))+IF(Q160="Sí",1,IF(Q160="Parcial",0.5,0))+IF(R160="Sí",1,IF(R160="Parcial",0.5,0))+IF(S160="Sí",1,IF(S160="Parcial",0.5,0))+IF(T160="Sí",1,IF(T160="Parcial",0.5,0))+IF(U160="Sí",1,IF(U160="Parcial",0.5,0))</f>
        <v>0</v>
      </c>
      <c r="AP160" s="95">
        <f>IF(V160="Sí",1,IF(V160="Parcial",0.5,0))+IF(W160="Sí",1,IF(W160="Parcial",0.5,0))+IF(X160="Sí",1,IF(X160="Parcial",0.5,0))+IF(Y160="Sí",1,IF(Y160="Parcial",0.5,0))</f>
        <v>0</v>
      </c>
      <c r="AQ160" s="96">
        <f>IF(Z160="Sí",1,IF(Z160="Parcial",0.5,0))+IF(AA160="Sí",1,IF(AA160="Parcial",0.5,0))+IF(AB160="Sí",1,IF(AB160="Parcial",0.5,0))</f>
        <v>0</v>
      </c>
      <c r="AR160" s="97">
        <f>IF(AC160="Sí",1,IF(AC160="Parcial",0.5,0))+IF(AD160="Sí",1,IF(AD160="Parcial",0.5,0))+IF(AE160="Sí",1,IF(AE160="Parcial",0.5,0))</f>
        <v>0</v>
      </c>
      <c r="AS160" s="98">
        <f>IF(AF160="Sí",1,IF(AF160="Parcial",0.5,0))+IF(AG160="Sí",1,IF(AG160="Parcial",0.5,0))+IF(AH160="Sí",1,IF(AH160="Parcial",0.5,0))</f>
        <v>0</v>
      </c>
      <c r="AT160" s="99">
        <f>IF(AI160="Sí",1,IF(AI160="Parcial",0.5,0))+IF(AJ160="Sí",1,IF(AJ160="Parcial",0.5,0))+IF(AK160="Sí",1,IF(AK160="Parcial",0.5,0))</f>
        <v>0</v>
      </c>
      <c r="AU160" s="100">
        <f>SUM(AL160,AM160,AN160,AO160,AP160,AQ160,AR160,AS160,AT160)</f>
        <v>0</v>
      </c>
      <c r="AV160" s="54" t="str">
        <f>IF(A160="","",IF((IF(AL160&gt;=1,1,0)+IF(AM160&gt;=1,1,0)+IF(AN160&gt;=1,1,0)+IF(AO160&gt;=1,1,0)+IF(AP160&gt;=1,1,0)+IF(AQ160&gt;=1,1,0)+IF(AR160&gt;=1,1,0)+IF(AS160&gt;=1,1,0)+IF(AT160&gt;=1,1,0))&gt;=5,"Diversificado (5+ verticales)",IF((IF(AL160&gt;=1,1,0)+IF(AM160&gt;=1,1,0)+IF(AN160&gt;=1,1,0)+IF(AO160&gt;=1,1,0)+IF(AP160&gt;=1,1,0)+IF(AQ160&gt;=1,1,0)+IF(AR160&gt;=1,1,0)+IF(AS160&gt;=1,1,0)+IF(AT160&gt;=1,1,0))&gt;=3,"Multi-capacidad (3-4 verticales)",IF((IF(AL160&gt;=1,1,0)+IF(AM160&gt;=1,1,0)+IF(AN160&gt;=1,1,0)+IF(AO160&gt;=1,1,0)+IF(AP160&gt;=1,1,0)+IF(AQ160&gt;=1,1,0)+IF(AR160&gt;=1,1,0)+IF(AS160&gt;=1,1,0)+IF(AT160&gt;=1,1,0))&gt;=1,"Especialista (1-2 verticales)","Sin función mapeada"))))</f>
        <v/>
      </c>
    </row>
    <row r="161" spans="3:48" ht="15" customHeight="1" x14ac:dyDescent="0.2">
      <c r="C161" s="53" t="str">
        <f>IF(A161="","",IFERROR(INDEX('UNIVERSO MAESTRO'!$C$6:$C$497,MATCH(A161,'UNIVERSO MAESTRO'!$A$6:$A$497,0)),"⚠ ID no encontrado"))</f>
        <v/>
      </c>
      <c r="D161" s="54" t="str">
        <f>IF(A161="","",IFERROR(INDEX('UNIVERSO MAESTRO'!$D$6:$D$497,MATCH(A161,'UNIVERSO MAESTRO'!$A$6:$A$497,0)),""))</f>
        <v/>
      </c>
      <c r="AL161" s="91">
        <f>IF(E161="Sí",1,IF(E161="Parcial",0.5,0))+IF(F161="Sí",1,IF(F161="Parcial",0.5,0))+IF(G161="Sí",1,IF(G161="Parcial",0.5,0))+IF(H161="Sí",1,IF(H161="Parcial",0.5,0))</f>
        <v>0</v>
      </c>
      <c r="AM161" s="92">
        <f>IF(I161="Sí",1,IF(I161="Parcial",0.5,0))+IF(J161="Sí",1,IF(J161="Parcial",0.5,0))+IF(K161="Sí",1,IF(K161="Parcial",0.5,0))</f>
        <v>0</v>
      </c>
      <c r="AN161" s="93">
        <f>IF(L161="Sí",1,IF(L161="Parcial",0.5,0))+IF(M161="Sí",1,IF(M161="Parcial",0.5,0))+IF(N161="Sí",1,IF(N161="Parcial",0.5,0))+IF(O161="Sí",1,IF(O161="Parcial",0.5,0))</f>
        <v>0</v>
      </c>
      <c r="AO161" s="94">
        <f>IF(P161="Sí",1,IF(P161="Parcial",0.5,0))+IF(Q161="Sí",1,IF(Q161="Parcial",0.5,0))+IF(R161="Sí",1,IF(R161="Parcial",0.5,0))+IF(S161="Sí",1,IF(S161="Parcial",0.5,0))+IF(T161="Sí",1,IF(T161="Parcial",0.5,0))+IF(U161="Sí",1,IF(U161="Parcial",0.5,0))</f>
        <v>0</v>
      </c>
      <c r="AP161" s="95">
        <f>IF(V161="Sí",1,IF(V161="Parcial",0.5,0))+IF(W161="Sí",1,IF(W161="Parcial",0.5,0))+IF(X161="Sí",1,IF(X161="Parcial",0.5,0))+IF(Y161="Sí",1,IF(Y161="Parcial",0.5,0))</f>
        <v>0</v>
      </c>
      <c r="AQ161" s="96">
        <f>IF(Z161="Sí",1,IF(Z161="Parcial",0.5,0))+IF(AA161="Sí",1,IF(AA161="Parcial",0.5,0))+IF(AB161="Sí",1,IF(AB161="Parcial",0.5,0))</f>
        <v>0</v>
      </c>
      <c r="AR161" s="97">
        <f>IF(AC161="Sí",1,IF(AC161="Parcial",0.5,0))+IF(AD161="Sí",1,IF(AD161="Parcial",0.5,0))+IF(AE161="Sí",1,IF(AE161="Parcial",0.5,0))</f>
        <v>0</v>
      </c>
      <c r="AS161" s="98">
        <f>IF(AF161="Sí",1,IF(AF161="Parcial",0.5,0))+IF(AG161="Sí",1,IF(AG161="Parcial",0.5,0))+IF(AH161="Sí",1,IF(AH161="Parcial",0.5,0))</f>
        <v>0</v>
      </c>
      <c r="AT161" s="99">
        <f>IF(AI161="Sí",1,IF(AI161="Parcial",0.5,0))+IF(AJ161="Sí",1,IF(AJ161="Parcial",0.5,0))+IF(AK161="Sí",1,IF(AK161="Parcial",0.5,0))</f>
        <v>0</v>
      </c>
      <c r="AU161" s="100">
        <f>SUM(AL161,AM161,AN161,AO161,AP161,AQ161,AR161,AS161,AT161)</f>
        <v>0</v>
      </c>
      <c r="AV161" s="54" t="str">
        <f>IF(A161="","",IF((IF(AL161&gt;=1,1,0)+IF(AM161&gt;=1,1,0)+IF(AN161&gt;=1,1,0)+IF(AO161&gt;=1,1,0)+IF(AP161&gt;=1,1,0)+IF(AQ161&gt;=1,1,0)+IF(AR161&gt;=1,1,0)+IF(AS161&gt;=1,1,0)+IF(AT161&gt;=1,1,0))&gt;=5,"Diversificado (5+ verticales)",IF((IF(AL161&gt;=1,1,0)+IF(AM161&gt;=1,1,0)+IF(AN161&gt;=1,1,0)+IF(AO161&gt;=1,1,0)+IF(AP161&gt;=1,1,0)+IF(AQ161&gt;=1,1,0)+IF(AR161&gt;=1,1,0)+IF(AS161&gt;=1,1,0)+IF(AT161&gt;=1,1,0))&gt;=3,"Multi-capacidad (3-4 verticales)",IF((IF(AL161&gt;=1,1,0)+IF(AM161&gt;=1,1,0)+IF(AN161&gt;=1,1,0)+IF(AO161&gt;=1,1,0)+IF(AP161&gt;=1,1,0)+IF(AQ161&gt;=1,1,0)+IF(AR161&gt;=1,1,0)+IF(AS161&gt;=1,1,0)+IF(AT161&gt;=1,1,0))&gt;=1,"Especialista (1-2 verticales)","Sin función mapeada"))))</f>
        <v/>
      </c>
    </row>
    <row r="162" spans="3:48" ht="15" customHeight="1" x14ac:dyDescent="0.2">
      <c r="C162" s="53" t="str">
        <f>IF(A162="","",IFERROR(INDEX('UNIVERSO MAESTRO'!$C$6:$C$497,MATCH(A162,'UNIVERSO MAESTRO'!$A$6:$A$497,0)),"⚠ ID no encontrado"))</f>
        <v/>
      </c>
      <c r="D162" s="54" t="str">
        <f>IF(A162="","",IFERROR(INDEX('UNIVERSO MAESTRO'!$D$6:$D$497,MATCH(A162,'UNIVERSO MAESTRO'!$A$6:$A$497,0)),""))</f>
        <v/>
      </c>
      <c r="AL162" s="91">
        <f>IF(E162="Sí",1,IF(E162="Parcial",0.5,0))+IF(F162="Sí",1,IF(F162="Parcial",0.5,0))+IF(G162="Sí",1,IF(G162="Parcial",0.5,0))+IF(H162="Sí",1,IF(H162="Parcial",0.5,0))</f>
        <v>0</v>
      </c>
      <c r="AM162" s="92">
        <f>IF(I162="Sí",1,IF(I162="Parcial",0.5,0))+IF(J162="Sí",1,IF(J162="Parcial",0.5,0))+IF(K162="Sí",1,IF(K162="Parcial",0.5,0))</f>
        <v>0</v>
      </c>
      <c r="AN162" s="93">
        <f>IF(L162="Sí",1,IF(L162="Parcial",0.5,0))+IF(M162="Sí",1,IF(M162="Parcial",0.5,0))+IF(N162="Sí",1,IF(N162="Parcial",0.5,0))+IF(O162="Sí",1,IF(O162="Parcial",0.5,0))</f>
        <v>0</v>
      </c>
      <c r="AO162" s="94">
        <f>IF(P162="Sí",1,IF(P162="Parcial",0.5,0))+IF(Q162="Sí",1,IF(Q162="Parcial",0.5,0))+IF(R162="Sí",1,IF(R162="Parcial",0.5,0))+IF(S162="Sí",1,IF(S162="Parcial",0.5,0))+IF(T162="Sí",1,IF(T162="Parcial",0.5,0))+IF(U162="Sí",1,IF(U162="Parcial",0.5,0))</f>
        <v>0</v>
      </c>
      <c r="AP162" s="95">
        <f>IF(V162="Sí",1,IF(V162="Parcial",0.5,0))+IF(W162="Sí",1,IF(W162="Parcial",0.5,0))+IF(X162="Sí",1,IF(X162="Parcial",0.5,0))+IF(Y162="Sí",1,IF(Y162="Parcial",0.5,0))</f>
        <v>0</v>
      </c>
      <c r="AQ162" s="96">
        <f>IF(Z162="Sí",1,IF(Z162="Parcial",0.5,0))+IF(AA162="Sí",1,IF(AA162="Parcial",0.5,0))+IF(AB162="Sí",1,IF(AB162="Parcial",0.5,0))</f>
        <v>0</v>
      </c>
      <c r="AR162" s="97">
        <f>IF(AC162="Sí",1,IF(AC162="Parcial",0.5,0))+IF(AD162="Sí",1,IF(AD162="Parcial",0.5,0))+IF(AE162="Sí",1,IF(AE162="Parcial",0.5,0))</f>
        <v>0</v>
      </c>
      <c r="AS162" s="98">
        <f>IF(AF162="Sí",1,IF(AF162="Parcial",0.5,0))+IF(AG162="Sí",1,IF(AG162="Parcial",0.5,0))+IF(AH162="Sí",1,IF(AH162="Parcial",0.5,0))</f>
        <v>0</v>
      </c>
      <c r="AT162" s="99">
        <f>IF(AI162="Sí",1,IF(AI162="Parcial",0.5,0))+IF(AJ162="Sí",1,IF(AJ162="Parcial",0.5,0))+IF(AK162="Sí",1,IF(AK162="Parcial",0.5,0))</f>
        <v>0</v>
      </c>
      <c r="AU162" s="100">
        <f>SUM(AL162,AM162,AN162,AO162,AP162,AQ162,AR162,AS162,AT162)</f>
        <v>0</v>
      </c>
      <c r="AV162" s="54" t="str">
        <f>IF(A162="","",IF((IF(AL162&gt;=1,1,0)+IF(AM162&gt;=1,1,0)+IF(AN162&gt;=1,1,0)+IF(AO162&gt;=1,1,0)+IF(AP162&gt;=1,1,0)+IF(AQ162&gt;=1,1,0)+IF(AR162&gt;=1,1,0)+IF(AS162&gt;=1,1,0)+IF(AT162&gt;=1,1,0))&gt;=5,"Diversificado (5+ verticales)",IF((IF(AL162&gt;=1,1,0)+IF(AM162&gt;=1,1,0)+IF(AN162&gt;=1,1,0)+IF(AO162&gt;=1,1,0)+IF(AP162&gt;=1,1,0)+IF(AQ162&gt;=1,1,0)+IF(AR162&gt;=1,1,0)+IF(AS162&gt;=1,1,0)+IF(AT162&gt;=1,1,0))&gt;=3,"Multi-capacidad (3-4 verticales)",IF((IF(AL162&gt;=1,1,0)+IF(AM162&gt;=1,1,0)+IF(AN162&gt;=1,1,0)+IF(AO162&gt;=1,1,0)+IF(AP162&gt;=1,1,0)+IF(AQ162&gt;=1,1,0)+IF(AR162&gt;=1,1,0)+IF(AS162&gt;=1,1,0)+IF(AT162&gt;=1,1,0))&gt;=1,"Especialista (1-2 verticales)","Sin función mapeada"))))</f>
        <v/>
      </c>
    </row>
    <row r="163" spans="3:48" ht="15" customHeight="1" x14ac:dyDescent="0.2">
      <c r="C163" s="53" t="str">
        <f>IF(A163="","",IFERROR(INDEX('UNIVERSO MAESTRO'!$C$6:$C$497,MATCH(A163,'UNIVERSO MAESTRO'!$A$6:$A$497,0)),"⚠ ID no encontrado"))</f>
        <v/>
      </c>
      <c r="D163" s="54" t="str">
        <f>IF(A163="","",IFERROR(INDEX('UNIVERSO MAESTRO'!$D$6:$D$497,MATCH(A163,'UNIVERSO MAESTRO'!$A$6:$A$497,0)),""))</f>
        <v/>
      </c>
      <c r="AL163" s="91">
        <f>IF(E163="Sí",1,IF(E163="Parcial",0.5,0))+IF(F163="Sí",1,IF(F163="Parcial",0.5,0))+IF(G163="Sí",1,IF(G163="Parcial",0.5,0))+IF(H163="Sí",1,IF(H163="Parcial",0.5,0))</f>
        <v>0</v>
      </c>
      <c r="AM163" s="92">
        <f>IF(I163="Sí",1,IF(I163="Parcial",0.5,0))+IF(J163="Sí",1,IF(J163="Parcial",0.5,0))+IF(K163="Sí",1,IF(K163="Parcial",0.5,0))</f>
        <v>0</v>
      </c>
      <c r="AN163" s="93">
        <f>IF(L163="Sí",1,IF(L163="Parcial",0.5,0))+IF(M163="Sí",1,IF(M163="Parcial",0.5,0))+IF(N163="Sí",1,IF(N163="Parcial",0.5,0))+IF(O163="Sí",1,IF(O163="Parcial",0.5,0))</f>
        <v>0</v>
      </c>
      <c r="AO163" s="94">
        <f>IF(P163="Sí",1,IF(P163="Parcial",0.5,0))+IF(Q163="Sí",1,IF(Q163="Parcial",0.5,0))+IF(R163="Sí",1,IF(R163="Parcial",0.5,0))+IF(S163="Sí",1,IF(S163="Parcial",0.5,0))+IF(T163="Sí",1,IF(T163="Parcial",0.5,0))+IF(U163="Sí",1,IF(U163="Parcial",0.5,0))</f>
        <v>0</v>
      </c>
      <c r="AP163" s="95">
        <f>IF(V163="Sí",1,IF(V163="Parcial",0.5,0))+IF(W163="Sí",1,IF(W163="Parcial",0.5,0))+IF(X163="Sí",1,IF(X163="Parcial",0.5,0))+IF(Y163="Sí",1,IF(Y163="Parcial",0.5,0))</f>
        <v>0</v>
      </c>
      <c r="AQ163" s="96">
        <f>IF(Z163="Sí",1,IF(Z163="Parcial",0.5,0))+IF(AA163="Sí",1,IF(AA163="Parcial",0.5,0))+IF(AB163="Sí",1,IF(AB163="Parcial",0.5,0))</f>
        <v>0</v>
      </c>
      <c r="AR163" s="97">
        <f>IF(AC163="Sí",1,IF(AC163="Parcial",0.5,0))+IF(AD163="Sí",1,IF(AD163="Parcial",0.5,0))+IF(AE163="Sí",1,IF(AE163="Parcial",0.5,0))</f>
        <v>0</v>
      </c>
      <c r="AS163" s="98">
        <f>IF(AF163="Sí",1,IF(AF163="Parcial",0.5,0))+IF(AG163="Sí",1,IF(AG163="Parcial",0.5,0))+IF(AH163="Sí",1,IF(AH163="Parcial",0.5,0))</f>
        <v>0</v>
      </c>
      <c r="AT163" s="99">
        <f>IF(AI163="Sí",1,IF(AI163="Parcial",0.5,0))+IF(AJ163="Sí",1,IF(AJ163="Parcial",0.5,0))+IF(AK163="Sí",1,IF(AK163="Parcial",0.5,0))</f>
        <v>0</v>
      </c>
      <c r="AU163" s="100">
        <f>SUM(AL163,AM163,AN163,AO163,AP163,AQ163,AR163,AS163,AT163)</f>
        <v>0</v>
      </c>
      <c r="AV163" s="54" t="str">
        <f>IF(A163="","",IF((IF(AL163&gt;=1,1,0)+IF(AM163&gt;=1,1,0)+IF(AN163&gt;=1,1,0)+IF(AO163&gt;=1,1,0)+IF(AP163&gt;=1,1,0)+IF(AQ163&gt;=1,1,0)+IF(AR163&gt;=1,1,0)+IF(AS163&gt;=1,1,0)+IF(AT163&gt;=1,1,0))&gt;=5,"Diversificado (5+ verticales)",IF((IF(AL163&gt;=1,1,0)+IF(AM163&gt;=1,1,0)+IF(AN163&gt;=1,1,0)+IF(AO163&gt;=1,1,0)+IF(AP163&gt;=1,1,0)+IF(AQ163&gt;=1,1,0)+IF(AR163&gt;=1,1,0)+IF(AS163&gt;=1,1,0)+IF(AT163&gt;=1,1,0))&gt;=3,"Multi-capacidad (3-4 verticales)",IF((IF(AL163&gt;=1,1,0)+IF(AM163&gt;=1,1,0)+IF(AN163&gt;=1,1,0)+IF(AO163&gt;=1,1,0)+IF(AP163&gt;=1,1,0)+IF(AQ163&gt;=1,1,0)+IF(AR163&gt;=1,1,0)+IF(AS163&gt;=1,1,0)+IF(AT163&gt;=1,1,0))&gt;=1,"Especialista (1-2 verticales)","Sin función mapeada"))))</f>
        <v/>
      </c>
    </row>
    <row r="164" spans="3:48" ht="15" customHeight="1" x14ac:dyDescent="0.2">
      <c r="C164" s="53" t="str">
        <f>IF(A164="","",IFERROR(INDEX('UNIVERSO MAESTRO'!$C$6:$C$497,MATCH(A164,'UNIVERSO MAESTRO'!$A$6:$A$497,0)),"⚠ ID no encontrado"))</f>
        <v/>
      </c>
      <c r="D164" s="54" t="str">
        <f>IF(A164="","",IFERROR(INDEX('UNIVERSO MAESTRO'!$D$6:$D$497,MATCH(A164,'UNIVERSO MAESTRO'!$A$6:$A$497,0)),""))</f>
        <v/>
      </c>
      <c r="AL164" s="91">
        <f>IF(E164="Sí",1,IF(E164="Parcial",0.5,0))+IF(F164="Sí",1,IF(F164="Parcial",0.5,0))+IF(G164="Sí",1,IF(G164="Parcial",0.5,0))+IF(H164="Sí",1,IF(H164="Parcial",0.5,0))</f>
        <v>0</v>
      </c>
      <c r="AM164" s="92">
        <f>IF(I164="Sí",1,IF(I164="Parcial",0.5,0))+IF(J164="Sí",1,IF(J164="Parcial",0.5,0))+IF(K164="Sí",1,IF(K164="Parcial",0.5,0))</f>
        <v>0</v>
      </c>
      <c r="AN164" s="93">
        <f>IF(L164="Sí",1,IF(L164="Parcial",0.5,0))+IF(M164="Sí",1,IF(M164="Parcial",0.5,0))+IF(N164="Sí",1,IF(N164="Parcial",0.5,0))+IF(O164="Sí",1,IF(O164="Parcial",0.5,0))</f>
        <v>0</v>
      </c>
      <c r="AO164" s="94">
        <f>IF(P164="Sí",1,IF(P164="Parcial",0.5,0))+IF(Q164="Sí",1,IF(Q164="Parcial",0.5,0))+IF(R164="Sí",1,IF(R164="Parcial",0.5,0))+IF(S164="Sí",1,IF(S164="Parcial",0.5,0))+IF(T164="Sí",1,IF(T164="Parcial",0.5,0))+IF(U164="Sí",1,IF(U164="Parcial",0.5,0))</f>
        <v>0</v>
      </c>
      <c r="AP164" s="95">
        <f>IF(V164="Sí",1,IF(V164="Parcial",0.5,0))+IF(W164="Sí",1,IF(W164="Parcial",0.5,0))+IF(X164="Sí",1,IF(X164="Parcial",0.5,0))+IF(Y164="Sí",1,IF(Y164="Parcial",0.5,0))</f>
        <v>0</v>
      </c>
      <c r="AQ164" s="96">
        <f>IF(Z164="Sí",1,IF(Z164="Parcial",0.5,0))+IF(AA164="Sí",1,IF(AA164="Parcial",0.5,0))+IF(AB164="Sí",1,IF(AB164="Parcial",0.5,0))</f>
        <v>0</v>
      </c>
      <c r="AR164" s="97">
        <f>IF(AC164="Sí",1,IF(AC164="Parcial",0.5,0))+IF(AD164="Sí",1,IF(AD164="Parcial",0.5,0))+IF(AE164="Sí",1,IF(AE164="Parcial",0.5,0))</f>
        <v>0</v>
      </c>
      <c r="AS164" s="98">
        <f>IF(AF164="Sí",1,IF(AF164="Parcial",0.5,0))+IF(AG164="Sí",1,IF(AG164="Parcial",0.5,0))+IF(AH164="Sí",1,IF(AH164="Parcial",0.5,0))</f>
        <v>0</v>
      </c>
      <c r="AT164" s="99">
        <f>IF(AI164="Sí",1,IF(AI164="Parcial",0.5,0))+IF(AJ164="Sí",1,IF(AJ164="Parcial",0.5,0))+IF(AK164="Sí",1,IF(AK164="Parcial",0.5,0))</f>
        <v>0</v>
      </c>
      <c r="AU164" s="100">
        <f>SUM(AL164,AM164,AN164,AO164,AP164,AQ164,AR164,AS164,AT164)</f>
        <v>0</v>
      </c>
      <c r="AV164" s="54" t="str">
        <f>IF(A164="","",IF((IF(AL164&gt;=1,1,0)+IF(AM164&gt;=1,1,0)+IF(AN164&gt;=1,1,0)+IF(AO164&gt;=1,1,0)+IF(AP164&gt;=1,1,0)+IF(AQ164&gt;=1,1,0)+IF(AR164&gt;=1,1,0)+IF(AS164&gt;=1,1,0)+IF(AT164&gt;=1,1,0))&gt;=5,"Diversificado (5+ verticales)",IF((IF(AL164&gt;=1,1,0)+IF(AM164&gt;=1,1,0)+IF(AN164&gt;=1,1,0)+IF(AO164&gt;=1,1,0)+IF(AP164&gt;=1,1,0)+IF(AQ164&gt;=1,1,0)+IF(AR164&gt;=1,1,0)+IF(AS164&gt;=1,1,0)+IF(AT164&gt;=1,1,0))&gt;=3,"Multi-capacidad (3-4 verticales)",IF((IF(AL164&gt;=1,1,0)+IF(AM164&gt;=1,1,0)+IF(AN164&gt;=1,1,0)+IF(AO164&gt;=1,1,0)+IF(AP164&gt;=1,1,0)+IF(AQ164&gt;=1,1,0)+IF(AR164&gt;=1,1,0)+IF(AS164&gt;=1,1,0)+IF(AT164&gt;=1,1,0))&gt;=1,"Especialista (1-2 verticales)","Sin función mapeada"))))</f>
        <v/>
      </c>
    </row>
    <row r="165" spans="3:48" ht="15" customHeight="1" x14ac:dyDescent="0.2">
      <c r="C165" s="53" t="str">
        <f>IF(A165="","",IFERROR(INDEX('UNIVERSO MAESTRO'!$C$6:$C$497,MATCH(A165,'UNIVERSO MAESTRO'!$A$6:$A$497,0)),"⚠ ID no encontrado"))</f>
        <v/>
      </c>
      <c r="D165" s="54" t="str">
        <f>IF(A165="","",IFERROR(INDEX('UNIVERSO MAESTRO'!$D$6:$D$497,MATCH(A165,'UNIVERSO MAESTRO'!$A$6:$A$497,0)),""))</f>
        <v/>
      </c>
      <c r="AL165" s="91">
        <f>IF(E165="Sí",1,IF(E165="Parcial",0.5,0))+IF(F165="Sí",1,IF(F165="Parcial",0.5,0))+IF(G165="Sí",1,IF(G165="Parcial",0.5,0))+IF(H165="Sí",1,IF(H165="Parcial",0.5,0))</f>
        <v>0</v>
      </c>
      <c r="AM165" s="92">
        <f>IF(I165="Sí",1,IF(I165="Parcial",0.5,0))+IF(J165="Sí",1,IF(J165="Parcial",0.5,0))+IF(K165="Sí",1,IF(K165="Parcial",0.5,0))</f>
        <v>0</v>
      </c>
      <c r="AN165" s="93">
        <f>IF(L165="Sí",1,IF(L165="Parcial",0.5,0))+IF(M165="Sí",1,IF(M165="Parcial",0.5,0))+IF(N165="Sí",1,IF(N165="Parcial",0.5,0))+IF(O165="Sí",1,IF(O165="Parcial",0.5,0))</f>
        <v>0</v>
      </c>
      <c r="AO165" s="94">
        <f>IF(P165="Sí",1,IF(P165="Parcial",0.5,0))+IF(Q165="Sí",1,IF(Q165="Parcial",0.5,0))+IF(R165="Sí",1,IF(R165="Parcial",0.5,0))+IF(S165="Sí",1,IF(S165="Parcial",0.5,0))+IF(T165="Sí",1,IF(T165="Parcial",0.5,0))+IF(U165="Sí",1,IF(U165="Parcial",0.5,0))</f>
        <v>0</v>
      </c>
      <c r="AP165" s="95">
        <f>IF(V165="Sí",1,IF(V165="Parcial",0.5,0))+IF(W165="Sí",1,IF(W165="Parcial",0.5,0))+IF(X165="Sí",1,IF(X165="Parcial",0.5,0))+IF(Y165="Sí",1,IF(Y165="Parcial",0.5,0))</f>
        <v>0</v>
      </c>
      <c r="AQ165" s="96">
        <f>IF(Z165="Sí",1,IF(Z165="Parcial",0.5,0))+IF(AA165="Sí",1,IF(AA165="Parcial",0.5,0))+IF(AB165="Sí",1,IF(AB165="Parcial",0.5,0))</f>
        <v>0</v>
      </c>
      <c r="AR165" s="97">
        <f>IF(AC165="Sí",1,IF(AC165="Parcial",0.5,0))+IF(AD165="Sí",1,IF(AD165="Parcial",0.5,0))+IF(AE165="Sí",1,IF(AE165="Parcial",0.5,0))</f>
        <v>0</v>
      </c>
      <c r="AS165" s="98">
        <f>IF(AF165="Sí",1,IF(AF165="Parcial",0.5,0))+IF(AG165="Sí",1,IF(AG165="Parcial",0.5,0))+IF(AH165="Sí",1,IF(AH165="Parcial",0.5,0))</f>
        <v>0</v>
      </c>
      <c r="AT165" s="99">
        <f>IF(AI165="Sí",1,IF(AI165="Parcial",0.5,0))+IF(AJ165="Sí",1,IF(AJ165="Parcial",0.5,0))+IF(AK165="Sí",1,IF(AK165="Parcial",0.5,0))</f>
        <v>0</v>
      </c>
      <c r="AU165" s="100">
        <f>SUM(AL165,AM165,AN165,AO165,AP165,AQ165,AR165,AS165,AT165)</f>
        <v>0</v>
      </c>
      <c r="AV165" s="54" t="str">
        <f>IF(A165="","",IF((IF(AL165&gt;=1,1,0)+IF(AM165&gt;=1,1,0)+IF(AN165&gt;=1,1,0)+IF(AO165&gt;=1,1,0)+IF(AP165&gt;=1,1,0)+IF(AQ165&gt;=1,1,0)+IF(AR165&gt;=1,1,0)+IF(AS165&gt;=1,1,0)+IF(AT165&gt;=1,1,0))&gt;=5,"Diversificado (5+ verticales)",IF((IF(AL165&gt;=1,1,0)+IF(AM165&gt;=1,1,0)+IF(AN165&gt;=1,1,0)+IF(AO165&gt;=1,1,0)+IF(AP165&gt;=1,1,0)+IF(AQ165&gt;=1,1,0)+IF(AR165&gt;=1,1,0)+IF(AS165&gt;=1,1,0)+IF(AT165&gt;=1,1,0))&gt;=3,"Multi-capacidad (3-4 verticales)",IF((IF(AL165&gt;=1,1,0)+IF(AM165&gt;=1,1,0)+IF(AN165&gt;=1,1,0)+IF(AO165&gt;=1,1,0)+IF(AP165&gt;=1,1,0)+IF(AQ165&gt;=1,1,0)+IF(AR165&gt;=1,1,0)+IF(AS165&gt;=1,1,0)+IF(AT165&gt;=1,1,0))&gt;=1,"Especialista (1-2 verticales)","Sin función mapeada"))))</f>
        <v/>
      </c>
    </row>
    <row r="166" spans="3:48" ht="15" customHeight="1" x14ac:dyDescent="0.2">
      <c r="C166" s="53" t="str">
        <f>IF(A166="","",IFERROR(INDEX('UNIVERSO MAESTRO'!$C$6:$C$497,MATCH(A166,'UNIVERSO MAESTRO'!$A$6:$A$497,0)),"⚠ ID no encontrado"))</f>
        <v/>
      </c>
      <c r="D166" s="54" t="str">
        <f>IF(A166="","",IFERROR(INDEX('UNIVERSO MAESTRO'!$D$6:$D$497,MATCH(A166,'UNIVERSO MAESTRO'!$A$6:$A$497,0)),""))</f>
        <v/>
      </c>
      <c r="AL166" s="91">
        <f>IF(E166="Sí",1,IF(E166="Parcial",0.5,0))+IF(F166="Sí",1,IF(F166="Parcial",0.5,0))+IF(G166="Sí",1,IF(G166="Parcial",0.5,0))+IF(H166="Sí",1,IF(H166="Parcial",0.5,0))</f>
        <v>0</v>
      </c>
      <c r="AM166" s="92">
        <f>IF(I166="Sí",1,IF(I166="Parcial",0.5,0))+IF(J166="Sí",1,IF(J166="Parcial",0.5,0))+IF(K166="Sí",1,IF(K166="Parcial",0.5,0))</f>
        <v>0</v>
      </c>
      <c r="AN166" s="93">
        <f>IF(L166="Sí",1,IF(L166="Parcial",0.5,0))+IF(M166="Sí",1,IF(M166="Parcial",0.5,0))+IF(N166="Sí",1,IF(N166="Parcial",0.5,0))+IF(O166="Sí",1,IF(O166="Parcial",0.5,0))</f>
        <v>0</v>
      </c>
      <c r="AO166" s="94">
        <f>IF(P166="Sí",1,IF(P166="Parcial",0.5,0))+IF(Q166="Sí",1,IF(Q166="Parcial",0.5,0))+IF(R166="Sí",1,IF(R166="Parcial",0.5,0))+IF(S166="Sí",1,IF(S166="Parcial",0.5,0))+IF(T166="Sí",1,IF(T166="Parcial",0.5,0))+IF(U166="Sí",1,IF(U166="Parcial",0.5,0))</f>
        <v>0</v>
      </c>
      <c r="AP166" s="95">
        <f>IF(V166="Sí",1,IF(V166="Parcial",0.5,0))+IF(W166="Sí",1,IF(W166="Parcial",0.5,0))+IF(X166="Sí",1,IF(X166="Parcial",0.5,0))+IF(Y166="Sí",1,IF(Y166="Parcial",0.5,0))</f>
        <v>0</v>
      </c>
      <c r="AQ166" s="96">
        <f>IF(Z166="Sí",1,IF(Z166="Parcial",0.5,0))+IF(AA166="Sí",1,IF(AA166="Parcial",0.5,0))+IF(AB166="Sí",1,IF(AB166="Parcial",0.5,0))</f>
        <v>0</v>
      </c>
      <c r="AR166" s="97">
        <f>IF(AC166="Sí",1,IF(AC166="Parcial",0.5,0))+IF(AD166="Sí",1,IF(AD166="Parcial",0.5,0))+IF(AE166="Sí",1,IF(AE166="Parcial",0.5,0))</f>
        <v>0</v>
      </c>
      <c r="AS166" s="98">
        <f>IF(AF166="Sí",1,IF(AF166="Parcial",0.5,0))+IF(AG166="Sí",1,IF(AG166="Parcial",0.5,0))+IF(AH166="Sí",1,IF(AH166="Parcial",0.5,0))</f>
        <v>0</v>
      </c>
      <c r="AT166" s="99">
        <f>IF(AI166="Sí",1,IF(AI166="Parcial",0.5,0))+IF(AJ166="Sí",1,IF(AJ166="Parcial",0.5,0))+IF(AK166="Sí",1,IF(AK166="Parcial",0.5,0))</f>
        <v>0</v>
      </c>
      <c r="AU166" s="100">
        <f>SUM(AL166,AM166,AN166,AO166,AP166,AQ166,AR166,AS166,AT166)</f>
        <v>0</v>
      </c>
      <c r="AV166" s="54" t="str">
        <f>IF(A166="","",IF((IF(AL166&gt;=1,1,0)+IF(AM166&gt;=1,1,0)+IF(AN166&gt;=1,1,0)+IF(AO166&gt;=1,1,0)+IF(AP166&gt;=1,1,0)+IF(AQ166&gt;=1,1,0)+IF(AR166&gt;=1,1,0)+IF(AS166&gt;=1,1,0)+IF(AT166&gt;=1,1,0))&gt;=5,"Diversificado (5+ verticales)",IF((IF(AL166&gt;=1,1,0)+IF(AM166&gt;=1,1,0)+IF(AN166&gt;=1,1,0)+IF(AO166&gt;=1,1,0)+IF(AP166&gt;=1,1,0)+IF(AQ166&gt;=1,1,0)+IF(AR166&gt;=1,1,0)+IF(AS166&gt;=1,1,0)+IF(AT166&gt;=1,1,0))&gt;=3,"Multi-capacidad (3-4 verticales)",IF((IF(AL166&gt;=1,1,0)+IF(AM166&gt;=1,1,0)+IF(AN166&gt;=1,1,0)+IF(AO166&gt;=1,1,0)+IF(AP166&gt;=1,1,0)+IF(AQ166&gt;=1,1,0)+IF(AR166&gt;=1,1,0)+IF(AS166&gt;=1,1,0)+IF(AT166&gt;=1,1,0))&gt;=1,"Especialista (1-2 verticales)","Sin función mapeada"))))</f>
        <v/>
      </c>
    </row>
    <row r="167" spans="3:48" ht="15" customHeight="1" x14ac:dyDescent="0.2">
      <c r="C167" s="53" t="str">
        <f>IF(A167="","",IFERROR(INDEX('UNIVERSO MAESTRO'!$C$6:$C$497,MATCH(A167,'UNIVERSO MAESTRO'!$A$6:$A$497,0)),"⚠ ID no encontrado"))</f>
        <v/>
      </c>
      <c r="D167" s="54" t="str">
        <f>IF(A167="","",IFERROR(INDEX('UNIVERSO MAESTRO'!$D$6:$D$497,MATCH(A167,'UNIVERSO MAESTRO'!$A$6:$A$497,0)),""))</f>
        <v/>
      </c>
      <c r="AL167" s="91">
        <f>IF(E167="Sí",1,IF(E167="Parcial",0.5,0))+IF(F167="Sí",1,IF(F167="Parcial",0.5,0))+IF(G167="Sí",1,IF(G167="Parcial",0.5,0))+IF(H167="Sí",1,IF(H167="Parcial",0.5,0))</f>
        <v>0</v>
      </c>
      <c r="AM167" s="92">
        <f>IF(I167="Sí",1,IF(I167="Parcial",0.5,0))+IF(J167="Sí",1,IF(J167="Parcial",0.5,0))+IF(K167="Sí",1,IF(K167="Parcial",0.5,0))</f>
        <v>0</v>
      </c>
      <c r="AN167" s="93">
        <f>IF(L167="Sí",1,IF(L167="Parcial",0.5,0))+IF(M167="Sí",1,IF(M167="Parcial",0.5,0))+IF(N167="Sí",1,IF(N167="Parcial",0.5,0))+IF(O167="Sí",1,IF(O167="Parcial",0.5,0))</f>
        <v>0</v>
      </c>
      <c r="AO167" s="94">
        <f>IF(P167="Sí",1,IF(P167="Parcial",0.5,0))+IF(Q167="Sí",1,IF(Q167="Parcial",0.5,0))+IF(R167="Sí",1,IF(R167="Parcial",0.5,0))+IF(S167="Sí",1,IF(S167="Parcial",0.5,0))+IF(T167="Sí",1,IF(T167="Parcial",0.5,0))+IF(U167="Sí",1,IF(U167="Parcial",0.5,0))</f>
        <v>0</v>
      </c>
      <c r="AP167" s="95">
        <f>IF(V167="Sí",1,IF(V167="Parcial",0.5,0))+IF(W167="Sí",1,IF(W167="Parcial",0.5,0))+IF(X167="Sí",1,IF(X167="Parcial",0.5,0))+IF(Y167="Sí",1,IF(Y167="Parcial",0.5,0))</f>
        <v>0</v>
      </c>
      <c r="AQ167" s="96">
        <f>IF(Z167="Sí",1,IF(Z167="Parcial",0.5,0))+IF(AA167="Sí",1,IF(AA167="Parcial",0.5,0))+IF(AB167="Sí",1,IF(AB167="Parcial",0.5,0))</f>
        <v>0</v>
      </c>
      <c r="AR167" s="97">
        <f>IF(AC167="Sí",1,IF(AC167="Parcial",0.5,0))+IF(AD167="Sí",1,IF(AD167="Parcial",0.5,0))+IF(AE167="Sí",1,IF(AE167="Parcial",0.5,0))</f>
        <v>0</v>
      </c>
      <c r="AS167" s="98">
        <f>IF(AF167="Sí",1,IF(AF167="Parcial",0.5,0))+IF(AG167="Sí",1,IF(AG167="Parcial",0.5,0))+IF(AH167="Sí",1,IF(AH167="Parcial",0.5,0))</f>
        <v>0</v>
      </c>
      <c r="AT167" s="99">
        <f>IF(AI167="Sí",1,IF(AI167="Parcial",0.5,0))+IF(AJ167="Sí",1,IF(AJ167="Parcial",0.5,0))+IF(AK167="Sí",1,IF(AK167="Parcial",0.5,0))</f>
        <v>0</v>
      </c>
      <c r="AU167" s="100">
        <f>SUM(AL167,AM167,AN167,AO167,AP167,AQ167,AR167,AS167,AT167)</f>
        <v>0</v>
      </c>
      <c r="AV167" s="54" t="str">
        <f>IF(A167="","",IF((IF(AL167&gt;=1,1,0)+IF(AM167&gt;=1,1,0)+IF(AN167&gt;=1,1,0)+IF(AO167&gt;=1,1,0)+IF(AP167&gt;=1,1,0)+IF(AQ167&gt;=1,1,0)+IF(AR167&gt;=1,1,0)+IF(AS167&gt;=1,1,0)+IF(AT167&gt;=1,1,0))&gt;=5,"Diversificado (5+ verticales)",IF((IF(AL167&gt;=1,1,0)+IF(AM167&gt;=1,1,0)+IF(AN167&gt;=1,1,0)+IF(AO167&gt;=1,1,0)+IF(AP167&gt;=1,1,0)+IF(AQ167&gt;=1,1,0)+IF(AR167&gt;=1,1,0)+IF(AS167&gt;=1,1,0)+IF(AT167&gt;=1,1,0))&gt;=3,"Multi-capacidad (3-4 verticales)",IF((IF(AL167&gt;=1,1,0)+IF(AM167&gt;=1,1,0)+IF(AN167&gt;=1,1,0)+IF(AO167&gt;=1,1,0)+IF(AP167&gt;=1,1,0)+IF(AQ167&gt;=1,1,0)+IF(AR167&gt;=1,1,0)+IF(AS167&gt;=1,1,0)+IF(AT167&gt;=1,1,0))&gt;=1,"Especialista (1-2 verticales)","Sin función mapeada"))))</f>
        <v/>
      </c>
    </row>
    <row r="168" spans="3:48" ht="15" customHeight="1" x14ac:dyDescent="0.2">
      <c r="C168" s="53" t="str">
        <f>IF(A168="","",IFERROR(INDEX('UNIVERSO MAESTRO'!$C$6:$C$497,MATCH(A168,'UNIVERSO MAESTRO'!$A$6:$A$497,0)),"⚠ ID no encontrado"))</f>
        <v/>
      </c>
      <c r="D168" s="54" t="str">
        <f>IF(A168="","",IFERROR(INDEX('UNIVERSO MAESTRO'!$D$6:$D$497,MATCH(A168,'UNIVERSO MAESTRO'!$A$6:$A$497,0)),""))</f>
        <v/>
      </c>
      <c r="AL168" s="91">
        <f>IF(E168="Sí",1,IF(E168="Parcial",0.5,0))+IF(F168="Sí",1,IF(F168="Parcial",0.5,0))+IF(G168="Sí",1,IF(G168="Parcial",0.5,0))+IF(H168="Sí",1,IF(H168="Parcial",0.5,0))</f>
        <v>0</v>
      </c>
      <c r="AM168" s="92">
        <f>IF(I168="Sí",1,IF(I168="Parcial",0.5,0))+IF(J168="Sí",1,IF(J168="Parcial",0.5,0))+IF(K168="Sí",1,IF(K168="Parcial",0.5,0))</f>
        <v>0</v>
      </c>
      <c r="AN168" s="93">
        <f>IF(L168="Sí",1,IF(L168="Parcial",0.5,0))+IF(M168="Sí",1,IF(M168="Parcial",0.5,0))+IF(N168="Sí",1,IF(N168="Parcial",0.5,0))+IF(O168="Sí",1,IF(O168="Parcial",0.5,0))</f>
        <v>0</v>
      </c>
      <c r="AO168" s="94">
        <f>IF(P168="Sí",1,IF(P168="Parcial",0.5,0))+IF(Q168="Sí",1,IF(Q168="Parcial",0.5,0))+IF(R168="Sí",1,IF(R168="Parcial",0.5,0))+IF(S168="Sí",1,IF(S168="Parcial",0.5,0))+IF(T168="Sí",1,IF(T168="Parcial",0.5,0))+IF(U168="Sí",1,IF(U168="Parcial",0.5,0))</f>
        <v>0</v>
      </c>
      <c r="AP168" s="95">
        <f>IF(V168="Sí",1,IF(V168="Parcial",0.5,0))+IF(W168="Sí",1,IF(W168="Parcial",0.5,0))+IF(X168="Sí",1,IF(X168="Parcial",0.5,0))+IF(Y168="Sí",1,IF(Y168="Parcial",0.5,0))</f>
        <v>0</v>
      </c>
      <c r="AQ168" s="96">
        <f>IF(Z168="Sí",1,IF(Z168="Parcial",0.5,0))+IF(AA168="Sí",1,IF(AA168="Parcial",0.5,0))+IF(AB168="Sí",1,IF(AB168="Parcial",0.5,0))</f>
        <v>0</v>
      </c>
      <c r="AR168" s="97">
        <f>IF(AC168="Sí",1,IF(AC168="Parcial",0.5,0))+IF(AD168="Sí",1,IF(AD168="Parcial",0.5,0))+IF(AE168="Sí",1,IF(AE168="Parcial",0.5,0))</f>
        <v>0</v>
      </c>
      <c r="AS168" s="98">
        <f>IF(AF168="Sí",1,IF(AF168="Parcial",0.5,0))+IF(AG168="Sí",1,IF(AG168="Parcial",0.5,0))+IF(AH168="Sí",1,IF(AH168="Parcial",0.5,0))</f>
        <v>0</v>
      </c>
      <c r="AT168" s="99">
        <f>IF(AI168="Sí",1,IF(AI168="Parcial",0.5,0))+IF(AJ168="Sí",1,IF(AJ168="Parcial",0.5,0))+IF(AK168="Sí",1,IF(AK168="Parcial",0.5,0))</f>
        <v>0</v>
      </c>
      <c r="AU168" s="100">
        <f>SUM(AL168,AM168,AN168,AO168,AP168,AQ168,AR168,AS168,AT168)</f>
        <v>0</v>
      </c>
      <c r="AV168" s="54" t="str">
        <f>IF(A168="","",IF((IF(AL168&gt;=1,1,0)+IF(AM168&gt;=1,1,0)+IF(AN168&gt;=1,1,0)+IF(AO168&gt;=1,1,0)+IF(AP168&gt;=1,1,0)+IF(AQ168&gt;=1,1,0)+IF(AR168&gt;=1,1,0)+IF(AS168&gt;=1,1,0)+IF(AT168&gt;=1,1,0))&gt;=5,"Diversificado (5+ verticales)",IF((IF(AL168&gt;=1,1,0)+IF(AM168&gt;=1,1,0)+IF(AN168&gt;=1,1,0)+IF(AO168&gt;=1,1,0)+IF(AP168&gt;=1,1,0)+IF(AQ168&gt;=1,1,0)+IF(AR168&gt;=1,1,0)+IF(AS168&gt;=1,1,0)+IF(AT168&gt;=1,1,0))&gt;=3,"Multi-capacidad (3-4 verticales)",IF((IF(AL168&gt;=1,1,0)+IF(AM168&gt;=1,1,0)+IF(AN168&gt;=1,1,0)+IF(AO168&gt;=1,1,0)+IF(AP168&gt;=1,1,0)+IF(AQ168&gt;=1,1,0)+IF(AR168&gt;=1,1,0)+IF(AS168&gt;=1,1,0)+IF(AT168&gt;=1,1,0))&gt;=1,"Especialista (1-2 verticales)","Sin función mapeada"))))</f>
        <v/>
      </c>
    </row>
    <row r="169" spans="3:48" ht="15" customHeight="1" x14ac:dyDescent="0.2">
      <c r="C169" s="53" t="str">
        <f>IF(A169="","",IFERROR(INDEX('UNIVERSO MAESTRO'!$C$6:$C$497,MATCH(A169,'UNIVERSO MAESTRO'!$A$6:$A$497,0)),"⚠ ID no encontrado"))</f>
        <v/>
      </c>
      <c r="D169" s="54" t="str">
        <f>IF(A169="","",IFERROR(INDEX('UNIVERSO MAESTRO'!$D$6:$D$497,MATCH(A169,'UNIVERSO MAESTRO'!$A$6:$A$497,0)),""))</f>
        <v/>
      </c>
      <c r="AL169" s="91">
        <f>IF(E169="Sí",1,IF(E169="Parcial",0.5,0))+IF(F169="Sí",1,IF(F169="Parcial",0.5,0))+IF(G169="Sí",1,IF(G169="Parcial",0.5,0))+IF(H169="Sí",1,IF(H169="Parcial",0.5,0))</f>
        <v>0</v>
      </c>
      <c r="AM169" s="92">
        <f>IF(I169="Sí",1,IF(I169="Parcial",0.5,0))+IF(J169="Sí",1,IF(J169="Parcial",0.5,0))+IF(K169="Sí",1,IF(K169="Parcial",0.5,0))</f>
        <v>0</v>
      </c>
      <c r="AN169" s="93">
        <f>IF(L169="Sí",1,IF(L169="Parcial",0.5,0))+IF(M169="Sí",1,IF(M169="Parcial",0.5,0))+IF(N169="Sí",1,IF(N169="Parcial",0.5,0))+IF(O169="Sí",1,IF(O169="Parcial",0.5,0))</f>
        <v>0</v>
      </c>
      <c r="AO169" s="94">
        <f>IF(P169="Sí",1,IF(P169="Parcial",0.5,0))+IF(Q169="Sí",1,IF(Q169="Parcial",0.5,0))+IF(R169="Sí",1,IF(R169="Parcial",0.5,0))+IF(S169="Sí",1,IF(S169="Parcial",0.5,0))+IF(T169="Sí",1,IF(T169="Parcial",0.5,0))+IF(U169="Sí",1,IF(U169="Parcial",0.5,0))</f>
        <v>0</v>
      </c>
      <c r="AP169" s="95">
        <f>IF(V169="Sí",1,IF(V169="Parcial",0.5,0))+IF(W169="Sí",1,IF(W169="Parcial",0.5,0))+IF(X169="Sí",1,IF(X169="Parcial",0.5,0))+IF(Y169="Sí",1,IF(Y169="Parcial",0.5,0))</f>
        <v>0</v>
      </c>
      <c r="AQ169" s="96">
        <f>IF(Z169="Sí",1,IF(Z169="Parcial",0.5,0))+IF(AA169="Sí",1,IF(AA169="Parcial",0.5,0))+IF(AB169="Sí",1,IF(AB169="Parcial",0.5,0))</f>
        <v>0</v>
      </c>
      <c r="AR169" s="97">
        <f>IF(AC169="Sí",1,IF(AC169="Parcial",0.5,0))+IF(AD169="Sí",1,IF(AD169="Parcial",0.5,0))+IF(AE169="Sí",1,IF(AE169="Parcial",0.5,0))</f>
        <v>0</v>
      </c>
      <c r="AS169" s="98">
        <f>IF(AF169="Sí",1,IF(AF169="Parcial",0.5,0))+IF(AG169="Sí",1,IF(AG169="Parcial",0.5,0))+IF(AH169="Sí",1,IF(AH169="Parcial",0.5,0))</f>
        <v>0</v>
      </c>
      <c r="AT169" s="99">
        <f>IF(AI169="Sí",1,IF(AI169="Parcial",0.5,0))+IF(AJ169="Sí",1,IF(AJ169="Parcial",0.5,0))+IF(AK169="Sí",1,IF(AK169="Parcial",0.5,0))</f>
        <v>0</v>
      </c>
      <c r="AU169" s="100">
        <f>SUM(AL169,AM169,AN169,AO169,AP169,AQ169,AR169,AS169,AT169)</f>
        <v>0</v>
      </c>
      <c r="AV169" s="54" t="str">
        <f>IF(A169="","",IF((IF(AL169&gt;=1,1,0)+IF(AM169&gt;=1,1,0)+IF(AN169&gt;=1,1,0)+IF(AO169&gt;=1,1,0)+IF(AP169&gt;=1,1,0)+IF(AQ169&gt;=1,1,0)+IF(AR169&gt;=1,1,0)+IF(AS169&gt;=1,1,0)+IF(AT169&gt;=1,1,0))&gt;=5,"Diversificado (5+ verticales)",IF((IF(AL169&gt;=1,1,0)+IF(AM169&gt;=1,1,0)+IF(AN169&gt;=1,1,0)+IF(AO169&gt;=1,1,0)+IF(AP169&gt;=1,1,0)+IF(AQ169&gt;=1,1,0)+IF(AR169&gt;=1,1,0)+IF(AS169&gt;=1,1,0)+IF(AT169&gt;=1,1,0))&gt;=3,"Multi-capacidad (3-4 verticales)",IF((IF(AL169&gt;=1,1,0)+IF(AM169&gt;=1,1,0)+IF(AN169&gt;=1,1,0)+IF(AO169&gt;=1,1,0)+IF(AP169&gt;=1,1,0)+IF(AQ169&gt;=1,1,0)+IF(AR169&gt;=1,1,0)+IF(AS169&gt;=1,1,0)+IF(AT169&gt;=1,1,0))&gt;=1,"Especialista (1-2 verticales)","Sin función mapeada"))))</f>
        <v/>
      </c>
    </row>
    <row r="170" spans="3:48" ht="15" customHeight="1" x14ac:dyDescent="0.2">
      <c r="C170" s="53" t="str">
        <f>IF(A170="","",IFERROR(INDEX('UNIVERSO MAESTRO'!$C$6:$C$497,MATCH(A170,'UNIVERSO MAESTRO'!$A$6:$A$497,0)),"⚠ ID no encontrado"))</f>
        <v/>
      </c>
      <c r="D170" s="54" t="str">
        <f>IF(A170="","",IFERROR(INDEX('UNIVERSO MAESTRO'!$D$6:$D$497,MATCH(A170,'UNIVERSO MAESTRO'!$A$6:$A$497,0)),""))</f>
        <v/>
      </c>
      <c r="AL170" s="91">
        <f>IF(E170="Sí",1,IF(E170="Parcial",0.5,0))+IF(F170="Sí",1,IF(F170="Parcial",0.5,0))+IF(G170="Sí",1,IF(G170="Parcial",0.5,0))+IF(H170="Sí",1,IF(H170="Parcial",0.5,0))</f>
        <v>0</v>
      </c>
      <c r="AM170" s="92">
        <f>IF(I170="Sí",1,IF(I170="Parcial",0.5,0))+IF(J170="Sí",1,IF(J170="Parcial",0.5,0))+IF(K170="Sí",1,IF(K170="Parcial",0.5,0))</f>
        <v>0</v>
      </c>
      <c r="AN170" s="93">
        <f>IF(L170="Sí",1,IF(L170="Parcial",0.5,0))+IF(M170="Sí",1,IF(M170="Parcial",0.5,0))+IF(N170="Sí",1,IF(N170="Parcial",0.5,0))+IF(O170="Sí",1,IF(O170="Parcial",0.5,0))</f>
        <v>0</v>
      </c>
      <c r="AO170" s="94">
        <f>IF(P170="Sí",1,IF(P170="Parcial",0.5,0))+IF(Q170="Sí",1,IF(Q170="Parcial",0.5,0))+IF(R170="Sí",1,IF(R170="Parcial",0.5,0))+IF(S170="Sí",1,IF(S170="Parcial",0.5,0))+IF(T170="Sí",1,IF(T170="Parcial",0.5,0))+IF(U170="Sí",1,IF(U170="Parcial",0.5,0))</f>
        <v>0</v>
      </c>
      <c r="AP170" s="95">
        <f>IF(V170="Sí",1,IF(V170="Parcial",0.5,0))+IF(W170="Sí",1,IF(W170="Parcial",0.5,0))+IF(X170="Sí",1,IF(X170="Parcial",0.5,0))+IF(Y170="Sí",1,IF(Y170="Parcial",0.5,0))</f>
        <v>0</v>
      </c>
      <c r="AQ170" s="96">
        <f>IF(Z170="Sí",1,IF(Z170="Parcial",0.5,0))+IF(AA170="Sí",1,IF(AA170="Parcial",0.5,0))+IF(AB170="Sí",1,IF(AB170="Parcial",0.5,0))</f>
        <v>0</v>
      </c>
      <c r="AR170" s="97">
        <f>IF(AC170="Sí",1,IF(AC170="Parcial",0.5,0))+IF(AD170="Sí",1,IF(AD170="Parcial",0.5,0))+IF(AE170="Sí",1,IF(AE170="Parcial",0.5,0))</f>
        <v>0</v>
      </c>
      <c r="AS170" s="98">
        <f>IF(AF170="Sí",1,IF(AF170="Parcial",0.5,0))+IF(AG170="Sí",1,IF(AG170="Parcial",0.5,0))+IF(AH170="Sí",1,IF(AH170="Parcial",0.5,0))</f>
        <v>0</v>
      </c>
      <c r="AT170" s="99">
        <f>IF(AI170="Sí",1,IF(AI170="Parcial",0.5,0))+IF(AJ170="Sí",1,IF(AJ170="Parcial",0.5,0))+IF(AK170="Sí",1,IF(AK170="Parcial",0.5,0))</f>
        <v>0</v>
      </c>
      <c r="AU170" s="100">
        <f>SUM(AL170,AM170,AN170,AO170,AP170,AQ170,AR170,AS170,AT170)</f>
        <v>0</v>
      </c>
      <c r="AV170" s="54" t="str">
        <f>IF(A170="","",IF((IF(AL170&gt;=1,1,0)+IF(AM170&gt;=1,1,0)+IF(AN170&gt;=1,1,0)+IF(AO170&gt;=1,1,0)+IF(AP170&gt;=1,1,0)+IF(AQ170&gt;=1,1,0)+IF(AR170&gt;=1,1,0)+IF(AS170&gt;=1,1,0)+IF(AT170&gt;=1,1,0))&gt;=5,"Diversificado (5+ verticales)",IF((IF(AL170&gt;=1,1,0)+IF(AM170&gt;=1,1,0)+IF(AN170&gt;=1,1,0)+IF(AO170&gt;=1,1,0)+IF(AP170&gt;=1,1,0)+IF(AQ170&gt;=1,1,0)+IF(AR170&gt;=1,1,0)+IF(AS170&gt;=1,1,0)+IF(AT170&gt;=1,1,0))&gt;=3,"Multi-capacidad (3-4 verticales)",IF((IF(AL170&gt;=1,1,0)+IF(AM170&gt;=1,1,0)+IF(AN170&gt;=1,1,0)+IF(AO170&gt;=1,1,0)+IF(AP170&gt;=1,1,0)+IF(AQ170&gt;=1,1,0)+IF(AR170&gt;=1,1,0)+IF(AS170&gt;=1,1,0)+IF(AT170&gt;=1,1,0))&gt;=1,"Especialista (1-2 verticales)","Sin función mapeada"))))</f>
        <v/>
      </c>
    </row>
    <row r="171" spans="3:48" ht="15" customHeight="1" x14ac:dyDescent="0.2">
      <c r="C171" s="53" t="str">
        <f>IF(A171="","",IFERROR(INDEX('UNIVERSO MAESTRO'!$C$6:$C$497,MATCH(A171,'UNIVERSO MAESTRO'!$A$6:$A$497,0)),"⚠ ID no encontrado"))</f>
        <v/>
      </c>
      <c r="D171" s="54" t="str">
        <f>IF(A171="","",IFERROR(INDEX('UNIVERSO MAESTRO'!$D$6:$D$497,MATCH(A171,'UNIVERSO MAESTRO'!$A$6:$A$497,0)),""))</f>
        <v/>
      </c>
      <c r="AL171" s="91">
        <f>IF(E171="Sí",1,IF(E171="Parcial",0.5,0))+IF(F171="Sí",1,IF(F171="Parcial",0.5,0))+IF(G171="Sí",1,IF(G171="Parcial",0.5,0))+IF(H171="Sí",1,IF(H171="Parcial",0.5,0))</f>
        <v>0</v>
      </c>
      <c r="AM171" s="92">
        <f>IF(I171="Sí",1,IF(I171="Parcial",0.5,0))+IF(J171="Sí",1,IF(J171="Parcial",0.5,0))+IF(K171="Sí",1,IF(K171="Parcial",0.5,0))</f>
        <v>0</v>
      </c>
      <c r="AN171" s="93">
        <f>IF(L171="Sí",1,IF(L171="Parcial",0.5,0))+IF(M171="Sí",1,IF(M171="Parcial",0.5,0))+IF(N171="Sí",1,IF(N171="Parcial",0.5,0))+IF(O171="Sí",1,IF(O171="Parcial",0.5,0))</f>
        <v>0</v>
      </c>
      <c r="AO171" s="94">
        <f>IF(P171="Sí",1,IF(P171="Parcial",0.5,0))+IF(Q171="Sí",1,IF(Q171="Parcial",0.5,0))+IF(R171="Sí",1,IF(R171="Parcial",0.5,0))+IF(S171="Sí",1,IF(S171="Parcial",0.5,0))+IF(T171="Sí",1,IF(T171="Parcial",0.5,0))+IF(U171="Sí",1,IF(U171="Parcial",0.5,0))</f>
        <v>0</v>
      </c>
      <c r="AP171" s="95">
        <f>IF(V171="Sí",1,IF(V171="Parcial",0.5,0))+IF(W171="Sí",1,IF(W171="Parcial",0.5,0))+IF(X171="Sí",1,IF(X171="Parcial",0.5,0))+IF(Y171="Sí",1,IF(Y171="Parcial",0.5,0))</f>
        <v>0</v>
      </c>
      <c r="AQ171" s="96">
        <f>IF(Z171="Sí",1,IF(Z171="Parcial",0.5,0))+IF(AA171="Sí",1,IF(AA171="Parcial",0.5,0))+IF(AB171="Sí",1,IF(AB171="Parcial",0.5,0))</f>
        <v>0</v>
      </c>
      <c r="AR171" s="97">
        <f>IF(AC171="Sí",1,IF(AC171="Parcial",0.5,0))+IF(AD171="Sí",1,IF(AD171="Parcial",0.5,0))+IF(AE171="Sí",1,IF(AE171="Parcial",0.5,0))</f>
        <v>0</v>
      </c>
      <c r="AS171" s="98">
        <f>IF(AF171="Sí",1,IF(AF171="Parcial",0.5,0))+IF(AG171="Sí",1,IF(AG171="Parcial",0.5,0))+IF(AH171="Sí",1,IF(AH171="Parcial",0.5,0))</f>
        <v>0</v>
      </c>
      <c r="AT171" s="99">
        <f>IF(AI171="Sí",1,IF(AI171="Parcial",0.5,0))+IF(AJ171="Sí",1,IF(AJ171="Parcial",0.5,0))+IF(AK171="Sí",1,IF(AK171="Parcial",0.5,0))</f>
        <v>0</v>
      </c>
      <c r="AU171" s="100">
        <f>SUM(AL171,AM171,AN171,AO171,AP171,AQ171,AR171,AS171,AT171)</f>
        <v>0</v>
      </c>
      <c r="AV171" s="54" t="str">
        <f>IF(A171="","",IF((IF(AL171&gt;=1,1,0)+IF(AM171&gt;=1,1,0)+IF(AN171&gt;=1,1,0)+IF(AO171&gt;=1,1,0)+IF(AP171&gt;=1,1,0)+IF(AQ171&gt;=1,1,0)+IF(AR171&gt;=1,1,0)+IF(AS171&gt;=1,1,0)+IF(AT171&gt;=1,1,0))&gt;=5,"Diversificado (5+ verticales)",IF((IF(AL171&gt;=1,1,0)+IF(AM171&gt;=1,1,0)+IF(AN171&gt;=1,1,0)+IF(AO171&gt;=1,1,0)+IF(AP171&gt;=1,1,0)+IF(AQ171&gt;=1,1,0)+IF(AR171&gt;=1,1,0)+IF(AS171&gt;=1,1,0)+IF(AT171&gt;=1,1,0))&gt;=3,"Multi-capacidad (3-4 verticales)",IF((IF(AL171&gt;=1,1,0)+IF(AM171&gt;=1,1,0)+IF(AN171&gt;=1,1,0)+IF(AO171&gt;=1,1,0)+IF(AP171&gt;=1,1,0)+IF(AQ171&gt;=1,1,0)+IF(AR171&gt;=1,1,0)+IF(AS171&gt;=1,1,0)+IF(AT171&gt;=1,1,0))&gt;=1,"Especialista (1-2 verticales)","Sin función mapeada"))))</f>
        <v/>
      </c>
    </row>
    <row r="172" spans="3:48" ht="15" customHeight="1" x14ac:dyDescent="0.2">
      <c r="C172" s="53" t="str">
        <f>IF(A172="","",IFERROR(INDEX('UNIVERSO MAESTRO'!$C$6:$C$497,MATCH(A172,'UNIVERSO MAESTRO'!$A$6:$A$497,0)),"⚠ ID no encontrado"))</f>
        <v/>
      </c>
      <c r="D172" s="54" t="str">
        <f>IF(A172="","",IFERROR(INDEX('UNIVERSO MAESTRO'!$D$6:$D$497,MATCH(A172,'UNIVERSO MAESTRO'!$A$6:$A$497,0)),""))</f>
        <v/>
      </c>
      <c r="AL172" s="91">
        <f>IF(E172="Sí",1,IF(E172="Parcial",0.5,0))+IF(F172="Sí",1,IF(F172="Parcial",0.5,0))+IF(G172="Sí",1,IF(G172="Parcial",0.5,0))+IF(H172="Sí",1,IF(H172="Parcial",0.5,0))</f>
        <v>0</v>
      </c>
      <c r="AM172" s="92">
        <f>IF(I172="Sí",1,IF(I172="Parcial",0.5,0))+IF(J172="Sí",1,IF(J172="Parcial",0.5,0))+IF(K172="Sí",1,IF(K172="Parcial",0.5,0))</f>
        <v>0</v>
      </c>
      <c r="AN172" s="93">
        <f>IF(L172="Sí",1,IF(L172="Parcial",0.5,0))+IF(M172="Sí",1,IF(M172="Parcial",0.5,0))+IF(N172="Sí",1,IF(N172="Parcial",0.5,0))+IF(O172="Sí",1,IF(O172="Parcial",0.5,0))</f>
        <v>0</v>
      </c>
      <c r="AO172" s="94">
        <f>IF(P172="Sí",1,IF(P172="Parcial",0.5,0))+IF(Q172="Sí",1,IF(Q172="Parcial",0.5,0))+IF(R172="Sí",1,IF(R172="Parcial",0.5,0))+IF(S172="Sí",1,IF(S172="Parcial",0.5,0))+IF(T172="Sí",1,IF(T172="Parcial",0.5,0))+IF(U172="Sí",1,IF(U172="Parcial",0.5,0))</f>
        <v>0</v>
      </c>
      <c r="AP172" s="95">
        <f>IF(V172="Sí",1,IF(V172="Parcial",0.5,0))+IF(W172="Sí",1,IF(W172="Parcial",0.5,0))+IF(X172="Sí",1,IF(X172="Parcial",0.5,0))+IF(Y172="Sí",1,IF(Y172="Parcial",0.5,0))</f>
        <v>0</v>
      </c>
      <c r="AQ172" s="96">
        <f>IF(Z172="Sí",1,IF(Z172="Parcial",0.5,0))+IF(AA172="Sí",1,IF(AA172="Parcial",0.5,0))+IF(AB172="Sí",1,IF(AB172="Parcial",0.5,0))</f>
        <v>0</v>
      </c>
      <c r="AR172" s="97">
        <f>IF(AC172="Sí",1,IF(AC172="Parcial",0.5,0))+IF(AD172="Sí",1,IF(AD172="Parcial",0.5,0))+IF(AE172="Sí",1,IF(AE172="Parcial",0.5,0))</f>
        <v>0</v>
      </c>
      <c r="AS172" s="98">
        <f>IF(AF172="Sí",1,IF(AF172="Parcial",0.5,0))+IF(AG172="Sí",1,IF(AG172="Parcial",0.5,0))+IF(AH172="Sí",1,IF(AH172="Parcial",0.5,0))</f>
        <v>0</v>
      </c>
      <c r="AT172" s="99">
        <f>IF(AI172="Sí",1,IF(AI172="Parcial",0.5,0))+IF(AJ172="Sí",1,IF(AJ172="Parcial",0.5,0))+IF(AK172="Sí",1,IF(AK172="Parcial",0.5,0))</f>
        <v>0</v>
      </c>
      <c r="AU172" s="100">
        <f>SUM(AL172,AM172,AN172,AO172,AP172,AQ172,AR172,AS172,AT172)</f>
        <v>0</v>
      </c>
      <c r="AV172" s="54" t="str">
        <f>IF(A172="","",IF((IF(AL172&gt;=1,1,0)+IF(AM172&gt;=1,1,0)+IF(AN172&gt;=1,1,0)+IF(AO172&gt;=1,1,0)+IF(AP172&gt;=1,1,0)+IF(AQ172&gt;=1,1,0)+IF(AR172&gt;=1,1,0)+IF(AS172&gt;=1,1,0)+IF(AT172&gt;=1,1,0))&gt;=5,"Diversificado (5+ verticales)",IF((IF(AL172&gt;=1,1,0)+IF(AM172&gt;=1,1,0)+IF(AN172&gt;=1,1,0)+IF(AO172&gt;=1,1,0)+IF(AP172&gt;=1,1,0)+IF(AQ172&gt;=1,1,0)+IF(AR172&gt;=1,1,0)+IF(AS172&gt;=1,1,0)+IF(AT172&gt;=1,1,0))&gt;=3,"Multi-capacidad (3-4 verticales)",IF((IF(AL172&gt;=1,1,0)+IF(AM172&gt;=1,1,0)+IF(AN172&gt;=1,1,0)+IF(AO172&gt;=1,1,0)+IF(AP172&gt;=1,1,0)+IF(AQ172&gt;=1,1,0)+IF(AR172&gt;=1,1,0)+IF(AS172&gt;=1,1,0)+IF(AT172&gt;=1,1,0))&gt;=1,"Especialista (1-2 verticales)","Sin función mapeada"))))</f>
        <v/>
      </c>
    </row>
    <row r="173" spans="3:48" ht="15" customHeight="1" x14ac:dyDescent="0.2">
      <c r="C173" s="53" t="str">
        <f>IF(A173="","",IFERROR(INDEX('UNIVERSO MAESTRO'!$C$6:$C$497,MATCH(A173,'UNIVERSO MAESTRO'!$A$6:$A$497,0)),"⚠ ID no encontrado"))</f>
        <v/>
      </c>
      <c r="D173" s="54" t="str">
        <f>IF(A173="","",IFERROR(INDEX('UNIVERSO MAESTRO'!$D$6:$D$497,MATCH(A173,'UNIVERSO MAESTRO'!$A$6:$A$497,0)),""))</f>
        <v/>
      </c>
      <c r="AL173" s="91">
        <f>IF(E173="Sí",1,IF(E173="Parcial",0.5,0))+IF(F173="Sí",1,IF(F173="Parcial",0.5,0))+IF(G173="Sí",1,IF(G173="Parcial",0.5,0))+IF(H173="Sí",1,IF(H173="Parcial",0.5,0))</f>
        <v>0</v>
      </c>
      <c r="AM173" s="92">
        <f>IF(I173="Sí",1,IF(I173="Parcial",0.5,0))+IF(J173="Sí",1,IF(J173="Parcial",0.5,0))+IF(K173="Sí",1,IF(K173="Parcial",0.5,0))</f>
        <v>0</v>
      </c>
      <c r="AN173" s="93">
        <f>IF(L173="Sí",1,IF(L173="Parcial",0.5,0))+IF(M173="Sí",1,IF(M173="Parcial",0.5,0))+IF(N173="Sí",1,IF(N173="Parcial",0.5,0))+IF(O173="Sí",1,IF(O173="Parcial",0.5,0))</f>
        <v>0</v>
      </c>
      <c r="AO173" s="94">
        <f>IF(P173="Sí",1,IF(P173="Parcial",0.5,0))+IF(Q173="Sí",1,IF(Q173="Parcial",0.5,0))+IF(R173="Sí",1,IF(R173="Parcial",0.5,0))+IF(S173="Sí",1,IF(S173="Parcial",0.5,0))+IF(T173="Sí",1,IF(T173="Parcial",0.5,0))+IF(U173="Sí",1,IF(U173="Parcial",0.5,0))</f>
        <v>0</v>
      </c>
      <c r="AP173" s="95">
        <f>IF(V173="Sí",1,IF(V173="Parcial",0.5,0))+IF(W173="Sí",1,IF(W173="Parcial",0.5,0))+IF(X173="Sí",1,IF(X173="Parcial",0.5,0))+IF(Y173="Sí",1,IF(Y173="Parcial",0.5,0))</f>
        <v>0</v>
      </c>
      <c r="AQ173" s="96">
        <f>IF(Z173="Sí",1,IF(Z173="Parcial",0.5,0))+IF(AA173="Sí",1,IF(AA173="Parcial",0.5,0))+IF(AB173="Sí",1,IF(AB173="Parcial",0.5,0))</f>
        <v>0</v>
      </c>
      <c r="AR173" s="97">
        <f>IF(AC173="Sí",1,IF(AC173="Parcial",0.5,0))+IF(AD173="Sí",1,IF(AD173="Parcial",0.5,0))+IF(AE173="Sí",1,IF(AE173="Parcial",0.5,0))</f>
        <v>0</v>
      </c>
      <c r="AS173" s="98">
        <f>IF(AF173="Sí",1,IF(AF173="Parcial",0.5,0))+IF(AG173="Sí",1,IF(AG173="Parcial",0.5,0))+IF(AH173="Sí",1,IF(AH173="Parcial",0.5,0))</f>
        <v>0</v>
      </c>
      <c r="AT173" s="99">
        <f>IF(AI173="Sí",1,IF(AI173="Parcial",0.5,0))+IF(AJ173="Sí",1,IF(AJ173="Parcial",0.5,0))+IF(AK173="Sí",1,IF(AK173="Parcial",0.5,0))</f>
        <v>0</v>
      </c>
      <c r="AU173" s="100">
        <f>SUM(AL173,AM173,AN173,AO173,AP173,AQ173,AR173,AS173,AT173)</f>
        <v>0</v>
      </c>
      <c r="AV173" s="54" t="str">
        <f>IF(A173="","",IF((IF(AL173&gt;=1,1,0)+IF(AM173&gt;=1,1,0)+IF(AN173&gt;=1,1,0)+IF(AO173&gt;=1,1,0)+IF(AP173&gt;=1,1,0)+IF(AQ173&gt;=1,1,0)+IF(AR173&gt;=1,1,0)+IF(AS173&gt;=1,1,0)+IF(AT173&gt;=1,1,0))&gt;=5,"Diversificado (5+ verticales)",IF((IF(AL173&gt;=1,1,0)+IF(AM173&gt;=1,1,0)+IF(AN173&gt;=1,1,0)+IF(AO173&gt;=1,1,0)+IF(AP173&gt;=1,1,0)+IF(AQ173&gt;=1,1,0)+IF(AR173&gt;=1,1,0)+IF(AS173&gt;=1,1,0)+IF(AT173&gt;=1,1,0))&gt;=3,"Multi-capacidad (3-4 verticales)",IF((IF(AL173&gt;=1,1,0)+IF(AM173&gt;=1,1,0)+IF(AN173&gt;=1,1,0)+IF(AO173&gt;=1,1,0)+IF(AP173&gt;=1,1,0)+IF(AQ173&gt;=1,1,0)+IF(AR173&gt;=1,1,0)+IF(AS173&gt;=1,1,0)+IF(AT173&gt;=1,1,0))&gt;=1,"Especialista (1-2 verticales)","Sin función mapeada"))))</f>
        <v/>
      </c>
    </row>
    <row r="174" spans="3:48" ht="15" customHeight="1" x14ac:dyDescent="0.2">
      <c r="C174" s="53" t="str">
        <f>IF(A174="","",IFERROR(INDEX('UNIVERSO MAESTRO'!$C$6:$C$497,MATCH(A174,'UNIVERSO MAESTRO'!$A$6:$A$497,0)),"⚠ ID no encontrado"))</f>
        <v/>
      </c>
      <c r="D174" s="54" t="str">
        <f>IF(A174="","",IFERROR(INDEX('UNIVERSO MAESTRO'!$D$6:$D$497,MATCH(A174,'UNIVERSO MAESTRO'!$A$6:$A$497,0)),""))</f>
        <v/>
      </c>
      <c r="AL174" s="91">
        <f>IF(E174="Sí",1,IF(E174="Parcial",0.5,0))+IF(F174="Sí",1,IF(F174="Parcial",0.5,0))+IF(G174="Sí",1,IF(G174="Parcial",0.5,0))+IF(H174="Sí",1,IF(H174="Parcial",0.5,0))</f>
        <v>0</v>
      </c>
      <c r="AM174" s="92">
        <f>IF(I174="Sí",1,IF(I174="Parcial",0.5,0))+IF(J174="Sí",1,IF(J174="Parcial",0.5,0))+IF(K174="Sí",1,IF(K174="Parcial",0.5,0))</f>
        <v>0</v>
      </c>
      <c r="AN174" s="93">
        <f>IF(L174="Sí",1,IF(L174="Parcial",0.5,0))+IF(M174="Sí",1,IF(M174="Parcial",0.5,0))+IF(N174="Sí",1,IF(N174="Parcial",0.5,0))+IF(O174="Sí",1,IF(O174="Parcial",0.5,0))</f>
        <v>0</v>
      </c>
      <c r="AO174" s="94">
        <f>IF(P174="Sí",1,IF(P174="Parcial",0.5,0))+IF(Q174="Sí",1,IF(Q174="Parcial",0.5,0))+IF(R174="Sí",1,IF(R174="Parcial",0.5,0))+IF(S174="Sí",1,IF(S174="Parcial",0.5,0))+IF(T174="Sí",1,IF(T174="Parcial",0.5,0))+IF(U174="Sí",1,IF(U174="Parcial",0.5,0))</f>
        <v>0</v>
      </c>
      <c r="AP174" s="95">
        <f>IF(V174="Sí",1,IF(V174="Parcial",0.5,0))+IF(W174="Sí",1,IF(W174="Parcial",0.5,0))+IF(X174="Sí",1,IF(X174="Parcial",0.5,0))+IF(Y174="Sí",1,IF(Y174="Parcial",0.5,0))</f>
        <v>0</v>
      </c>
      <c r="AQ174" s="96">
        <f>IF(Z174="Sí",1,IF(Z174="Parcial",0.5,0))+IF(AA174="Sí",1,IF(AA174="Parcial",0.5,0))+IF(AB174="Sí",1,IF(AB174="Parcial",0.5,0))</f>
        <v>0</v>
      </c>
      <c r="AR174" s="97">
        <f>IF(AC174="Sí",1,IF(AC174="Parcial",0.5,0))+IF(AD174="Sí",1,IF(AD174="Parcial",0.5,0))+IF(AE174="Sí",1,IF(AE174="Parcial",0.5,0))</f>
        <v>0</v>
      </c>
      <c r="AS174" s="98">
        <f>IF(AF174="Sí",1,IF(AF174="Parcial",0.5,0))+IF(AG174="Sí",1,IF(AG174="Parcial",0.5,0))+IF(AH174="Sí",1,IF(AH174="Parcial",0.5,0))</f>
        <v>0</v>
      </c>
      <c r="AT174" s="99">
        <f>IF(AI174="Sí",1,IF(AI174="Parcial",0.5,0))+IF(AJ174="Sí",1,IF(AJ174="Parcial",0.5,0))+IF(AK174="Sí",1,IF(AK174="Parcial",0.5,0))</f>
        <v>0</v>
      </c>
      <c r="AU174" s="100">
        <f>SUM(AL174,AM174,AN174,AO174,AP174,AQ174,AR174,AS174,AT174)</f>
        <v>0</v>
      </c>
      <c r="AV174" s="54" t="str">
        <f>IF(A174="","",IF((IF(AL174&gt;=1,1,0)+IF(AM174&gt;=1,1,0)+IF(AN174&gt;=1,1,0)+IF(AO174&gt;=1,1,0)+IF(AP174&gt;=1,1,0)+IF(AQ174&gt;=1,1,0)+IF(AR174&gt;=1,1,0)+IF(AS174&gt;=1,1,0)+IF(AT174&gt;=1,1,0))&gt;=5,"Diversificado (5+ verticales)",IF((IF(AL174&gt;=1,1,0)+IF(AM174&gt;=1,1,0)+IF(AN174&gt;=1,1,0)+IF(AO174&gt;=1,1,0)+IF(AP174&gt;=1,1,0)+IF(AQ174&gt;=1,1,0)+IF(AR174&gt;=1,1,0)+IF(AS174&gt;=1,1,0)+IF(AT174&gt;=1,1,0))&gt;=3,"Multi-capacidad (3-4 verticales)",IF((IF(AL174&gt;=1,1,0)+IF(AM174&gt;=1,1,0)+IF(AN174&gt;=1,1,0)+IF(AO174&gt;=1,1,0)+IF(AP174&gt;=1,1,0)+IF(AQ174&gt;=1,1,0)+IF(AR174&gt;=1,1,0)+IF(AS174&gt;=1,1,0)+IF(AT174&gt;=1,1,0))&gt;=1,"Especialista (1-2 verticales)","Sin función mapeada"))))</f>
        <v/>
      </c>
    </row>
    <row r="175" spans="3:48" ht="15" customHeight="1" x14ac:dyDescent="0.2">
      <c r="C175" s="53" t="str">
        <f>IF(A175="","",IFERROR(INDEX('UNIVERSO MAESTRO'!$C$6:$C$497,MATCH(A175,'UNIVERSO MAESTRO'!$A$6:$A$497,0)),"⚠ ID no encontrado"))</f>
        <v/>
      </c>
      <c r="D175" s="54" t="str">
        <f>IF(A175="","",IFERROR(INDEX('UNIVERSO MAESTRO'!$D$6:$D$497,MATCH(A175,'UNIVERSO MAESTRO'!$A$6:$A$497,0)),""))</f>
        <v/>
      </c>
      <c r="AL175" s="91">
        <f>IF(E175="Sí",1,IF(E175="Parcial",0.5,0))+IF(F175="Sí",1,IF(F175="Parcial",0.5,0))+IF(G175="Sí",1,IF(G175="Parcial",0.5,0))+IF(H175="Sí",1,IF(H175="Parcial",0.5,0))</f>
        <v>0</v>
      </c>
      <c r="AM175" s="92">
        <f>IF(I175="Sí",1,IF(I175="Parcial",0.5,0))+IF(J175="Sí",1,IF(J175="Parcial",0.5,0))+IF(K175="Sí",1,IF(K175="Parcial",0.5,0))</f>
        <v>0</v>
      </c>
      <c r="AN175" s="93">
        <f>IF(L175="Sí",1,IF(L175="Parcial",0.5,0))+IF(M175="Sí",1,IF(M175="Parcial",0.5,0))+IF(N175="Sí",1,IF(N175="Parcial",0.5,0))+IF(O175="Sí",1,IF(O175="Parcial",0.5,0))</f>
        <v>0</v>
      </c>
      <c r="AO175" s="94">
        <f>IF(P175="Sí",1,IF(P175="Parcial",0.5,0))+IF(Q175="Sí",1,IF(Q175="Parcial",0.5,0))+IF(R175="Sí",1,IF(R175="Parcial",0.5,0))+IF(S175="Sí",1,IF(S175="Parcial",0.5,0))+IF(T175="Sí",1,IF(T175="Parcial",0.5,0))+IF(U175="Sí",1,IF(U175="Parcial",0.5,0))</f>
        <v>0</v>
      </c>
      <c r="AP175" s="95">
        <f>IF(V175="Sí",1,IF(V175="Parcial",0.5,0))+IF(W175="Sí",1,IF(W175="Parcial",0.5,0))+IF(X175="Sí",1,IF(X175="Parcial",0.5,0))+IF(Y175="Sí",1,IF(Y175="Parcial",0.5,0))</f>
        <v>0</v>
      </c>
      <c r="AQ175" s="96">
        <f>IF(Z175="Sí",1,IF(Z175="Parcial",0.5,0))+IF(AA175="Sí",1,IF(AA175="Parcial",0.5,0))+IF(AB175="Sí",1,IF(AB175="Parcial",0.5,0))</f>
        <v>0</v>
      </c>
      <c r="AR175" s="97">
        <f>IF(AC175="Sí",1,IF(AC175="Parcial",0.5,0))+IF(AD175="Sí",1,IF(AD175="Parcial",0.5,0))+IF(AE175="Sí",1,IF(AE175="Parcial",0.5,0))</f>
        <v>0</v>
      </c>
      <c r="AS175" s="98">
        <f>IF(AF175="Sí",1,IF(AF175="Parcial",0.5,0))+IF(AG175="Sí",1,IF(AG175="Parcial",0.5,0))+IF(AH175="Sí",1,IF(AH175="Parcial",0.5,0))</f>
        <v>0</v>
      </c>
      <c r="AT175" s="99">
        <f>IF(AI175="Sí",1,IF(AI175="Parcial",0.5,0))+IF(AJ175="Sí",1,IF(AJ175="Parcial",0.5,0))+IF(AK175="Sí",1,IF(AK175="Parcial",0.5,0))</f>
        <v>0</v>
      </c>
      <c r="AU175" s="100">
        <f>SUM(AL175,AM175,AN175,AO175,AP175,AQ175,AR175,AS175,AT175)</f>
        <v>0</v>
      </c>
      <c r="AV175" s="54" t="str">
        <f>IF(A175="","",IF((IF(AL175&gt;=1,1,0)+IF(AM175&gt;=1,1,0)+IF(AN175&gt;=1,1,0)+IF(AO175&gt;=1,1,0)+IF(AP175&gt;=1,1,0)+IF(AQ175&gt;=1,1,0)+IF(AR175&gt;=1,1,0)+IF(AS175&gt;=1,1,0)+IF(AT175&gt;=1,1,0))&gt;=5,"Diversificado (5+ verticales)",IF((IF(AL175&gt;=1,1,0)+IF(AM175&gt;=1,1,0)+IF(AN175&gt;=1,1,0)+IF(AO175&gt;=1,1,0)+IF(AP175&gt;=1,1,0)+IF(AQ175&gt;=1,1,0)+IF(AR175&gt;=1,1,0)+IF(AS175&gt;=1,1,0)+IF(AT175&gt;=1,1,0))&gt;=3,"Multi-capacidad (3-4 verticales)",IF((IF(AL175&gt;=1,1,0)+IF(AM175&gt;=1,1,0)+IF(AN175&gt;=1,1,0)+IF(AO175&gt;=1,1,0)+IF(AP175&gt;=1,1,0)+IF(AQ175&gt;=1,1,0)+IF(AR175&gt;=1,1,0)+IF(AS175&gt;=1,1,0)+IF(AT175&gt;=1,1,0))&gt;=1,"Especialista (1-2 verticales)","Sin función mapeada"))))</f>
        <v/>
      </c>
    </row>
    <row r="176" spans="3:48" ht="15" customHeight="1" x14ac:dyDescent="0.2">
      <c r="C176" s="53" t="str">
        <f>IF(A176="","",IFERROR(INDEX('UNIVERSO MAESTRO'!$C$6:$C$497,MATCH(A176,'UNIVERSO MAESTRO'!$A$6:$A$497,0)),"⚠ ID no encontrado"))</f>
        <v/>
      </c>
      <c r="D176" s="54" t="str">
        <f>IF(A176="","",IFERROR(INDEX('UNIVERSO MAESTRO'!$D$6:$D$497,MATCH(A176,'UNIVERSO MAESTRO'!$A$6:$A$497,0)),""))</f>
        <v/>
      </c>
      <c r="AL176" s="91">
        <f>IF(E176="Sí",1,IF(E176="Parcial",0.5,0))+IF(F176="Sí",1,IF(F176="Parcial",0.5,0))+IF(G176="Sí",1,IF(G176="Parcial",0.5,0))+IF(H176="Sí",1,IF(H176="Parcial",0.5,0))</f>
        <v>0</v>
      </c>
      <c r="AM176" s="92">
        <f>IF(I176="Sí",1,IF(I176="Parcial",0.5,0))+IF(J176="Sí",1,IF(J176="Parcial",0.5,0))+IF(K176="Sí",1,IF(K176="Parcial",0.5,0))</f>
        <v>0</v>
      </c>
      <c r="AN176" s="93">
        <f>IF(L176="Sí",1,IF(L176="Parcial",0.5,0))+IF(M176="Sí",1,IF(M176="Parcial",0.5,0))+IF(N176="Sí",1,IF(N176="Parcial",0.5,0))+IF(O176="Sí",1,IF(O176="Parcial",0.5,0))</f>
        <v>0</v>
      </c>
      <c r="AO176" s="94">
        <f>IF(P176="Sí",1,IF(P176="Parcial",0.5,0))+IF(Q176="Sí",1,IF(Q176="Parcial",0.5,0))+IF(R176="Sí",1,IF(R176="Parcial",0.5,0))+IF(S176="Sí",1,IF(S176="Parcial",0.5,0))+IF(T176="Sí",1,IF(T176="Parcial",0.5,0))+IF(U176="Sí",1,IF(U176="Parcial",0.5,0))</f>
        <v>0</v>
      </c>
      <c r="AP176" s="95">
        <f>IF(V176="Sí",1,IF(V176="Parcial",0.5,0))+IF(W176="Sí",1,IF(W176="Parcial",0.5,0))+IF(X176="Sí",1,IF(X176="Parcial",0.5,0))+IF(Y176="Sí",1,IF(Y176="Parcial",0.5,0))</f>
        <v>0</v>
      </c>
      <c r="AQ176" s="96">
        <f>IF(Z176="Sí",1,IF(Z176="Parcial",0.5,0))+IF(AA176="Sí",1,IF(AA176="Parcial",0.5,0))+IF(AB176="Sí",1,IF(AB176="Parcial",0.5,0))</f>
        <v>0</v>
      </c>
      <c r="AR176" s="97">
        <f>IF(AC176="Sí",1,IF(AC176="Parcial",0.5,0))+IF(AD176="Sí",1,IF(AD176="Parcial",0.5,0))+IF(AE176="Sí",1,IF(AE176="Parcial",0.5,0))</f>
        <v>0</v>
      </c>
      <c r="AS176" s="98">
        <f>IF(AF176="Sí",1,IF(AF176="Parcial",0.5,0))+IF(AG176="Sí",1,IF(AG176="Parcial",0.5,0))+IF(AH176="Sí",1,IF(AH176="Parcial",0.5,0))</f>
        <v>0</v>
      </c>
      <c r="AT176" s="99">
        <f>IF(AI176="Sí",1,IF(AI176="Parcial",0.5,0))+IF(AJ176="Sí",1,IF(AJ176="Parcial",0.5,0))+IF(AK176="Sí",1,IF(AK176="Parcial",0.5,0))</f>
        <v>0</v>
      </c>
      <c r="AU176" s="100">
        <f>SUM(AL176,AM176,AN176,AO176,AP176,AQ176,AR176,AS176,AT176)</f>
        <v>0</v>
      </c>
      <c r="AV176" s="54" t="str">
        <f>IF(A176="","",IF((IF(AL176&gt;=1,1,0)+IF(AM176&gt;=1,1,0)+IF(AN176&gt;=1,1,0)+IF(AO176&gt;=1,1,0)+IF(AP176&gt;=1,1,0)+IF(AQ176&gt;=1,1,0)+IF(AR176&gt;=1,1,0)+IF(AS176&gt;=1,1,0)+IF(AT176&gt;=1,1,0))&gt;=5,"Diversificado (5+ verticales)",IF((IF(AL176&gt;=1,1,0)+IF(AM176&gt;=1,1,0)+IF(AN176&gt;=1,1,0)+IF(AO176&gt;=1,1,0)+IF(AP176&gt;=1,1,0)+IF(AQ176&gt;=1,1,0)+IF(AR176&gt;=1,1,0)+IF(AS176&gt;=1,1,0)+IF(AT176&gt;=1,1,0))&gt;=3,"Multi-capacidad (3-4 verticales)",IF((IF(AL176&gt;=1,1,0)+IF(AM176&gt;=1,1,0)+IF(AN176&gt;=1,1,0)+IF(AO176&gt;=1,1,0)+IF(AP176&gt;=1,1,0)+IF(AQ176&gt;=1,1,0)+IF(AR176&gt;=1,1,0)+IF(AS176&gt;=1,1,0)+IF(AT176&gt;=1,1,0))&gt;=1,"Especialista (1-2 verticales)","Sin función mapeada"))))</f>
        <v/>
      </c>
    </row>
    <row r="177" spans="3:48" ht="15" customHeight="1" x14ac:dyDescent="0.2">
      <c r="C177" s="53" t="str">
        <f>IF(A177="","",IFERROR(INDEX('UNIVERSO MAESTRO'!$C$6:$C$497,MATCH(A177,'UNIVERSO MAESTRO'!$A$6:$A$497,0)),"⚠ ID no encontrado"))</f>
        <v/>
      </c>
      <c r="D177" s="54" t="str">
        <f>IF(A177="","",IFERROR(INDEX('UNIVERSO MAESTRO'!$D$6:$D$497,MATCH(A177,'UNIVERSO MAESTRO'!$A$6:$A$497,0)),""))</f>
        <v/>
      </c>
      <c r="AL177" s="91">
        <f>IF(E177="Sí",1,IF(E177="Parcial",0.5,0))+IF(F177="Sí",1,IF(F177="Parcial",0.5,0))+IF(G177="Sí",1,IF(G177="Parcial",0.5,0))+IF(H177="Sí",1,IF(H177="Parcial",0.5,0))</f>
        <v>0</v>
      </c>
      <c r="AM177" s="92">
        <f>IF(I177="Sí",1,IF(I177="Parcial",0.5,0))+IF(J177="Sí",1,IF(J177="Parcial",0.5,0))+IF(K177="Sí",1,IF(K177="Parcial",0.5,0))</f>
        <v>0</v>
      </c>
      <c r="AN177" s="93">
        <f>IF(L177="Sí",1,IF(L177="Parcial",0.5,0))+IF(M177="Sí",1,IF(M177="Parcial",0.5,0))+IF(N177="Sí",1,IF(N177="Parcial",0.5,0))+IF(O177="Sí",1,IF(O177="Parcial",0.5,0))</f>
        <v>0</v>
      </c>
      <c r="AO177" s="94">
        <f>IF(P177="Sí",1,IF(P177="Parcial",0.5,0))+IF(Q177="Sí",1,IF(Q177="Parcial",0.5,0))+IF(R177="Sí",1,IF(R177="Parcial",0.5,0))+IF(S177="Sí",1,IF(S177="Parcial",0.5,0))+IF(T177="Sí",1,IF(T177="Parcial",0.5,0))+IF(U177="Sí",1,IF(U177="Parcial",0.5,0))</f>
        <v>0</v>
      </c>
      <c r="AP177" s="95">
        <f>IF(V177="Sí",1,IF(V177="Parcial",0.5,0))+IF(W177="Sí",1,IF(W177="Parcial",0.5,0))+IF(X177="Sí",1,IF(X177="Parcial",0.5,0))+IF(Y177="Sí",1,IF(Y177="Parcial",0.5,0))</f>
        <v>0</v>
      </c>
      <c r="AQ177" s="96">
        <f>IF(Z177="Sí",1,IF(Z177="Parcial",0.5,0))+IF(AA177="Sí",1,IF(AA177="Parcial",0.5,0))+IF(AB177="Sí",1,IF(AB177="Parcial",0.5,0))</f>
        <v>0</v>
      </c>
      <c r="AR177" s="97">
        <f>IF(AC177="Sí",1,IF(AC177="Parcial",0.5,0))+IF(AD177="Sí",1,IF(AD177="Parcial",0.5,0))+IF(AE177="Sí",1,IF(AE177="Parcial",0.5,0))</f>
        <v>0</v>
      </c>
      <c r="AS177" s="98">
        <f>IF(AF177="Sí",1,IF(AF177="Parcial",0.5,0))+IF(AG177="Sí",1,IF(AG177="Parcial",0.5,0))+IF(AH177="Sí",1,IF(AH177="Parcial",0.5,0))</f>
        <v>0</v>
      </c>
      <c r="AT177" s="99">
        <f>IF(AI177="Sí",1,IF(AI177="Parcial",0.5,0))+IF(AJ177="Sí",1,IF(AJ177="Parcial",0.5,0))+IF(AK177="Sí",1,IF(AK177="Parcial",0.5,0))</f>
        <v>0</v>
      </c>
      <c r="AU177" s="100">
        <f>SUM(AL177,AM177,AN177,AO177,AP177,AQ177,AR177,AS177,AT177)</f>
        <v>0</v>
      </c>
      <c r="AV177" s="54" t="str">
        <f>IF(A177="","",IF((IF(AL177&gt;=1,1,0)+IF(AM177&gt;=1,1,0)+IF(AN177&gt;=1,1,0)+IF(AO177&gt;=1,1,0)+IF(AP177&gt;=1,1,0)+IF(AQ177&gt;=1,1,0)+IF(AR177&gt;=1,1,0)+IF(AS177&gt;=1,1,0)+IF(AT177&gt;=1,1,0))&gt;=5,"Diversificado (5+ verticales)",IF((IF(AL177&gt;=1,1,0)+IF(AM177&gt;=1,1,0)+IF(AN177&gt;=1,1,0)+IF(AO177&gt;=1,1,0)+IF(AP177&gt;=1,1,0)+IF(AQ177&gt;=1,1,0)+IF(AR177&gt;=1,1,0)+IF(AS177&gt;=1,1,0)+IF(AT177&gt;=1,1,0))&gt;=3,"Multi-capacidad (3-4 verticales)",IF((IF(AL177&gt;=1,1,0)+IF(AM177&gt;=1,1,0)+IF(AN177&gt;=1,1,0)+IF(AO177&gt;=1,1,0)+IF(AP177&gt;=1,1,0)+IF(AQ177&gt;=1,1,0)+IF(AR177&gt;=1,1,0)+IF(AS177&gt;=1,1,0)+IF(AT177&gt;=1,1,0))&gt;=1,"Especialista (1-2 verticales)","Sin función mapeada"))))</f>
        <v/>
      </c>
    </row>
    <row r="178" spans="3:48" ht="15" customHeight="1" x14ac:dyDescent="0.2">
      <c r="C178" s="53" t="str">
        <f>IF(A178="","",IFERROR(INDEX('UNIVERSO MAESTRO'!$C$6:$C$497,MATCH(A178,'UNIVERSO MAESTRO'!$A$6:$A$497,0)),"⚠ ID no encontrado"))</f>
        <v/>
      </c>
      <c r="D178" s="54" t="str">
        <f>IF(A178="","",IFERROR(INDEX('UNIVERSO MAESTRO'!$D$6:$D$497,MATCH(A178,'UNIVERSO MAESTRO'!$A$6:$A$497,0)),""))</f>
        <v/>
      </c>
      <c r="AL178" s="91">
        <f>IF(E178="Sí",1,IF(E178="Parcial",0.5,0))+IF(F178="Sí",1,IF(F178="Parcial",0.5,0))+IF(G178="Sí",1,IF(G178="Parcial",0.5,0))+IF(H178="Sí",1,IF(H178="Parcial",0.5,0))</f>
        <v>0</v>
      </c>
      <c r="AM178" s="92">
        <f>IF(I178="Sí",1,IF(I178="Parcial",0.5,0))+IF(J178="Sí",1,IF(J178="Parcial",0.5,0))+IF(K178="Sí",1,IF(K178="Parcial",0.5,0))</f>
        <v>0</v>
      </c>
      <c r="AN178" s="93">
        <f>IF(L178="Sí",1,IF(L178="Parcial",0.5,0))+IF(M178="Sí",1,IF(M178="Parcial",0.5,0))+IF(N178="Sí",1,IF(N178="Parcial",0.5,0))+IF(O178="Sí",1,IF(O178="Parcial",0.5,0))</f>
        <v>0</v>
      </c>
      <c r="AO178" s="94">
        <f>IF(P178="Sí",1,IF(P178="Parcial",0.5,0))+IF(Q178="Sí",1,IF(Q178="Parcial",0.5,0))+IF(R178="Sí",1,IF(R178="Parcial",0.5,0))+IF(S178="Sí",1,IF(S178="Parcial",0.5,0))+IF(T178="Sí",1,IF(T178="Parcial",0.5,0))+IF(U178="Sí",1,IF(U178="Parcial",0.5,0))</f>
        <v>0</v>
      </c>
      <c r="AP178" s="95">
        <f>IF(V178="Sí",1,IF(V178="Parcial",0.5,0))+IF(W178="Sí",1,IF(W178="Parcial",0.5,0))+IF(X178="Sí",1,IF(X178="Parcial",0.5,0))+IF(Y178="Sí",1,IF(Y178="Parcial",0.5,0))</f>
        <v>0</v>
      </c>
      <c r="AQ178" s="96">
        <f>IF(Z178="Sí",1,IF(Z178="Parcial",0.5,0))+IF(AA178="Sí",1,IF(AA178="Parcial",0.5,0))+IF(AB178="Sí",1,IF(AB178="Parcial",0.5,0))</f>
        <v>0</v>
      </c>
      <c r="AR178" s="97">
        <f>IF(AC178="Sí",1,IF(AC178="Parcial",0.5,0))+IF(AD178="Sí",1,IF(AD178="Parcial",0.5,0))+IF(AE178="Sí",1,IF(AE178="Parcial",0.5,0))</f>
        <v>0</v>
      </c>
      <c r="AS178" s="98">
        <f>IF(AF178="Sí",1,IF(AF178="Parcial",0.5,0))+IF(AG178="Sí",1,IF(AG178="Parcial",0.5,0))+IF(AH178="Sí",1,IF(AH178="Parcial",0.5,0))</f>
        <v>0</v>
      </c>
      <c r="AT178" s="99">
        <f>IF(AI178="Sí",1,IF(AI178="Parcial",0.5,0))+IF(AJ178="Sí",1,IF(AJ178="Parcial",0.5,0))+IF(AK178="Sí",1,IF(AK178="Parcial",0.5,0))</f>
        <v>0</v>
      </c>
      <c r="AU178" s="100">
        <f>SUM(AL178,AM178,AN178,AO178,AP178,AQ178,AR178,AS178,AT178)</f>
        <v>0</v>
      </c>
      <c r="AV178" s="54" t="str">
        <f>IF(A178="","",IF((IF(AL178&gt;=1,1,0)+IF(AM178&gt;=1,1,0)+IF(AN178&gt;=1,1,0)+IF(AO178&gt;=1,1,0)+IF(AP178&gt;=1,1,0)+IF(AQ178&gt;=1,1,0)+IF(AR178&gt;=1,1,0)+IF(AS178&gt;=1,1,0)+IF(AT178&gt;=1,1,0))&gt;=5,"Diversificado (5+ verticales)",IF((IF(AL178&gt;=1,1,0)+IF(AM178&gt;=1,1,0)+IF(AN178&gt;=1,1,0)+IF(AO178&gt;=1,1,0)+IF(AP178&gt;=1,1,0)+IF(AQ178&gt;=1,1,0)+IF(AR178&gt;=1,1,0)+IF(AS178&gt;=1,1,0)+IF(AT178&gt;=1,1,0))&gt;=3,"Multi-capacidad (3-4 verticales)",IF((IF(AL178&gt;=1,1,0)+IF(AM178&gt;=1,1,0)+IF(AN178&gt;=1,1,0)+IF(AO178&gt;=1,1,0)+IF(AP178&gt;=1,1,0)+IF(AQ178&gt;=1,1,0)+IF(AR178&gt;=1,1,0)+IF(AS178&gt;=1,1,0)+IF(AT178&gt;=1,1,0))&gt;=1,"Especialista (1-2 verticales)","Sin función mapeada"))))</f>
        <v/>
      </c>
    </row>
    <row r="179" spans="3:48" ht="15" customHeight="1" x14ac:dyDescent="0.2">
      <c r="C179" s="53" t="str">
        <f>IF(A179="","",IFERROR(INDEX('UNIVERSO MAESTRO'!$C$6:$C$497,MATCH(A179,'UNIVERSO MAESTRO'!$A$6:$A$497,0)),"⚠ ID no encontrado"))</f>
        <v/>
      </c>
      <c r="D179" s="54" t="str">
        <f>IF(A179="","",IFERROR(INDEX('UNIVERSO MAESTRO'!$D$6:$D$497,MATCH(A179,'UNIVERSO MAESTRO'!$A$6:$A$497,0)),""))</f>
        <v/>
      </c>
      <c r="AL179" s="91">
        <f>IF(E179="Sí",1,IF(E179="Parcial",0.5,0))+IF(F179="Sí",1,IF(F179="Parcial",0.5,0))+IF(G179="Sí",1,IF(G179="Parcial",0.5,0))+IF(H179="Sí",1,IF(H179="Parcial",0.5,0))</f>
        <v>0</v>
      </c>
      <c r="AM179" s="92">
        <f>IF(I179="Sí",1,IF(I179="Parcial",0.5,0))+IF(J179="Sí",1,IF(J179="Parcial",0.5,0))+IF(K179="Sí",1,IF(K179="Parcial",0.5,0))</f>
        <v>0</v>
      </c>
      <c r="AN179" s="93">
        <f>IF(L179="Sí",1,IF(L179="Parcial",0.5,0))+IF(M179="Sí",1,IF(M179="Parcial",0.5,0))+IF(N179="Sí",1,IF(N179="Parcial",0.5,0))+IF(O179="Sí",1,IF(O179="Parcial",0.5,0))</f>
        <v>0</v>
      </c>
      <c r="AO179" s="94">
        <f>IF(P179="Sí",1,IF(P179="Parcial",0.5,0))+IF(Q179="Sí",1,IF(Q179="Parcial",0.5,0))+IF(R179="Sí",1,IF(R179="Parcial",0.5,0))+IF(S179="Sí",1,IF(S179="Parcial",0.5,0))+IF(T179="Sí",1,IF(T179="Parcial",0.5,0))+IF(U179="Sí",1,IF(U179="Parcial",0.5,0))</f>
        <v>0</v>
      </c>
      <c r="AP179" s="95">
        <f>IF(V179="Sí",1,IF(V179="Parcial",0.5,0))+IF(W179="Sí",1,IF(W179="Parcial",0.5,0))+IF(X179="Sí",1,IF(X179="Parcial",0.5,0))+IF(Y179="Sí",1,IF(Y179="Parcial",0.5,0))</f>
        <v>0</v>
      </c>
      <c r="AQ179" s="96">
        <f>IF(Z179="Sí",1,IF(Z179="Parcial",0.5,0))+IF(AA179="Sí",1,IF(AA179="Parcial",0.5,0))+IF(AB179="Sí",1,IF(AB179="Parcial",0.5,0))</f>
        <v>0</v>
      </c>
      <c r="AR179" s="97">
        <f>IF(AC179="Sí",1,IF(AC179="Parcial",0.5,0))+IF(AD179="Sí",1,IF(AD179="Parcial",0.5,0))+IF(AE179="Sí",1,IF(AE179="Parcial",0.5,0))</f>
        <v>0</v>
      </c>
      <c r="AS179" s="98">
        <f>IF(AF179="Sí",1,IF(AF179="Parcial",0.5,0))+IF(AG179="Sí",1,IF(AG179="Parcial",0.5,0))+IF(AH179="Sí",1,IF(AH179="Parcial",0.5,0))</f>
        <v>0</v>
      </c>
      <c r="AT179" s="99">
        <f>IF(AI179="Sí",1,IF(AI179="Parcial",0.5,0))+IF(AJ179="Sí",1,IF(AJ179="Parcial",0.5,0))+IF(AK179="Sí",1,IF(AK179="Parcial",0.5,0))</f>
        <v>0</v>
      </c>
      <c r="AU179" s="100">
        <f>SUM(AL179,AM179,AN179,AO179,AP179,AQ179,AR179,AS179,AT179)</f>
        <v>0</v>
      </c>
      <c r="AV179" s="54" t="str">
        <f>IF(A179="","",IF((IF(AL179&gt;=1,1,0)+IF(AM179&gt;=1,1,0)+IF(AN179&gt;=1,1,0)+IF(AO179&gt;=1,1,0)+IF(AP179&gt;=1,1,0)+IF(AQ179&gt;=1,1,0)+IF(AR179&gt;=1,1,0)+IF(AS179&gt;=1,1,0)+IF(AT179&gt;=1,1,0))&gt;=5,"Diversificado (5+ verticales)",IF((IF(AL179&gt;=1,1,0)+IF(AM179&gt;=1,1,0)+IF(AN179&gt;=1,1,0)+IF(AO179&gt;=1,1,0)+IF(AP179&gt;=1,1,0)+IF(AQ179&gt;=1,1,0)+IF(AR179&gt;=1,1,0)+IF(AS179&gt;=1,1,0)+IF(AT179&gt;=1,1,0))&gt;=3,"Multi-capacidad (3-4 verticales)",IF((IF(AL179&gt;=1,1,0)+IF(AM179&gt;=1,1,0)+IF(AN179&gt;=1,1,0)+IF(AO179&gt;=1,1,0)+IF(AP179&gt;=1,1,0)+IF(AQ179&gt;=1,1,0)+IF(AR179&gt;=1,1,0)+IF(AS179&gt;=1,1,0)+IF(AT179&gt;=1,1,0))&gt;=1,"Especialista (1-2 verticales)","Sin función mapeada"))))</f>
        <v/>
      </c>
    </row>
    <row r="180" spans="3:48" ht="15" customHeight="1" x14ac:dyDescent="0.2">
      <c r="C180" s="53" t="str">
        <f>IF(A180="","",IFERROR(INDEX('UNIVERSO MAESTRO'!$C$6:$C$497,MATCH(A180,'UNIVERSO MAESTRO'!$A$6:$A$497,0)),"⚠ ID no encontrado"))</f>
        <v/>
      </c>
      <c r="D180" s="54" t="str">
        <f>IF(A180="","",IFERROR(INDEX('UNIVERSO MAESTRO'!$D$6:$D$497,MATCH(A180,'UNIVERSO MAESTRO'!$A$6:$A$497,0)),""))</f>
        <v/>
      </c>
      <c r="AL180" s="91">
        <f>IF(E180="Sí",1,IF(E180="Parcial",0.5,0))+IF(F180="Sí",1,IF(F180="Parcial",0.5,0))+IF(G180="Sí",1,IF(G180="Parcial",0.5,0))+IF(H180="Sí",1,IF(H180="Parcial",0.5,0))</f>
        <v>0</v>
      </c>
      <c r="AM180" s="92">
        <f>IF(I180="Sí",1,IF(I180="Parcial",0.5,0))+IF(J180="Sí",1,IF(J180="Parcial",0.5,0))+IF(K180="Sí",1,IF(K180="Parcial",0.5,0))</f>
        <v>0</v>
      </c>
      <c r="AN180" s="93">
        <f>IF(L180="Sí",1,IF(L180="Parcial",0.5,0))+IF(M180="Sí",1,IF(M180="Parcial",0.5,0))+IF(N180="Sí",1,IF(N180="Parcial",0.5,0))+IF(O180="Sí",1,IF(O180="Parcial",0.5,0))</f>
        <v>0</v>
      </c>
      <c r="AO180" s="94">
        <f>IF(P180="Sí",1,IF(P180="Parcial",0.5,0))+IF(Q180="Sí",1,IF(Q180="Parcial",0.5,0))+IF(R180="Sí",1,IF(R180="Parcial",0.5,0))+IF(S180="Sí",1,IF(S180="Parcial",0.5,0))+IF(T180="Sí",1,IF(T180="Parcial",0.5,0))+IF(U180="Sí",1,IF(U180="Parcial",0.5,0))</f>
        <v>0</v>
      </c>
      <c r="AP180" s="95">
        <f>IF(V180="Sí",1,IF(V180="Parcial",0.5,0))+IF(W180="Sí",1,IF(W180="Parcial",0.5,0))+IF(X180="Sí",1,IF(X180="Parcial",0.5,0))+IF(Y180="Sí",1,IF(Y180="Parcial",0.5,0))</f>
        <v>0</v>
      </c>
      <c r="AQ180" s="96">
        <f>IF(Z180="Sí",1,IF(Z180="Parcial",0.5,0))+IF(AA180="Sí",1,IF(AA180="Parcial",0.5,0))+IF(AB180="Sí",1,IF(AB180="Parcial",0.5,0))</f>
        <v>0</v>
      </c>
      <c r="AR180" s="97">
        <f>IF(AC180="Sí",1,IF(AC180="Parcial",0.5,0))+IF(AD180="Sí",1,IF(AD180="Parcial",0.5,0))+IF(AE180="Sí",1,IF(AE180="Parcial",0.5,0))</f>
        <v>0</v>
      </c>
      <c r="AS180" s="98">
        <f>IF(AF180="Sí",1,IF(AF180="Parcial",0.5,0))+IF(AG180="Sí",1,IF(AG180="Parcial",0.5,0))+IF(AH180="Sí",1,IF(AH180="Parcial",0.5,0))</f>
        <v>0</v>
      </c>
      <c r="AT180" s="99">
        <f>IF(AI180="Sí",1,IF(AI180="Parcial",0.5,0))+IF(AJ180="Sí",1,IF(AJ180="Parcial",0.5,0))+IF(AK180="Sí",1,IF(AK180="Parcial",0.5,0))</f>
        <v>0</v>
      </c>
      <c r="AU180" s="100">
        <f>SUM(AL180,AM180,AN180,AO180,AP180,AQ180,AR180,AS180,AT180)</f>
        <v>0</v>
      </c>
      <c r="AV180" s="54" t="str">
        <f>IF(A180="","",IF((IF(AL180&gt;=1,1,0)+IF(AM180&gt;=1,1,0)+IF(AN180&gt;=1,1,0)+IF(AO180&gt;=1,1,0)+IF(AP180&gt;=1,1,0)+IF(AQ180&gt;=1,1,0)+IF(AR180&gt;=1,1,0)+IF(AS180&gt;=1,1,0)+IF(AT180&gt;=1,1,0))&gt;=5,"Diversificado (5+ verticales)",IF((IF(AL180&gt;=1,1,0)+IF(AM180&gt;=1,1,0)+IF(AN180&gt;=1,1,0)+IF(AO180&gt;=1,1,0)+IF(AP180&gt;=1,1,0)+IF(AQ180&gt;=1,1,0)+IF(AR180&gt;=1,1,0)+IF(AS180&gt;=1,1,0)+IF(AT180&gt;=1,1,0))&gt;=3,"Multi-capacidad (3-4 verticales)",IF((IF(AL180&gt;=1,1,0)+IF(AM180&gt;=1,1,0)+IF(AN180&gt;=1,1,0)+IF(AO180&gt;=1,1,0)+IF(AP180&gt;=1,1,0)+IF(AQ180&gt;=1,1,0)+IF(AR180&gt;=1,1,0)+IF(AS180&gt;=1,1,0)+IF(AT180&gt;=1,1,0))&gt;=1,"Especialista (1-2 verticales)","Sin función mapeada"))))</f>
        <v/>
      </c>
    </row>
    <row r="181" spans="3:48" ht="15" customHeight="1" x14ac:dyDescent="0.2">
      <c r="C181" s="53" t="str">
        <f>IF(A181="","",IFERROR(INDEX('UNIVERSO MAESTRO'!$C$6:$C$497,MATCH(A181,'UNIVERSO MAESTRO'!$A$6:$A$497,0)),"⚠ ID no encontrado"))</f>
        <v/>
      </c>
      <c r="D181" s="54" t="str">
        <f>IF(A181="","",IFERROR(INDEX('UNIVERSO MAESTRO'!$D$6:$D$497,MATCH(A181,'UNIVERSO MAESTRO'!$A$6:$A$497,0)),""))</f>
        <v/>
      </c>
      <c r="AL181" s="91">
        <f>IF(E181="Sí",1,IF(E181="Parcial",0.5,0))+IF(F181="Sí",1,IF(F181="Parcial",0.5,0))+IF(G181="Sí",1,IF(G181="Parcial",0.5,0))+IF(H181="Sí",1,IF(H181="Parcial",0.5,0))</f>
        <v>0</v>
      </c>
      <c r="AM181" s="92">
        <f>IF(I181="Sí",1,IF(I181="Parcial",0.5,0))+IF(J181="Sí",1,IF(J181="Parcial",0.5,0))+IF(K181="Sí",1,IF(K181="Parcial",0.5,0))</f>
        <v>0</v>
      </c>
      <c r="AN181" s="93">
        <f>IF(L181="Sí",1,IF(L181="Parcial",0.5,0))+IF(M181="Sí",1,IF(M181="Parcial",0.5,0))+IF(N181="Sí",1,IF(N181="Parcial",0.5,0))+IF(O181="Sí",1,IF(O181="Parcial",0.5,0))</f>
        <v>0</v>
      </c>
      <c r="AO181" s="94">
        <f>IF(P181="Sí",1,IF(P181="Parcial",0.5,0))+IF(Q181="Sí",1,IF(Q181="Parcial",0.5,0))+IF(R181="Sí",1,IF(R181="Parcial",0.5,0))+IF(S181="Sí",1,IF(S181="Parcial",0.5,0))+IF(T181="Sí",1,IF(T181="Parcial",0.5,0))+IF(U181="Sí",1,IF(U181="Parcial",0.5,0))</f>
        <v>0</v>
      </c>
      <c r="AP181" s="95">
        <f>IF(V181="Sí",1,IF(V181="Parcial",0.5,0))+IF(W181="Sí",1,IF(W181="Parcial",0.5,0))+IF(X181="Sí",1,IF(X181="Parcial",0.5,0))+IF(Y181="Sí",1,IF(Y181="Parcial",0.5,0))</f>
        <v>0</v>
      </c>
      <c r="AQ181" s="96">
        <f>IF(Z181="Sí",1,IF(Z181="Parcial",0.5,0))+IF(AA181="Sí",1,IF(AA181="Parcial",0.5,0))+IF(AB181="Sí",1,IF(AB181="Parcial",0.5,0))</f>
        <v>0</v>
      </c>
      <c r="AR181" s="97">
        <f>IF(AC181="Sí",1,IF(AC181="Parcial",0.5,0))+IF(AD181="Sí",1,IF(AD181="Parcial",0.5,0))+IF(AE181="Sí",1,IF(AE181="Parcial",0.5,0))</f>
        <v>0</v>
      </c>
      <c r="AS181" s="98">
        <f>IF(AF181="Sí",1,IF(AF181="Parcial",0.5,0))+IF(AG181="Sí",1,IF(AG181="Parcial",0.5,0))+IF(AH181="Sí",1,IF(AH181="Parcial",0.5,0))</f>
        <v>0</v>
      </c>
      <c r="AT181" s="99">
        <f>IF(AI181="Sí",1,IF(AI181="Parcial",0.5,0))+IF(AJ181="Sí",1,IF(AJ181="Parcial",0.5,0))+IF(AK181="Sí",1,IF(AK181="Parcial",0.5,0))</f>
        <v>0</v>
      </c>
      <c r="AU181" s="100">
        <f>SUM(AL181,AM181,AN181,AO181,AP181,AQ181,AR181,AS181,AT181)</f>
        <v>0</v>
      </c>
      <c r="AV181" s="54" t="str">
        <f>IF(A181="","",IF((IF(AL181&gt;=1,1,0)+IF(AM181&gt;=1,1,0)+IF(AN181&gt;=1,1,0)+IF(AO181&gt;=1,1,0)+IF(AP181&gt;=1,1,0)+IF(AQ181&gt;=1,1,0)+IF(AR181&gt;=1,1,0)+IF(AS181&gt;=1,1,0)+IF(AT181&gt;=1,1,0))&gt;=5,"Diversificado (5+ verticales)",IF((IF(AL181&gt;=1,1,0)+IF(AM181&gt;=1,1,0)+IF(AN181&gt;=1,1,0)+IF(AO181&gt;=1,1,0)+IF(AP181&gt;=1,1,0)+IF(AQ181&gt;=1,1,0)+IF(AR181&gt;=1,1,0)+IF(AS181&gt;=1,1,0)+IF(AT181&gt;=1,1,0))&gt;=3,"Multi-capacidad (3-4 verticales)",IF((IF(AL181&gt;=1,1,0)+IF(AM181&gt;=1,1,0)+IF(AN181&gt;=1,1,0)+IF(AO181&gt;=1,1,0)+IF(AP181&gt;=1,1,0)+IF(AQ181&gt;=1,1,0)+IF(AR181&gt;=1,1,0)+IF(AS181&gt;=1,1,0)+IF(AT181&gt;=1,1,0))&gt;=1,"Especialista (1-2 verticales)","Sin función mapeada"))))</f>
        <v/>
      </c>
    </row>
    <row r="182" spans="3:48" ht="15" customHeight="1" x14ac:dyDescent="0.2">
      <c r="C182" s="53" t="str">
        <f>IF(A182="","",IFERROR(INDEX('UNIVERSO MAESTRO'!$C$6:$C$497,MATCH(A182,'UNIVERSO MAESTRO'!$A$6:$A$497,0)),"⚠ ID no encontrado"))</f>
        <v/>
      </c>
      <c r="D182" s="54" t="str">
        <f>IF(A182="","",IFERROR(INDEX('UNIVERSO MAESTRO'!$D$6:$D$497,MATCH(A182,'UNIVERSO MAESTRO'!$A$6:$A$497,0)),""))</f>
        <v/>
      </c>
      <c r="AL182" s="91">
        <f>IF(E182="Sí",1,IF(E182="Parcial",0.5,0))+IF(F182="Sí",1,IF(F182="Parcial",0.5,0))+IF(G182="Sí",1,IF(G182="Parcial",0.5,0))+IF(H182="Sí",1,IF(H182="Parcial",0.5,0))</f>
        <v>0</v>
      </c>
      <c r="AM182" s="92">
        <f>IF(I182="Sí",1,IF(I182="Parcial",0.5,0))+IF(J182="Sí",1,IF(J182="Parcial",0.5,0))+IF(K182="Sí",1,IF(K182="Parcial",0.5,0))</f>
        <v>0</v>
      </c>
      <c r="AN182" s="93">
        <f>IF(L182="Sí",1,IF(L182="Parcial",0.5,0))+IF(M182="Sí",1,IF(M182="Parcial",0.5,0))+IF(N182="Sí",1,IF(N182="Parcial",0.5,0))+IF(O182="Sí",1,IF(O182="Parcial",0.5,0))</f>
        <v>0</v>
      </c>
      <c r="AO182" s="94">
        <f>IF(P182="Sí",1,IF(P182="Parcial",0.5,0))+IF(Q182="Sí",1,IF(Q182="Parcial",0.5,0))+IF(R182="Sí",1,IF(R182="Parcial",0.5,0))+IF(S182="Sí",1,IF(S182="Parcial",0.5,0))+IF(T182="Sí",1,IF(T182="Parcial",0.5,0))+IF(U182="Sí",1,IF(U182="Parcial",0.5,0))</f>
        <v>0</v>
      </c>
      <c r="AP182" s="95">
        <f>IF(V182="Sí",1,IF(V182="Parcial",0.5,0))+IF(W182="Sí",1,IF(W182="Parcial",0.5,0))+IF(X182="Sí",1,IF(X182="Parcial",0.5,0))+IF(Y182="Sí",1,IF(Y182="Parcial",0.5,0))</f>
        <v>0</v>
      </c>
      <c r="AQ182" s="96">
        <f>IF(Z182="Sí",1,IF(Z182="Parcial",0.5,0))+IF(AA182="Sí",1,IF(AA182="Parcial",0.5,0))+IF(AB182="Sí",1,IF(AB182="Parcial",0.5,0))</f>
        <v>0</v>
      </c>
      <c r="AR182" s="97">
        <f>IF(AC182="Sí",1,IF(AC182="Parcial",0.5,0))+IF(AD182="Sí",1,IF(AD182="Parcial",0.5,0))+IF(AE182="Sí",1,IF(AE182="Parcial",0.5,0))</f>
        <v>0</v>
      </c>
      <c r="AS182" s="98">
        <f>IF(AF182="Sí",1,IF(AF182="Parcial",0.5,0))+IF(AG182="Sí",1,IF(AG182="Parcial",0.5,0))+IF(AH182="Sí",1,IF(AH182="Parcial",0.5,0))</f>
        <v>0</v>
      </c>
      <c r="AT182" s="99">
        <f>IF(AI182="Sí",1,IF(AI182="Parcial",0.5,0))+IF(AJ182="Sí",1,IF(AJ182="Parcial",0.5,0))+IF(AK182="Sí",1,IF(AK182="Parcial",0.5,0))</f>
        <v>0</v>
      </c>
      <c r="AU182" s="100">
        <f>SUM(AL182,AM182,AN182,AO182,AP182,AQ182,AR182,AS182,AT182)</f>
        <v>0</v>
      </c>
      <c r="AV182" s="54" t="str">
        <f>IF(A182="","",IF((IF(AL182&gt;=1,1,0)+IF(AM182&gt;=1,1,0)+IF(AN182&gt;=1,1,0)+IF(AO182&gt;=1,1,0)+IF(AP182&gt;=1,1,0)+IF(AQ182&gt;=1,1,0)+IF(AR182&gt;=1,1,0)+IF(AS182&gt;=1,1,0)+IF(AT182&gt;=1,1,0))&gt;=5,"Diversificado (5+ verticales)",IF((IF(AL182&gt;=1,1,0)+IF(AM182&gt;=1,1,0)+IF(AN182&gt;=1,1,0)+IF(AO182&gt;=1,1,0)+IF(AP182&gt;=1,1,0)+IF(AQ182&gt;=1,1,0)+IF(AR182&gt;=1,1,0)+IF(AS182&gt;=1,1,0)+IF(AT182&gt;=1,1,0))&gt;=3,"Multi-capacidad (3-4 verticales)",IF((IF(AL182&gt;=1,1,0)+IF(AM182&gt;=1,1,0)+IF(AN182&gt;=1,1,0)+IF(AO182&gt;=1,1,0)+IF(AP182&gt;=1,1,0)+IF(AQ182&gt;=1,1,0)+IF(AR182&gt;=1,1,0)+IF(AS182&gt;=1,1,0)+IF(AT182&gt;=1,1,0))&gt;=1,"Especialista (1-2 verticales)","Sin función mapeada"))))</f>
        <v/>
      </c>
    </row>
    <row r="183" spans="3:48" ht="15" customHeight="1" x14ac:dyDescent="0.2">
      <c r="C183" s="53" t="str">
        <f>IF(A183="","",IFERROR(INDEX('UNIVERSO MAESTRO'!$C$6:$C$497,MATCH(A183,'UNIVERSO MAESTRO'!$A$6:$A$497,0)),"⚠ ID no encontrado"))</f>
        <v/>
      </c>
      <c r="D183" s="54" t="str">
        <f>IF(A183="","",IFERROR(INDEX('UNIVERSO MAESTRO'!$D$6:$D$497,MATCH(A183,'UNIVERSO MAESTRO'!$A$6:$A$497,0)),""))</f>
        <v/>
      </c>
      <c r="AL183" s="91">
        <f>IF(E183="Sí",1,IF(E183="Parcial",0.5,0))+IF(F183="Sí",1,IF(F183="Parcial",0.5,0))+IF(G183="Sí",1,IF(G183="Parcial",0.5,0))+IF(H183="Sí",1,IF(H183="Parcial",0.5,0))</f>
        <v>0</v>
      </c>
      <c r="AM183" s="92">
        <f>IF(I183="Sí",1,IF(I183="Parcial",0.5,0))+IF(J183="Sí",1,IF(J183="Parcial",0.5,0))+IF(K183="Sí",1,IF(K183="Parcial",0.5,0))</f>
        <v>0</v>
      </c>
      <c r="AN183" s="93">
        <f>IF(L183="Sí",1,IF(L183="Parcial",0.5,0))+IF(M183="Sí",1,IF(M183="Parcial",0.5,0))+IF(N183="Sí",1,IF(N183="Parcial",0.5,0))+IF(O183="Sí",1,IF(O183="Parcial",0.5,0))</f>
        <v>0</v>
      </c>
      <c r="AO183" s="94">
        <f>IF(P183="Sí",1,IF(P183="Parcial",0.5,0))+IF(Q183="Sí",1,IF(Q183="Parcial",0.5,0))+IF(R183="Sí",1,IF(R183="Parcial",0.5,0))+IF(S183="Sí",1,IF(S183="Parcial",0.5,0))+IF(T183="Sí",1,IF(T183="Parcial",0.5,0))+IF(U183="Sí",1,IF(U183="Parcial",0.5,0))</f>
        <v>0</v>
      </c>
      <c r="AP183" s="95">
        <f>IF(V183="Sí",1,IF(V183="Parcial",0.5,0))+IF(W183="Sí",1,IF(W183="Parcial",0.5,0))+IF(X183="Sí",1,IF(X183="Parcial",0.5,0))+IF(Y183="Sí",1,IF(Y183="Parcial",0.5,0))</f>
        <v>0</v>
      </c>
      <c r="AQ183" s="96">
        <f>IF(Z183="Sí",1,IF(Z183="Parcial",0.5,0))+IF(AA183="Sí",1,IF(AA183="Parcial",0.5,0))+IF(AB183="Sí",1,IF(AB183="Parcial",0.5,0))</f>
        <v>0</v>
      </c>
      <c r="AR183" s="97">
        <f>IF(AC183="Sí",1,IF(AC183="Parcial",0.5,0))+IF(AD183="Sí",1,IF(AD183="Parcial",0.5,0))+IF(AE183="Sí",1,IF(AE183="Parcial",0.5,0))</f>
        <v>0</v>
      </c>
      <c r="AS183" s="98">
        <f>IF(AF183="Sí",1,IF(AF183="Parcial",0.5,0))+IF(AG183="Sí",1,IF(AG183="Parcial",0.5,0))+IF(AH183="Sí",1,IF(AH183="Parcial",0.5,0))</f>
        <v>0</v>
      </c>
      <c r="AT183" s="99">
        <f>IF(AI183="Sí",1,IF(AI183="Parcial",0.5,0))+IF(AJ183="Sí",1,IF(AJ183="Parcial",0.5,0))+IF(AK183="Sí",1,IF(AK183="Parcial",0.5,0))</f>
        <v>0</v>
      </c>
      <c r="AU183" s="100">
        <f>SUM(AL183,AM183,AN183,AO183,AP183,AQ183,AR183,AS183,AT183)</f>
        <v>0</v>
      </c>
      <c r="AV183" s="54" t="str">
        <f>IF(A183="","",IF((IF(AL183&gt;=1,1,0)+IF(AM183&gt;=1,1,0)+IF(AN183&gt;=1,1,0)+IF(AO183&gt;=1,1,0)+IF(AP183&gt;=1,1,0)+IF(AQ183&gt;=1,1,0)+IF(AR183&gt;=1,1,0)+IF(AS183&gt;=1,1,0)+IF(AT183&gt;=1,1,0))&gt;=5,"Diversificado (5+ verticales)",IF((IF(AL183&gt;=1,1,0)+IF(AM183&gt;=1,1,0)+IF(AN183&gt;=1,1,0)+IF(AO183&gt;=1,1,0)+IF(AP183&gt;=1,1,0)+IF(AQ183&gt;=1,1,0)+IF(AR183&gt;=1,1,0)+IF(AS183&gt;=1,1,0)+IF(AT183&gt;=1,1,0))&gt;=3,"Multi-capacidad (3-4 verticales)",IF((IF(AL183&gt;=1,1,0)+IF(AM183&gt;=1,1,0)+IF(AN183&gt;=1,1,0)+IF(AO183&gt;=1,1,0)+IF(AP183&gt;=1,1,0)+IF(AQ183&gt;=1,1,0)+IF(AR183&gt;=1,1,0)+IF(AS183&gt;=1,1,0)+IF(AT183&gt;=1,1,0))&gt;=1,"Especialista (1-2 verticales)","Sin función mapeada"))))</f>
        <v/>
      </c>
    </row>
    <row r="184" spans="3:48" ht="15" customHeight="1" x14ac:dyDescent="0.2">
      <c r="C184" s="53" t="str">
        <f>IF(A184="","",IFERROR(INDEX('UNIVERSO MAESTRO'!$C$6:$C$497,MATCH(A184,'UNIVERSO MAESTRO'!$A$6:$A$497,0)),"⚠ ID no encontrado"))</f>
        <v/>
      </c>
      <c r="D184" s="54" t="str">
        <f>IF(A184="","",IFERROR(INDEX('UNIVERSO MAESTRO'!$D$6:$D$497,MATCH(A184,'UNIVERSO MAESTRO'!$A$6:$A$497,0)),""))</f>
        <v/>
      </c>
      <c r="AL184" s="91">
        <f>IF(E184="Sí",1,IF(E184="Parcial",0.5,0))+IF(F184="Sí",1,IF(F184="Parcial",0.5,0))+IF(G184="Sí",1,IF(G184="Parcial",0.5,0))+IF(H184="Sí",1,IF(H184="Parcial",0.5,0))</f>
        <v>0</v>
      </c>
      <c r="AM184" s="92">
        <f>IF(I184="Sí",1,IF(I184="Parcial",0.5,0))+IF(J184="Sí",1,IF(J184="Parcial",0.5,0))+IF(K184="Sí",1,IF(K184="Parcial",0.5,0))</f>
        <v>0</v>
      </c>
      <c r="AN184" s="93">
        <f>IF(L184="Sí",1,IF(L184="Parcial",0.5,0))+IF(M184="Sí",1,IF(M184="Parcial",0.5,0))+IF(N184="Sí",1,IF(N184="Parcial",0.5,0))+IF(O184="Sí",1,IF(O184="Parcial",0.5,0))</f>
        <v>0</v>
      </c>
      <c r="AO184" s="94">
        <f>IF(P184="Sí",1,IF(P184="Parcial",0.5,0))+IF(Q184="Sí",1,IF(Q184="Parcial",0.5,0))+IF(R184="Sí",1,IF(R184="Parcial",0.5,0))+IF(S184="Sí",1,IF(S184="Parcial",0.5,0))+IF(T184="Sí",1,IF(T184="Parcial",0.5,0))+IF(U184="Sí",1,IF(U184="Parcial",0.5,0))</f>
        <v>0</v>
      </c>
      <c r="AP184" s="95">
        <f>IF(V184="Sí",1,IF(V184="Parcial",0.5,0))+IF(W184="Sí",1,IF(W184="Parcial",0.5,0))+IF(X184="Sí",1,IF(X184="Parcial",0.5,0))+IF(Y184="Sí",1,IF(Y184="Parcial",0.5,0))</f>
        <v>0</v>
      </c>
      <c r="AQ184" s="96">
        <f>IF(Z184="Sí",1,IF(Z184="Parcial",0.5,0))+IF(AA184="Sí",1,IF(AA184="Parcial",0.5,0))+IF(AB184="Sí",1,IF(AB184="Parcial",0.5,0))</f>
        <v>0</v>
      </c>
      <c r="AR184" s="97">
        <f>IF(AC184="Sí",1,IF(AC184="Parcial",0.5,0))+IF(AD184="Sí",1,IF(AD184="Parcial",0.5,0))+IF(AE184="Sí",1,IF(AE184="Parcial",0.5,0))</f>
        <v>0</v>
      </c>
      <c r="AS184" s="98">
        <f>IF(AF184="Sí",1,IF(AF184="Parcial",0.5,0))+IF(AG184="Sí",1,IF(AG184="Parcial",0.5,0))+IF(AH184="Sí",1,IF(AH184="Parcial",0.5,0))</f>
        <v>0</v>
      </c>
      <c r="AT184" s="99">
        <f>IF(AI184="Sí",1,IF(AI184="Parcial",0.5,0))+IF(AJ184="Sí",1,IF(AJ184="Parcial",0.5,0))+IF(AK184="Sí",1,IF(AK184="Parcial",0.5,0))</f>
        <v>0</v>
      </c>
      <c r="AU184" s="100">
        <f>SUM(AL184,AM184,AN184,AO184,AP184,AQ184,AR184,AS184,AT184)</f>
        <v>0</v>
      </c>
      <c r="AV184" s="54" t="str">
        <f>IF(A184="","",IF((IF(AL184&gt;=1,1,0)+IF(AM184&gt;=1,1,0)+IF(AN184&gt;=1,1,0)+IF(AO184&gt;=1,1,0)+IF(AP184&gt;=1,1,0)+IF(AQ184&gt;=1,1,0)+IF(AR184&gt;=1,1,0)+IF(AS184&gt;=1,1,0)+IF(AT184&gt;=1,1,0))&gt;=5,"Diversificado (5+ verticales)",IF((IF(AL184&gt;=1,1,0)+IF(AM184&gt;=1,1,0)+IF(AN184&gt;=1,1,0)+IF(AO184&gt;=1,1,0)+IF(AP184&gt;=1,1,0)+IF(AQ184&gt;=1,1,0)+IF(AR184&gt;=1,1,0)+IF(AS184&gt;=1,1,0)+IF(AT184&gt;=1,1,0))&gt;=3,"Multi-capacidad (3-4 verticales)",IF((IF(AL184&gt;=1,1,0)+IF(AM184&gt;=1,1,0)+IF(AN184&gt;=1,1,0)+IF(AO184&gt;=1,1,0)+IF(AP184&gt;=1,1,0)+IF(AQ184&gt;=1,1,0)+IF(AR184&gt;=1,1,0)+IF(AS184&gt;=1,1,0)+IF(AT184&gt;=1,1,0))&gt;=1,"Especialista (1-2 verticales)","Sin función mapeada"))))</f>
        <v/>
      </c>
    </row>
    <row r="185" spans="3:48" ht="15" customHeight="1" x14ac:dyDescent="0.2">
      <c r="C185" s="53" t="str">
        <f>IF(A185="","",IFERROR(INDEX('UNIVERSO MAESTRO'!$C$6:$C$497,MATCH(A185,'UNIVERSO MAESTRO'!$A$6:$A$497,0)),"⚠ ID no encontrado"))</f>
        <v/>
      </c>
      <c r="D185" s="54" t="str">
        <f>IF(A185="","",IFERROR(INDEX('UNIVERSO MAESTRO'!$D$6:$D$497,MATCH(A185,'UNIVERSO MAESTRO'!$A$6:$A$497,0)),""))</f>
        <v/>
      </c>
      <c r="AL185" s="91">
        <f>IF(E185="Sí",1,IF(E185="Parcial",0.5,0))+IF(F185="Sí",1,IF(F185="Parcial",0.5,0))+IF(G185="Sí",1,IF(G185="Parcial",0.5,0))+IF(H185="Sí",1,IF(H185="Parcial",0.5,0))</f>
        <v>0</v>
      </c>
      <c r="AM185" s="92">
        <f>IF(I185="Sí",1,IF(I185="Parcial",0.5,0))+IF(J185="Sí",1,IF(J185="Parcial",0.5,0))+IF(K185="Sí",1,IF(K185="Parcial",0.5,0))</f>
        <v>0</v>
      </c>
      <c r="AN185" s="93">
        <f>IF(L185="Sí",1,IF(L185="Parcial",0.5,0))+IF(M185="Sí",1,IF(M185="Parcial",0.5,0))+IF(N185="Sí",1,IF(N185="Parcial",0.5,0))+IF(O185="Sí",1,IF(O185="Parcial",0.5,0))</f>
        <v>0</v>
      </c>
      <c r="AO185" s="94">
        <f>IF(P185="Sí",1,IF(P185="Parcial",0.5,0))+IF(Q185="Sí",1,IF(Q185="Parcial",0.5,0))+IF(R185="Sí",1,IF(R185="Parcial",0.5,0))+IF(S185="Sí",1,IF(S185="Parcial",0.5,0))+IF(T185="Sí",1,IF(T185="Parcial",0.5,0))+IF(U185="Sí",1,IF(U185="Parcial",0.5,0))</f>
        <v>0</v>
      </c>
      <c r="AP185" s="95">
        <f>IF(V185="Sí",1,IF(V185="Parcial",0.5,0))+IF(W185="Sí",1,IF(W185="Parcial",0.5,0))+IF(X185="Sí",1,IF(X185="Parcial",0.5,0))+IF(Y185="Sí",1,IF(Y185="Parcial",0.5,0))</f>
        <v>0</v>
      </c>
      <c r="AQ185" s="96">
        <f>IF(Z185="Sí",1,IF(Z185="Parcial",0.5,0))+IF(AA185="Sí",1,IF(AA185="Parcial",0.5,0))+IF(AB185="Sí",1,IF(AB185="Parcial",0.5,0))</f>
        <v>0</v>
      </c>
      <c r="AR185" s="97">
        <f>IF(AC185="Sí",1,IF(AC185="Parcial",0.5,0))+IF(AD185="Sí",1,IF(AD185="Parcial",0.5,0))+IF(AE185="Sí",1,IF(AE185="Parcial",0.5,0))</f>
        <v>0</v>
      </c>
      <c r="AS185" s="98">
        <f>IF(AF185="Sí",1,IF(AF185="Parcial",0.5,0))+IF(AG185="Sí",1,IF(AG185="Parcial",0.5,0))+IF(AH185="Sí",1,IF(AH185="Parcial",0.5,0))</f>
        <v>0</v>
      </c>
      <c r="AT185" s="99">
        <f>IF(AI185="Sí",1,IF(AI185="Parcial",0.5,0))+IF(AJ185="Sí",1,IF(AJ185="Parcial",0.5,0))+IF(AK185="Sí",1,IF(AK185="Parcial",0.5,0))</f>
        <v>0</v>
      </c>
      <c r="AU185" s="100">
        <f>SUM(AL185,AM185,AN185,AO185,AP185,AQ185,AR185,AS185,AT185)</f>
        <v>0</v>
      </c>
      <c r="AV185" s="54" t="str">
        <f>IF(A185="","",IF((IF(AL185&gt;=1,1,0)+IF(AM185&gt;=1,1,0)+IF(AN185&gt;=1,1,0)+IF(AO185&gt;=1,1,0)+IF(AP185&gt;=1,1,0)+IF(AQ185&gt;=1,1,0)+IF(AR185&gt;=1,1,0)+IF(AS185&gt;=1,1,0)+IF(AT185&gt;=1,1,0))&gt;=5,"Diversificado (5+ verticales)",IF((IF(AL185&gt;=1,1,0)+IF(AM185&gt;=1,1,0)+IF(AN185&gt;=1,1,0)+IF(AO185&gt;=1,1,0)+IF(AP185&gt;=1,1,0)+IF(AQ185&gt;=1,1,0)+IF(AR185&gt;=1,1,0)+IF(AS185&gt;=1,1,0)+IF(AT185&gt;=1,1,0))&gt;=3,"Multi-capacidad (3-4 verticales)",IF((IF(AL185&gt;=1,1,0)+IF(AM185&gt;=1,1,0)+IF(AN185&gt;=1,1,0)+IF(AO185&gt;=1,1,0)+IF(AP185&gt;=1,1,0)+IF(AQ185&gt;=1,1,0)+IF(AR185&gt;=1,1,0)+IF(AS185&gt;=1,1,0)+IF(AT185&gt;=1,1,0))&gt;=1,"Especialista (1-2 verticales)","Sin función mapeada"))))</f>
        <v/>
      </c>
    </row>
    <row r="186" spans="3:48" ht="15" customHeight="1" x14ac:dyDescent="0.2">
      <c r="C186" s="53" t="str">
        <f>IF(A186="","",IFERROR(INDEX('UNIVERSO MAESTRO'!$C$6:$C$497,MATCH(A186,'UNIVERSO MAESTRO'!$A$6:$A$497,0)),"⚠ ID no encontrado"))</f>
        <v/>
      </c>
      <c r="D186" s="54" t="str">
        <f>IF(A186="","",IFERROR(INDEX('UNIVERSO MAESTRO'!$D$6:$D$497,MATCH(A186,'UNIVERSO MAESTRO'!$A$6:$A$497,0)),""))</f>
        <v/>
      </c>
      <c r="AL186" s="91">
        <f>IF(E186="Sí",1,IF(E186="Parcial",0.5,0))+IF(F186="Sí",1,IF(F186="Parcial",0.5,0))+IF(G186="Sí",1,IF(G186="Parcial",0.5,0))+IF(H186="Sí",1,IF(H186="Parcial",0.5,0))</f>
        <v>0</v>
      </c>
      <c r="AM186" s="92">
        <f>IF(I186="Sí",1,IF(I186="Parcial",0.5,0))+IF(J186="Sí",1,IF(J186="Parcial",0.5,0))+IF(K186="Sí",1,IF(K186="Parcial",0.5,0))</f>
        <v>0</v>
      </c>
      <c r="AN186" s="93">
        <f>IF(L186="Sí",1,IF(L186="Parcial",0.5,0))+IF(M186="Sí",1,IF(M186="Parcial",0.5,0))+IF(N186="Sí",1,IF(N186="Parcial",0.5,0))+IF(O186="Sí",1,IF(O186="Parcial",0.5,0))</f>
        <v>0</v>
      </c>
      <c r="AO186" s="94">
        <f>IF(P186="Sí",1,IF(P186="Parcial",0.5,0))+IF(Q186="Sí",1,IF(Q186="Parcial",0.5,0))+IF(R186="Sí",1,IF(R186="Parcial",0.5,0))+IF(S186="Sí",1,IF(S186="Parcial",0.5,0))+IF(T186="Sí",1,IF(T186="Parcial",0.5,0))+IF(U186="Sí",1,IF(U186="Parcial",0.5,0))</f>
        <v>0</v>
      </c>
      <c r="AP186" s="95">
        <f>IF(V186="Sí",1,IF(V186="Parcial",0.5,0))+IF(W186="Sí",1,IF(W186="Parcial",0.5,0))+IF(X186="Sí",1,IF(X186="Parcial",0.5,0))+IF(Y186="Sí",1,IF(Y186="Parcial",0.5,0))</f>
        <v>0</v>
      </c>
      <c r="AQ186" s="96">
        <f>IF(Z186="Sí",1,IF(Z186="Parcial",0.5,0))+IF(AA186="Sí",1,IF(AA186="Parcial",0.5,0))+IF(AB186="Sí",1,IF(AB186="Parcial",0.5,0))</f>
        <v>0</v>
      </c>
      <c r="AR186" s="97">
        <f>IF(AC186="Sí",1,IF(AC186="Parcial",0.5,0))+IF(AD186="Sí",1,IF(AD186="Parcial",0.5,0))+IF(AE186="Sí",1,IF(AE186="Parcial",0.5,0))</f>
        <v>0</v>
      </c>
      <c r="AS186" s="98">
        <f>IF(AF186="Sí",1,IF(AF186="Parcial",0.5,0))+IF(AG186="Sí",1,IF(AG186="Parcial",0.5,0))+IF(AH186="Sí",1,IF(AH186="Parcial",0.5,0))</f>
        <v>0</v>
      </c>
      <c r="AT186" s="99">
        <f>IF(AI186="Sí",1,IF(AI186="Parcial",0.5,0))+IF(AJ186="Sí",1,IF(AJ186="Parcial",0.5,0))+IF(AK186="Sí",1,IF(AK186="Parcial",0.5,0))</f>
        <v>0</v>
      </c>
      <c r="AU186" s="100">
        <f>SUM(AL186,AM186,AN186,AO186,AP186,AQ186,AR186,AS186,AT186)</f>
        <v>0</v>
      </c>
      <c r="AV186" s="54" t="str">
        <f>IF(A186="","",IF((IF(AL186&gt;=1,1,0)+IF(AM186&gt;=1,1,0)+IF(AN186&gt;=1,1,0)+IF(AO186&gt;=1,1,0)+IF(AP186&gt;=1,1,0)+IF(AQ186&gt;=1,1,0)+IF(AR186&gt;=1,1,0)+IF(AS186&gt;=1,1,0)+IF(AT186&gt;=1,1,0))&gt;=5,"Diversificado (5+ verticales)",IF((IF(AL186&gt;=1,1,0)+IF(AM186&gt;=1,1,0)+IF(AN186&gt;=1,1,0)+IF(AO186&gt;=1,1,0)+IF(AP186&gt;=1,1,0)+IF(AQ186&gt;=1,1,0)+IF(AR186&gt;=1,1,0)+IF(AS186&gt;=1,1,0)+IF(AT186&gt;=1,1,0))&gt;=3,"Multi-capacidad (3-4 verticales)",IF((IF(AL186&gt;=1,1,0)+IF(AM186&gt;=1,1,0)+IF(AN186&gt;=1,1,0)+IF(AO186&gt;=1,1,0)+IF(AP186&gt;=1,1,0)+IF(AQ186&gt;=1,1,0)+IF(AR186&gt;=1,1,0)+IF(AS186&gt;=1,1,0)+IF(AT186&gt;=1,1,0))&gt;=1,"Especialista (1-2 verticales)","Sin función mapeada"))))</f>
        <v/>
      </c>
    </row>
    <row r="187" spans="3:48" ht="15" customHeight="1" x14ac:dyDescent="0.2">
      <c r="C187" s="53" t="str">
        <f>IF(A187="","",IFERROR(INDEX('UNIVERSO MAESTRO'!$C$6:$C$497,MATCH(A187,'UNIVERSO MAESTRO'!$A$6:$A$497,0)),"⚠ ID no encontrado"))</f>
        <v/>
      </c>
      <c r="D187" s="54" t="str">
        <f>IF(A187="","",IFERROR(INDEX('UNIVERSO MAESTRO'!$D$6:$D$497,MATCH(A187,'UNIVERSO MAESTRO'!$A$6:$A$497,0)),""))</f>
        <v/>
      </c>
      <c r="AL187" s="91">
        <f>IF(E187="Sí",1,IF(E187="Parcial",0.5,0))+IF(F187="Sí",1,IF(F187="Parcial",0.5,0))+IF(G187="Sí",1,IF(G187="Parcial",0.5,0))+IF(H187="Sí",1,IF(H187="Parcial",0.5,0))</f>
        <v>0</v>
      </c>
      <c r="AM187" s="92">
        <f>IF(I187="Sí",1,IF(I187="Parcial",0.5,0))+IF(J187="Sí",1,IF(J187="Parcial",0.5,0))+IF(K187="Sí",1,IF(K187="Parcial",0.5,0))</f>
        <v>0</v>
      </c>
      <c r="AN187" s="93">
        <f>IF(L187="Sí",1,IF(L187="Parcial",0.5,0))+IF(M187="Sí",1,IF(M187="Parcial",0.5,0))+IF(N187="Sí",1,IF(N187="Parcial",0.5,0))+IF(O187="Sí",1,IF(O187="Parcial",0.5,0))</f>
        <v>0</v>
      </c>
      <c r="AO187" s="94">
        <f>IF(P187="Sí",1,IF(P187="Parcial",0.5,0))+IF(Q187="Sí",1,IF(Q187="Parcial",0.5,0))+IF(R187="Sí",1,IF(R187="Parcial",0.5,0))+IF(S187="Sí",1,IF(S187="Parcial",0.5,0))+IF(T187="Sí",1,IF(T187="Parcial",0.5,0))+IF(U187="Sí",1,IF(U187="Parcial",0.5,0))</f>
        <v>0</v>
      </c>
      <c r="AP187" s="95">
        <f>IF(V187="Sí",1,IF(V187="Parcial",0.5,0))+IF(W187="Sí",1,IF(W187="Parcial",0.5,0))+IF(X187="Sí",1,IF(X187="Parcial",0.5,0))+IF(Y187="Sí",1,IF(Y187="Parcial",0.5,0))</f>
        <v>0</v>
      </c>
      <c r="AQ187" s="96">
        <f>IF(Z187="Sí",1,IF(Z187="Parcial",0.5,0))+IF(AA187="Sí",1,IF(AA187="Parcial",0.5,0))+IF(AB187="Sí",1,IF(AB187="Parcial",0.5,0))</f>
        <v>0</v>
      </c>
      <c r="AR187" s="97">
        <f>IF(AC187="Sí",1,IF(AC187="Parcial",0.5,0))+IF(AD187="Sí",1,IF(AD187="Parcial",0.5,0))+IF(AE187="Sí",1,IF(AE187="Parcial",0.5,0))</f>
        <v>0</v>
      </c>
      <c r="AS187" s="98">
        <f>IF(AF187="Sí",1,IF(AF187="Parcial",0.5,0))+IF(AG187="Sí",1,IF(AG187="Parcial",0.5,0))+IF(AH187="Sí",1,IF(AH187="Parcial",0.5,0))</f>
        <v>0</v>
      </c>
      <c r="AT187" s="99">
        <f>IF(AI187="Sí",1,IF(AI187="Parcial",0.5,0))+IF(AJ187="Sí",1,IF(AJ187="Parcial",0.5,0))+IF(AK187="Sí",1,IF(AK187="Parcial",0.5,0))</f>
        <v>0</v>
      </c>
      <c r="AU187" s="100">
        <f>SUM(AL187,AM187,AN187,AO187,AP187,AQ187,AR187,AS187,AT187)</f>
        <v>0</v>
      </c>
      <c r="AV187" s="54" t="str">
        <f>IF(A187="","",IF((IF(AL187&gt;=1,1,0)+IF(AM187&gt;=1,1,0)+IF(AN187&gt;=1,1,0)+IF(AO187&gt;=1,1,0)+IF(AP187&gt;=1,1,0)+IF(AQ187&gt;=1,1,0)+IF(AR187&gt;=1,1,0)+IF(AS187&gt;=1,1,0)+IF(AT187&gt;=1,1,0))&gt;=5,"Diversificado (5+ verticales)",IF((IF(AL187&gt;=1,1,0)+IF(AM187&gt;=1,1,0)+IF(AN187&gt;=1,1,0)+IF(AO187&gt;=1,1,0)+IF(AP187&gt;=1,1,0)+IF(AQ187&gt;=1,1,0)+IF(AR187&gt;=1,1,0)+IF(AS187&gt;=1,1,0)+IF(AT187&gt;=1,1,0))&gt;=3,"Multi-capacidad (3-4 verticales)",IF((IF(AL187&gt;=1,1,0)+IF(AM187&gt;=1,1,0)+IF(AN187&gt;=1,1,0)+IF(AO187&gt;=1,1,0)+IF(AP187&gt;=1,1,0)+IF(AQ187&gt;=1,1,0)+IF(AR187&gt;=1,1,0)+IF(AS187&gt;=1,1,0)+IF(AT187&gt;=1,1,0))&gt;=1,"Especialista (1-2 verticales)","Sin función mapeada"))))</f>
        <v/>
      </c>
    </row>
    <row r="188" spans="3:48" ht="15" customHeight="1" x14ac:dyDescent="0.2">
      <c r="C188" s="53" t="str">
        <f>IF(A188="","",IFERROR(INDEX('UNIVERSO MAESTRO'!$C$6:$C$497,MATCH(A188,'UNIVERSO MAESTRO'!$A$6:$A$497,0)),"⚠ ID no encontrado"))</f>
        <v/>
      </c>
      <c r="D188" s="54" t="str">
        <f>IF(A188="","",IFERROR(INDEX('UNIVERSO MAESTRO'!$D$6:$D$497,MATCH(A188,'UNIVERSO MAESTRO'!$A$6:$A$497,0)),""))</f>
        <v/>
      </c>
      <c r="AL188" s="91">
        <f>IF(E188="Sí",1,IF(E188="Parcial",0.5,0))+IF(F188="Sí",1,IF(F188="Parcial",0.5,0))+IF(G188="Sí",1,IF(G188="Parcial",0.5,0))+IF(H188="Sí",1,IF(H188="Parcial",0.5,0))</f>
        <v>0</v>
      </c>
      <c r="AM188" s="92">
        <f>IF(I188="Sí",1,IF(I188="Parcial",0.5,0))+IF(J188="Sí",1,IF(J188="Parcial",0.5,0))+IF(K188="Sí",1,IF(K188="Parcial",0.5,0))</f>
        <v>0</v>
      </c>
      <c r="AN188" s="93">
        <f>IF(L188="Sí",1,IF(L188="Parcial",0.5,0))+IF(M188="Sí",1,IF(M188="Parcial",0.5,0))+IF(N188="Sí",1,IF(N188="Parcial",0.5,0))+IF(O188="Sí",1,IF(O188="Parcial",0.5,0))</f>
        <v>0</v>
      </c>
      <c r="AO188" s="94">
        <f>IF(P188="Sí",1,IF(P188="Parcial",0.5,0))+IF(Q188="Sí",1,IF(Q188="Parcial",0.5,0))+IF(R188="Sí",1,IF(R188="Parcial",0.5,0))+IF(S188="Sí",1,IF(S188="Parcial",0.5,0))+IF(T188="Sí",1,IF(T188="Parcial",0.5,0))+IF(U188="Sí",1,IF(U188="Parcial",0.5,0))</f>
        <v>0</v>
      </c>
      <c r="AP188" s="95">
        <f>IF(V188="Sí",1,IF(V188="Parcial",0.5,0))+IF(W188="Sí",1,IF(W188="Parcial",0.5,0))+IF(X188="Sí",1,IF(X188="Parcial",0.5,0))+IF(Y188="Sí",1,IF(Y188="Parcial",0.5,0))</f>
        <v>0</v>
      </c>
      <c r="AQ188" s="96">
        <f>IF(Z188="Sí",1,IF(Z188="Parcial",0.5,0))+IF(AA188="Sí",1,IF(AA188="Parcial",0.5,0))+IF(AB188="Sí",1,IF(AB188="Parcial",0.5,0))</f>
        <v>0</v>
      </c>
      <c r="AR188" s="97">
        <f>IF(AC188="Sí",1,IF(AC188="Parcial",0.5,0))+IF(AD188="Sí",1,IF(AD188="Parcial",0.5,0))+IF(AE188="Sí",1,IF(AE188="Parcial",0.5,0))</f>
        <v>0</v>
      </c>
      <c r="AS188" s="98">
        <f>IF(AF188="Sí",1,IF(AF188="Parcial",0.5,0))+IF(AG188="Sí",1,IF(AG188="Parcial",0.5,0))+IF(AH188="Sí",1,IF(AH188="Parcial",0.5,0))</f>
        <v>0</v>
      </c>
      <c r="AT188" s="99">
        <f>IF(AI188="Sí",1,IF(AI188="Parcial",0.5,0))+IF(AJ188="Sí",1,IF(AJ188="Parcial",0.5,0))+IF(AK188="Sí",1,IF(AK188="Parcial",0.5,0))</f>
        <v>0</v>
      </c>
      <c r="AU188" s="100">
        <f>SUM(AL188,AM188,AN188,AO188,AP188,AQ188,AR188,AS188,AT188)</f>
        <v>0</v>
      </c>
      <c r="AV188" s="54" t="str">
        <f>IF(A188="","",IF((IF(AL188&gt;=1,1,0)+IF(AM188&gt;=1,1,0)+IF(AN188&gt;=1,1,0)+IF(AO188&gt;=1,1,0)+IF(AP188&gt;=1,1,0)+IF(AQ188&gt;=1,1,0)+IF(AR188&gt;=1,1,0)+IF(AS188&gt;=1,1,0)+IF(AT188&gt;=1,1,0))&gt;=5,"Diversificado (5+ verticales)",IF((IF(AL188&gt;=1,1,0)+IF(AM188&gt;=1,1,0)+IF(AN188&gt;=1,1,0)+IF(AO188&gt;=1,1,0)+IF(AP188&gt;=1,1,0)+IF(AQ188&gt;=1,1,0)+IF(AR188&gt;=1,1,0)+IF(AS188&gt;=1,1,0)+IF(AT188&gt;=1,1,0))&gt;=3,"Multi-capacidad (3-4 verticales)",IF((IF(AL188&gt;=1,1,0)+IF(AM188&gt;=1,1,0)+IF(AN188&gt;=1,1,0)+IF(AO188&gt;=1,1,0)+IF(AP188&gt;=1,1,0)+IF(AQ188&gt;=1,1,0)+IF(AR188&gt;=1,1,0)+IF(AS188&gt;=1,1,0)+IF(AT188&gt;=1,1,0))&gt;=1,"Especialista (1-2 verticales)","Sin función mapeada"))))</f>
        <v/>
      </c>
    </row>
    <row r="189" spans="3:48" ht="15" customHeight="1" x14ac:dyDescent="0.2">
      <c r="C189" s="53" t="str">
        <f>IF(A189="","",IFERROR(INDEX('UNIVERSO MAESTRO'!$C$6:$C$497,MATCH(A189,'UNIVERSO MAESTRO'!$A$6:$A$497,0)),"⚠ ID no encontrado"))</f>
        <v/>
      </c>
      <c r="D189" s="54" t="str">
        <f>IF(A189="","",IFERROR(INDEX('UNIVERSO MAESTRO'!$D$6:$D$497,MATCH(A189,'UNIVERSO MAESTRO'!$A$6:$A$497,0)),""))</f>
        <v/>
      </c>
      <c r="AL189" s="91">
        <f>IF(E189="Sí",1,IF(E189="Parcial",0.5,0))+IF(F189="Sí",1,IF(F189="Parcial",0.5,0))+IF(G189="Sí",1,IF(G189="Parcial",0.5,0))+IF(H189="Sí",1,IF(H189="Parcial",0.5,0))</f>
        <v>0</v>
      </c>
      <c r="AM189" s="92">
        <f>IF(I189="Sí",1,IF(I189="Parcial",0.5,0))+IF(J189="Sí",1,IF(J189="Parcial",0.5,0))+IF(K189="Sí",1,IF(K189="Parcial",0.5,0))</f>
        <v>0</v>
      </c>
      <c r="AN189" s="93">
        <f>IF(L189="Sí",1,IF(L189="Parcial",0.5,0))+IF(M189="Sí",1,IF(M189="Parcial",0.5,0))+IF(N189="Sí",1,IF(N189="Parcial",0.5,0))+IF(O189="Sí",1,IF(O189="Parcial",0.5,0))</f>
        <v>0</v>
      </c>
      <c r="AO189" s="94">
        <f>IF(P189="Sí",1,IF(P189="Parcial",0.5,0))+IF(Q189="Sí",1,IF(Q189="Parcial",0.5,0))+IF(R189="Sí",1,IF(R189="Parcial",0.5,0))+IF(S189="Sí",1,IF(S189="Parcial",0.5,0))+IF(T189="Sí",1,IF(T189="Parcial",0.5,0))+IF(U189="Sí",1,IF(U189="Parcial",0.5,0))</f>
        <v>0</v>
      </c>
      <c r="AP189" s="95">
        <f>IF(V189="Sí",1,IF(V189="Parcial",0.5,0))+IF(W189="Sí",1,IF(W189="Parcial",0.5,0))+IF(X189="Sí",1,IF(X189="Parcial",0.5,0))+IF(Y189="Sí",1,IF(Y189="Parcial",0.5,0))</f>
        <v>0</v>
      </c>
      <c r="AQ189" s="96">
        <f>IF(Z189="Sí",1,IF(Z189="Parcial",0.5,0))+IF(AA189="Sí",1,IF(AA189="Parcial",0.5,0))+IF(AB189="Sí",1,IF(AB189="Parcial",0.5,0))</f>
        <v>0</v>
      </c>
      <c r="AR189" s="97">
        <f>IF(AC189="Sí",1,IF(AC189="Parcial",0.5,0))+IF(AD189="Sí",1,IF(AD189="Parcial",0.5,0))+IF(AE189="Sí",1,IF(AE189="Parcial",0.5,0))</f>
        <v>0</v>
      </c>
      <c r="AS189" s="98">
        <f>IF(AF189="Sí",1,IF(AF189="Parcial",0.5,0))+IF(AG189="Sí",1,IF(AG189="Parcial",0.5,0))+IF(AH189="Sí",1,IF(AH189="Parcial",0.5,0))</f>
        <v>0</v>
      </c>
      <c r="AT189" s="99">
        <f>IF(AI189="Sí",1,IF(AI189="Parcial",0.5,0))+IF(AJ189="Sí",1,IF(AJ189="Parcial",0.5,0))+IF(AK189="Sí",1,IF(AK189="Parcial",0.5,0))</f>
        <v>0</v>
      </c>
      <c r="AU189" s="100">
        <f>SUM(AL189,AM189,AN189,AO189,AP189,AQ189,AR189,AS189,AT189)</f>
        <v>0</v>
      </c>
      <c r="AV189" s="54" t="str">
        <f>IF(A189="","",IF((IF(AL189&gt;=1,1,0)+IF(AM189&gt;=1,1,0)+IF(AN189&gt;=1,1,0)+IF(AO189&gt;=1,1,0)+IF(AP189&gt;=1,1,0)+IF(AQ189&gt;=1,1,0)+IF(AR189&gt;=1,1,0)+IF(AS189&gt;=1,1,0)+IF(AT189&gt;=1,1,0))&gt;=5,"Diversificado (5+ verticales)",IF((IF(AL189&gt;=1,1,0)+IF(AM189&gt;=1,1,0)+IF(AN189&gt;=1,1,0)+IF(AO189&gt;=1,1,0)+IF(AP189&gt;=1,1,0)+IF(AQ189&gt;=1,1,0)+IF(AR189&gt;=1,1,0)+IF(AS189&gt;=1,1,0)+IF(AT189&gt;=1,1,0))&gt;=3,"Multi-capacidad (3-4 verticales)",IF((IF(AL189&gt;=1,1,0)+IF(AM189&gt;=1,1,0)+IF(AN189&gt;=1,1,0)+IF(AO189&gt;=1,1,0)+IF(AP189&gt;=1,1,0)+IF(AQ189&gt;=1,1,0)+IF(AR189&gt;=1,1,0)+IF(AS189&gt;=1,1,0)+IF(AT189&gt;=1,1,0))&gt;=1,"Especialista (1-2 verticales)","Sin función mapeada"))))</f>
        <v/>
      </c>
    </row>
    <row r="190" spans="3:48" ht="15" customHeight="1" x14ac:dyDescent="0.2">
      <c r="C190" s="53" t="str">
        <f>IF(A190="","",IFERROR(INDEX('UNIVERSO MAESTRO'!$C$6:$C$497,MATCH(A190,'UNIVERSO MAESTRO'!$A$6:$A$497,0)),"⚠ ID no encontrado"))</f>
        <v/>
      </c>
      <c r="D190" s="54" t="str">
        <f>IF(A190="","",IFERROR(INDEX('UNIVERSO MAESTRO'!$D$6:$D$497,MATCH(A190,'UNIVERSO MAESTRO'!$A$6:$A$497,0)),""))</f>
        <v/>
      </c>
      <c r="AL190" s="91">
        <f>IF(E190="Sí",1,IF(E190="Parcial",0.5,0))+IF(F190="Sí",1,IF(F190="Parcial",0.5,0))+IF(G190="Sí",1,IF(G190="Parcial",0.5,0))+IF(H190="Sí",1,IF(H190="Parcial",0.5,0))</f>
        <v>0</v>
      </c>
      <c r="AM190" s="92">
        <f>IF(I190="Sí",1,IF(I190="Parcial",0.5,0))+IF(J190="Sí",1,IF(J190="Parcial",0.5,0))+IF(K190="Sí",1,IF(K190="Parcial",0.5,0))</f>
        <v>0</v>
      </c>
      <c r="AN190" s="93">
        <f>IF(L190="Sí",1,IF(L190="Parcial",0.5,0))+IF(M190="Sí",1,IF(M190="Parcial",0.5,0))+IF(N190="Sí",1,IF(N190="Parcial",0.5,0))+IF(O190="Sí",1,IF(O190="Parcial",0.5,0))</f>
        <v>0</v>
      </c>
      <c r="AO190" s="94">
        <f>IF(P190="Sí",1,IF(P190="Parcial",0.5,0))+IF(Q190="Sí",1,IF(Q190="Parcial",0.5,0))+IF(R190="Sí",1,IF(R190="Parcial",0.5,0))+IF(S190="Sí",1,IF(S190="Parcial",0.5,0))+IF(T190="Sí",1,IF(T190="Parcial",0.5,0))+IF(U190="Sí",1,IF(U190="Parcial",0.5,0))</f>
        <v>0</v>
      </c>
      <c r="AP190" s="95">
        <f>IF(V190="Sí",1,IF(V190="Parcial",0.5,0))+IF(W190="Sí",1,IF(W190="Parcial",0.5,0))+IF(X190="Sí",1,IF(X190="Parcial",0.5,0))+IF(Y190="Sí",1,IF(Y190="Parcial",0.5,0))</f>
        <v>0</v>
      </c>
      <c r="AQ190" s="96">
        <f>IF(Z190="Sí",1,IF(Z190="Parcial",0.5,0))+IF(AA190="Sí",1,IF(AA190="Parcial",0.5,0))+IF(AB190="Sí",1,IF(AB190="Parcial",0.5,0))</f>
        <v>0</v>
      </c>
      <c r="AR190" s="97">
        <f>IF(AC190="Sí",1,IF(AC190="Parcial",0.5,0))+IF(AD190="Sí",1,IF(AD190="Parcial",0.5,0))+IF(AE190="Sí",1,IF(AE190="Parcial",0.5,0))</f>
        <v>0</v>
      </c>
      <c r="AS190" s="98">
        <f>IF(AF190="Sí",1,IF(AF190="Parcial",0.5,0))+IF(AG190="Sí",1,IF(AG190="Parcial",0.5,0))+IF(AH190="Sí",1,IF(AH190="Parcial",0.5,0))</f>
        <v>0</v>
      </c>
      <c r="AT190" s="99">
        <f>IF(AI190="Sí",1,IF(AI190="Parcial",0.5,0))+IF(AJ190="Sí",1,IF(AJ190="Parcial",0.5,0))+IF(AK190="Sí",1,IF(AK190="Parcial",0.5,0))</f>
        <v>0</v>
      </c>
      <c r="AU190" s="100">
        <f>SUM(AL190,AM190,AN190,AO190,AP190,AQ190,AR190,AS190,AT190)</f>
        <v>0</v>
      </c>
      <c r="AV190" s="54" t="str">
        <f>IF(A190="","",IF((IF(AL190&gt;=1,1,0)+IF(AM190&gt;=1,1,0)+IF(AN190&gt;=1,1,0)+IF(AO190&gt;=1,1,0)+IF(AP190&gt;=1,1,0)+IF(AQ190&gt;=1,1,0)+IF(AR190&gt;=1,1,0)+IF(AS190&gt;=1,1,0)+IF(AT190&gt;=1,1,0))&gt;=5,"Diversificado (5+ verticales)",IF((IF(AL190&gt;=1,1,0)+IF(AM190&gt;=1,1,0)+IF(AN190&gt;=1,1,0)+IF(AO190&gt;=1,1,0)+IF(AP190&gt;=1,1,0)+IF(AQ190&gt;=1,1,0)+IF(AR190&gt;=1,1,0)+IF(AS190&gt;=1,1,0)+IF(AT190&gt;=1,1,0))&gt;=3,"Multi-capacidad (3-4 verticales)",IF((IF(AL190&gt;=1,1,0)+IF(AM190&gt;=1,1,0)+IF(AN190&gt;=1,1,0)+IF(AO190&gt;=1,1,0)+IF(AP190&gt;=1,1,0)+IF(AQ190&gt;=1,1,0)+IF(AR190&gt;=1,1,0)+IF(AS190&gt;=1,1,0)+IF(AT190&gt;=1,1,0))&gt;=1,"Especialista (1-2 verticales)","Sin función mapeada"))))</f>
        <v/>
      </c>
    </row>
    <row r="191" spans="3:48" ht="15" customHeight="1" x14ac:dyDescent="0.2">
      <c r="C191" s="53" t="str">
        <f>IF(A191="","",IFERROR(INDEX('UNIVERSO MAESTRO'!$C$6:$C$497,MATCH(A191,'UNIVERSO MAESTRO'!$A$6:$A$497,0)),"⚠ ID no encontrado"))</f>
        <v/>
      </c>
      <c r="D191" s="54" t="str">
        <f>IF(A191="","",IFERROR(INDEX('UNIVERSO MAESTRO'!$D$6:$D$497,MATCH(A191,'UNIVERSO MAESTRO'!$A$6:$A$497,0)),""))</f>
        <v/>
      </c>
      <c r="AL191" s="91">
        <f>IF(E191="Sí",1,IF(E191="Parcial",0.5,0))+IF(F191="Sí",1,IF(F191="Parcial",0.5,0))+IF(G191="Sí",1,IF(G191="Parcial",0.5,0))+IF(H191="Sí",1,IF(H191="Parcial",0.5,0))</f>
        <v>0</v>
      </c>
      <c r="AM191" s="92">
        <f>IF(I191="Sí",1,IF(I191="Parcial",0.5,0))+IF(J191="Sí",1,IF(J191="Parcial",0.5,0))+IF(K191="Sí",1,IF(K191="Parcial",0.5,0))</f>
        <v>0</v>
      </c>
      <c r="AN191" s="93">
        <f>IF(L191="Sí",1,IF(L191="Parcial",0.5,0))+IF(M191="Sí",1,IF(M191="Parcial",0.5,0))+IF(N191="Sí",1,IF(N191="Parcial",0.5,0))+IF(O191="Sí",1,IF(O191="Parcial",0.5,0))</f>
        <v>0</v>
      </c>
      <c r="AO191" s="94">
        <f>IF(P191="Sí",1,IF(P191="Parcial",0.5,0))+IF(Q191="Sí",1,IF(Q191="Parcial",0.5,0))+IF(R191="Sí",1,IF(R191="Parcial",0.5,0))+IF(S191="Sí",1,IF(S191="Parcial",0.5,0))+IF(T191="Sí",1,IF(T191="Parcial",0.5,0))+IF(U191="Sí",1,IF(U191="Parcial",0.5,0))</f>
        <v>0</v>
      </c>
      <c r="AP191" s="95">
        <f>IF(V191="Sí",1,IF(V191="Parcial",0.5,0))+IF(W191="Sí",1,IF(W191="Parcial",0.5,0))+IF(X191="Sí",1,IF(X191="Parcial",0.5,0))+IF(Y191="Sí",1,IF(Y191="Parcial",0.5,0))</f>
        <v>0</v>
      </c>
      <c r="AQ191" s="96">
        <f>IF(Z191="Sí",1,IF(Z191="Parcial",0.5,0))+IF(AA191="Sí",1,IF(AA191="Parcial",0.5,0))+IF(AB191="Sí",1,IF(AB191="Parcial",0.5,0))</f>
        <v>0</v>
      </c>
      <c r="AR191" s="97">
        <f>IF(AC191="Sí",1,IF(AC191="Parcial",0.5,0))+IF(AD191="Sí",1,IF(AD191="Parcial",0.5,0))+IF(AE191="Sí",1,IF(AE191="Parcial",0.5,0))</f>
        <v>0</v>
      </c>
      <c r="AS191" s="98">
        <f>IF(AF191="Sí",1,IF(AF191="Parcial",0.5,0))+IF(AG191="Sí",1,IF(AG191="Parcial",0.5,0))+IF(AH191="Sí",1,IF(AH191="Parcial",0.5,0))</f>
        <v>0</v>
      </c>
      <c r="AT191" s="99">
        <f>IF(AI191="Sí",1,IF(AI191="Parcial",0.5,0))+IF(AJ191="Sí",1,IF(AJ191="Parcial",0.5,0))+IF(AK191="Sí",1,IF(AK191="Parcial",0.5,0))</f>
        <v>0</v>
      </c>
      <c r="AU191" s="100">
        <f>SUM(AL191,AM191,AN191,AO191,AP191,AQ191,AR191,AS191,AT191)</f>
        <v>0</v>
      </c>
      <c r="AV191" s="54" t="str">
        <f>IF(A191="","",IF((IF(AL191&gt;=1,1,0)+IF(AM191&gt;=1,1,0)+IF(AN191&gt;=1,1,0)+IF(AO191&gt;=1,1,0)+IF(AP191&gt;=1,1,0)+IF(AQ191&gt;=1,1,0)+IF(AR191&gt;=1,1,0)+IF(AS191&gt;=1,1,0)+IF(AT191&gt;=1,1,0))&gt;=5,"Diversificado (5+ verticales)",IF((IF(AL191&gt;=1,1,0)+IF(AM191&gt;=1,1,0)+IF(AN191&gt;=1,1,0)+IF(AO191&gt;=1,1,0)+IF(AP191&gt;=1,1,0)+IF(AQ191&gt;=1,1,0)+IF(AR191&gt;=1,1,0)+IF(AS191&gt;=1,1,0)+IF(AT191&gt;=1,1,0))&gt;=3,"Multi-capacidad (3-4 verticales)",IF((IF(AL191&gt;=1,1,0)+IF(AM191&gt;=1,1,0)+IF(AN191&gt;=1,1,0)+IF(AO191&gt;=1,1,0)+IF(AP191&gt;=1,1,0)+IF(AQ191&gt;=1,1,0)+IF(AR191&gt;=1,1,0)+IF(AS191&gt;=1,1,0)+IF(AT191&gt;=1,1,0))&gt;=1,"Especialista (1-2 verticales)","Sin función mapeada"))))</f>
        <v/>
      </c>
    </row>
    <row r="192" spans="3:48" ht="15" customHeight="1" x14ac:dyDescent="0.2">
      <c r="C192" s="53" t="str">
        <f>IF(A192="","",IFERROR(INDEX('UNIVERSO MAESTRO'!$C$6:$C$497,MATCH(A192,'UNIVERSO MAESTRO'!$A$6:$A$497,0)),"⚠ ID no encontrado"))</f>
        <v/>
      </c>
      <c r="D192" s="54" t="str">
        <f>IF(A192="","",IFERROR(INDEX('UNIVERSO MAESTRO'!$D$6:$D$497,MATCH(A192,'UNIVERSO MAESTRO'!$A$6:$A$497,0)),""))</f>
        <v/>
      </c>
      <c r="AL192" s="91">
        <f>IF(E192="Sí",1,IF(E192="Parcial",0.5,0))+IF(F192="Sí",1,IF(F192="Parcial",0.5,0))+IF(G192="Sí",1,IF(G192="Parcial",0.5,0))+IF(H192="Sí",1,IF(H192="Parcial",0.5,0))</f>
        <v>0</v>
      </c>
      <c r="AM192" s="92">
        <f>IF(I192="Sí",1,IF(I192="Parcial",0.5,0))+IF(J192="Sí",1,IF(J192="Parcial",0.5,0))+IF(K192="Sí",1,IF(K192="Parcial",0.5,0))</f>
        <v>0</v>
      </c>
      <c r="AN192" s="93">
        <f>IF(L192="Sí",1,IF(L192="Parcial",0.5,0))+IF(M192="Sí",1,IF(M192="Parcial",0.5,0))+IF(N192="Sí",1,IF(N192="Parcial",0.5,0))+IF(O192="Sí",1,IF(O192="Parcial",0.5,0))</f>
        <v>0</v>
      </c>
      <c r="AO192" s="94">
        <f>IF(P192="Sí",1,IF(P192="Parcial",0.5,0))+IF(Q192="Sí",1,IF(Q192="Parcial",0.5,0))+IF(R192="Sí",1,IF(R192="Parcial",0.5,0))+IF(S192="Sí",1,IF(S192="Parcial",0.5,0))+IF(T192="Sí",1,IF(T192="Parcial",0.5,0))+IF(U192="Sí",1,IF(U192="Parcial",0.5,0))</f>
        <v>0</v>
      </c>
      <c r="AP192" s="95">
        <f>IF(V192="Sí",1,IF(V192="Parcial",0.5,0))+IF(W192="Sí",1,IF(W192="Parcial",0.5,0))+IF(X192="Sí",1,IF(X192="Parcial",0.5,0))+IF(Y192="Sí",1,IF(Y192="Parcial",0.5,0))</f>
        <v>0</v>
      </c>
      <c r="AQ192" s="96">
        <f>IF(Z192="Sí",1,IF(Z192="Parcial",0.5,0))+IF(AA192="Sí",1,IF(AA192="Parcial",0.5,0))+IF(AB192="Sí",1,IF(AB192="Parcial",0.5,0))</f>
        <v>0</v>
      </c>
      <c r="AR192" s="97">
        <f>IF(AC192="Sí",1,IF(AC192="Parcial",0.5,0))+IF(AD192="Sí",1,IF(AD192="Parcial",0.5,0))+IF(AE192="Sí",1,IF(AE192="Parcial",0.5,0))</f>
        <v>0</v>
      </c>
      <c r="AS192" s="98">
        <f>IF(AF192="Sí",1,IF(AF192="Parcial",0.5,0))+IF(AG192="Sí",1,IF(AG192="Parcial",0.5,0))+IF(AH192="Sí",1,IF(AH192="Parcial",0.5,0))</f>
        <v>0</v>
      </c>
      <c r="AT192" s="99">
        <f>IF(AI192="Sí",1,IF(AI192="Parcial",0.5,0))+IF(AJ192="Sí",1,IF(AJ192="Parcial",0.5,0))+IF(AK192="Sí",1,IF(AK192="Parcial",0.5,0))</f>
        <v>0</v>
      </c>
      <c r="AU192" s="100">
        <f>SUM(AL192,AM192,AN192,AO192,AP192,AQ192,AR192,AS192,AT192)</f>
        <v>0</v>
      </c>
      <c r="AV192" s="54" t="str">
        <f>IF(A192="","",IF((IF(AL192&gt;=1,1,0)+IF(AM192&gt;=1,1,0)+IF(AN192&gt;=1,1,0)+IF(AO192&gt;=1,1,0)+IF(AP192&gt;=1,1,0)+IF(AQ192&gt;=1,1,0)+IF(AR192&gt;=1,1,0)+IF(AS192&gt;=1,1,0)+IF(AT192&gt;=1,1,0))&gt;=5,"Diversificado (5+ verticales)",IF((IF(AL192&gt;=1,1,0)+IF(AM192&gt;=1,1,0)+IF(AN192&gt;=1,1,0)+IF(AO192&gt;=1,1,0)+IF(AP192&gt;=1,1,0)+IF(AQ192&gt;=1,1,0)+IF(AR192&gt;=1,1,0)+IF(AS192&gt;=1,1,0)+IF(AT192&gt;=1,1,0))&gt;=3,"Multi-capacidad (3-4 verticales)",IF((IF(AL192&gt;=1,1,0)+IF(AM192&gt;=1,1,0)+IF(AN192&gt;=1,1,0)+IF(AO192&gt;=1,1,0)+IF(AP192&gt;=1,1,0)+IF(AQ192&gt;=1,1,0)+IF(AR192&gt;=1,1,0)+IF(AS192&gt;=1,1,0)+IF(AT192&gt;=1,1,0))&gt;=1,"Especialista (1-2 verticales)","Sin función mapeada"))))</f>
        <v/>
      </c>
    </row>
    <row r="193" spans="3:48" ht="15" customHeight="1" x14ac:dyDescent="0.2">
      <c r="C193" s="53" t="str">
        <f>IF(A193="","",IFERROR(INDEX('UNIVERSO MAESTRO'!$C$6:$C$497,MATCH(A193,'UNIVERSO MAESTRO'!$A$6:$A$497,0)),"⚠ ID no encontrado"))</f>
        <v/>
      </c>
      <c r="D193" s="54" t="str">
        <f>IF(A193="","",IFERROR(INDEX('UNIVERSO MAESTRO'!$D$6:$D$497,MATCH(A193,'UNIVERSO MAESTRO'!$A$6:$A$497,0)),""))</f>
        <v/>
      </c>
      <c r="AL193" s="91">
        <f>IF(E193="Sí",1,IF(E193="Parcial",0.5,0))+IF(F193="Sí",1,IF(F193="Parcial",0.5,0))+IF(G193="Sí",1,IF(G193="Parcial",0.5,0))+IF(H193="Sí",1,IF(H193="Parcial",0.5,0))</f>
        <v>0</v>
      </c>
      <c r="AM193" s="92">
        <f>IF(I193="Sí",1,IF(I193="Parcial",0.5,0))+IF(J193="Sí",1,IF(J193="Parcial",0.5,0))+IF(K193="Sí",1,IF(K193="Parcial",0.5,0))</f>
        <v>0</v>
      </c>
      <c r="AN193" s="93">
        <f>IF(L193="Sí",1,IF(L193="Parcial",0.5,0))+IF(M193="Sí",1,IF(M193="Parcial",0.5,0))+IF(N193="Sí",1,IF(N193="Parcial",0.5,0))+IF(O193="Sí",1,IF(O193="Parcial",0.5,0))</f>
        <v>0</v>
      </c>
      <c r="AO193" s="94">
        <f>IF(P193="Sí",1,IF(P193="Parcial",0.5,0))+IF(Q193="Sí",1,IF(Q193="Parcial",0.5,0))+IF(R193="Sí",1,IF(R193="Parcial",0.5,0))+IF(S193="Sí",1,IF(S193="Parcial",0.5,0))+IF(T193="Sí",1,IF(T193="Parcial",0.5,0))+IF(U193="Sí",1,IF(U193="Parcial",0.5,0))</f>
        <v>0</v>
      </c>
      <c r="AP193" s="95">
        <f>IF(V193="Sí",1,IF(V193="Parcial",0.5,0))+IF(W193="Sí",1,IF(W193="Parcial",0.5,0))+IF(X193="Sí",1,IF(X193="Parcial",0.5,0))+IF(Y193="Sí",1,IF(Y193="Parcial",0.5,0))</f>
        <v>0</v>
      </c>
      <c r="AQ193" s="96">
        <f>IF(Z193="Sí",1,IF(Z193="Parcial",0.5,0))+IF(AA193="Sí",1,IF(AA193="Parcial",0.5,0))+IF(AB193="Sí",1,IF(AB193="Parcial",0.5,0))</f>
        <v>0</v>
      </c>
      <c r="AR193" s="97">
        <f>IF(AC193="Sí",1,IF(AC193="Parcial",0.5,0))+IF(AD193="Sí",1,IF(AD193="Parcial",0.5,0))+IF(AE193="Sí",1,IF(AE193="Parcial",0.5,0))</f>
        <v>0</v>
      </c>
      <c r="AS193" s="98">
        <f>IF(AF193="Sí",1,IF(AF193="Parcial",0.5,0))+IF(AG193="Sí",1,IF(AG193="Parcial",0.5,0))+IF(AH193="Sí",1,IF(AH193="Parcial",0.5,0))</f>
        <v>0</v>
      </c>
      <c r="AT193" s="99">
        <f>IF(AI193="Sí",1,IF(AI193="Parcial",0.5,0))+IF(AJ193="Sí",1,IF(AJ193="Parcial",0.5,0))+IF(AK193="Sí",1,IF(AK193="Parcial",0.5,0))</f>
        <v>0</v>
      </c>
      <c r="AU193" s="100">
        <f>SUM(AL193,AM193,AN193,AO193,AP193,AQ193,AR193,AS193,AT193)</f>
        <v>0</v>
      </c>
      <c r="AV193" s="54" t="str">
        <f>IF(A193="","",IF((IF(AL193&gt;=1,1,0)+IF(AM193&gt;=1,1,0)+IF(AN193&gt;=1,1,0)+IF(AO193&gt;=1,1,0)+IF(AP193&gt;=1,1,0)+IF(AQ193&gt;=1,1,0)+IF(AR193&gt;=1,1,0)+IF(AS193&gt;=1,1,0)+IF(AT193&gt;=1,1,0))&gt;=5,"Diversificado (5+ verticales)",IF((IF(AL193&gt;=1,1,0)+IF(AM193&gt;=1,1,0)+IF(AN193&gt;=1,1,0)+IF(AO193&gt;=1,1,0)+IF(AP193&gt;=1,1,0)+IF(AQ193&gt;=1,1,0)+IF(AR193&gt;=1,1,0)+IF(AS193&gt;=1,1,0)+IF(AT193&gt;=1,1,0))&gt;=3,"Multi-capacidad (3-4 verticales)",IF((IF(AL193&gt;=1,1,0)+IF(AM193&gt;=1,1,0)+IF(AN193&gt;=1,1,0)+IF(AO193&gt;=1,1,0)+IF(AP193&gt;=1,1,0)+IF(AQ193&gt;=1,1,0)+IF(AR193&gt;=1,1,0)+IF(AS193&gt;=1,1,0)+IF(AT193&gt;=1,1,0))&gt;=1,"Especialista (1-2 verticales)","Sin función mapeada"))))</f>
        <v/>
      </c>
    </row>
    <row r="194" spans="3:48" ht="15" customHeight="1" x14ac:dyDescent="0.2">
      <c r="C194" s="53" t="str">
        <f>IF(A194="","",IFERROR(INDEX('UNIVERSO MAESTRO'!$C$6:$C$497,MATCH(A194,'UNIVERSO MAESTRO'!$A$6:$A$497,0)),"⚠ ID no encontrado"))</f>
        <v/>
      </c>
      <c r="D194" s="54" t="str">
        <f>IF(A194="","",IFERROR(INDEX('UNIVERSO MAESTRO'!$D$6:$D$497,MATCH(A194,'UNIVERSO MAESTRO'!$A$6:$A$497,0)),""))</f>
        <v/>
      </c>
      <c r="AL194" s="91">
        <f>IF(E194="Sí",1,IF(E194="Parcial",0.5,0))+IF(F194="Sí",1,IF(F194="Parcial",0.5,0))+IF(G194="Sí",1,IF(G194="Parcial",0.5,0))+IF(H194="Sí",1,IF(H194="Parcial",0.5,0))</f>
        <v>0</v>
      </c>
      <c r="AM194" s="92">
        <f>IF(I194="Sí",1,IF(I194="Parcial",0.5,0))+IF(J194="Sí",1,IF(J194="Parcial",0.5,0))+IF(K194="Sí",1,IF(K194="Parcial",0.5,0))</f>
        <v>0</v>
      </c>
      <c r="AN194" s="93">
        <f>IF(L194="Sí",1,IF(L194="Parcial",0.5,0))+IF(M194="Sí",1,IF(M194="Parcial",0.5,0))+IF(N194="Sí",1,IF(N194="Parcial",0.5,0))+IF(O194="Sí",1,IF(O194="Parcial",0.5,0))</f>
        <v>0</v>
      </c>
      <c r="AO194" s="94">
        <f>IF(P194="Sí",1,IF(P194="Parcial",0.5,0))+IF(Q194="Sí",1,IF(Q194="Parcial",0.5,0))+IF(R194="Sí",1,IF(R194="Parcial",0.5,0))+IF(S194="Sí",1,IF(S194="Parcial",0.5,0))+IF(T194="Sí",1,IF(T194="Parcial",0.5,0))+IF(U194="Sí",1,IF(U194="Parcial",0.5,0))</f>
        <v>0</v>
      </c>
      <c r="AP194" s="95">
        <f>IF(V194="Sí",1,IF(V194="Parcial",0.5,0))+IF(W194="Sí",1,IF(W194="Parcial",0.5,0))+IF(X194="Sí",1,IF(X194="Parcial",0.5,0))+IF(Y194="Sí",1,IF(Y194="Parcial",0.5,0))</f>
        <v>0</v>
      </c>
      <c r="AQ194" s="96">
        <f>IF(Z194="Sí",1,IF(Z194="Parcial",0.5,0))+IF(AA194="Sí",1,IF(AA194="Parcial",0.5,0))+IF(AB194="Sí",1,IF(AB194="Parcial",0.5,0))</f>
        <v>0</v>
      </c>
      <c r="AR194" s="97">
        <f>IF(AC194="Sí",1,IF(AC194="Parcial",0.5,0))+IF(AD194="Sí",1,IF(AD194="Parcial",0.5,0))+IF(AE194="Sí",1,IF(AE194="Parcial",0.5,0))</f>
        <v>0</v>
      </c>
      <c r="AS194" s="98">
        <f>IF(AF194="Sí",1,IF(AF194="Parcial",0.5,0))+IF(AG194="Sí",1,IF(AG194="Parcial",0.5,0))+IF(AH194="Sí",1,IF(AH194="Parcial",0.5,0))</f>
        <v>0</v>
      </c>
      <c r="AT194" s="99">
        <f>IF(AI194="Sí",1,IF(AI194="Parcial",0.5,0))+IF(AJ194="Sí",1,IF(AJ194="Parcial",0.5,0))+IF(AK194="Sí",1,IF(AK194="Parcial",0.5,0))</f>
        <v>0</v>
      </c>
      <c r="AU194" s="100">
        <f>SUM(AL194,AM194,AN194,AO194,AP194,AQ194,AR194,AS194,AT194)</f>
        <v>0</v>
      </c>
      <c r="AV194" s="54" t="str">
        <f>IF(A194="","",IF((IF(AL194&gt;=1,1,0)+IF(AM194&gt;=1,1,0)+IF(AN194&gt;=1,1,0)+IF(AO194&gt;=1,1,0)+IF(AP194&gt;=1,1,0)+IF(AQ194&gt;=1,1,0)+IF(AR194&gt;=1,1,0)+IF(AS194&gt;=1,1,0)+IF(AT194&gt;=1,1,0))&gt;=5,"Diversificado (5+ verticales)",IF((IF(AL194&gt;=1,1,0)+IF(AM194&gt;=1,1,0)+IF(AN194&gt;=1,1,0)+IF(AO194&gt;=1,1,0)+IF(AP194&gt;=1,1,0)+IF(AQ194&gt;=1,1,0)+IF(AR194&gt;=1,1,0)+IF(AS194&gt;=1,1,0)+IF(AT194&gt;=1,1,0))&gt;=3,"Multi-capacidad (3-4 verticales)",IF((IF(AL194&gt;=1,1,0)+IF(AM194&gt;=1,1,0)+IF(AN194&gt;=1,1,0)+IF(AO194&gt;=1,1,0)+IF(AP194&gt;=1,1,0)+IF(AQ194&gt;=1,1,0)+IF(AR194&gt;=1,1,0)+IF(AS194&gt;=1,1,0)+IF(AT194&gt;=1,1,0))&gt;=1,"Especialista (1-2 verticales)","Sin función mapeada"))))</f>
        <v/>
      </c>
    </row>
    <row r="195" spans="3:48" ht="15" customHeight="1" x14ac:dyDescent="0.2">
      <c r="C195" s="53" t="str">
        <f>IF(A195="","",IFERROR(INDEX('UNIVERSO MAESTRO'!$C$6:$C$497,MATCH(A195,'UNIVERSO MAESTRO'!$A$6:$A$497,0)),"⚠ ID no encontrado"))</f>
        <v/>
      </c>
      <c r="D195" s="54" t="str">
        <f>IF(A195="","",IFERROR(INDEX('UNIVERSO MAESTRO'!$D$6:$D$497,MATCH(A195,'UNIVERSO MAESTRO'!$A$6:$A$497,0)),""))</f>
        <v/>
      </c>
      <c r="AL195" s="91">
        <f>IF(E195="Sí",1,IF(E195="Parcial",0.5,0))+IF(F195="Sí",1,IF(F195="Parcial",0.5,0))+IF(G195="Sí",1,IF(G195="Parcial",0.5,0))+IF(H195="Sí",1,IF(H195="Parcial",0.5,0))</f>
        <v>0</v>
      </c>
      <c r="AM195" s="92">
        <f>IF(I195="Sí",1,IF(I195="Parcial",0.5,0))+IF(J195="Sí",1,IF(J195="Parcial",0.5,0))+IF(K195="Sí",1,IF(K195="Parcial",0.5,0))</f>
        <v>0</v>
      </c>
      <c r="AN195" s="93">
        <f>IF(L195="Sí",1,IF(L195="Parcial",0.5,0))+IF(M195="Sí",1,IF(M195="Parcial",0.5,0))+IF(N195="Sí",1,IF(N195="Parcial",0.5,0))+IF(O195="Sí",1,IF(O195="Parcial",0.5,0))</f>
        <v>0</v>
      </c>
      <c r="AO195" s="94">
        <f>IF(P195="Sí",1,IF(P195="Parcial",0.5,0))+IF(Q195="Sí",1,IF(Q195="Parcial",0.5,0))+IF(R195="Sí",1,IF(R195="Parcial",0.5,0))+IF(S195="Sí",1,IF(S195="Parcial",0.5,0))+IF(T195="Sí",1,IF(T195="Parcial",0.5,0))+IF(U195="Sí",1,IF(U195="Parcial",0.5,0))</f>
        <v>0</v>
      </c>
      <c r="AP195" s="95">
        <f>IF(V195="Sí",1,IF(V195="Parcial",0.5,0))+IF(W195="Sí",1,IF(W195="Parcial",0.5,0))+IF(X195="Sí",1,IF(X195="Parcial",0.5,0))+IF(Y195="Sí",1,IF(Y195="Parcial",0.5,0))</f>
        <v>0</v>
      </c>
      <c r="AQ195" s="96">
        <f>IF(Z195="Sí",1,IF(Z195="Parcial",0.5,0))+IF(AA195="Sí",1,IF(AA195="Parcial",0.5,0))+IF(AB195="Sí",1,IF(AB195="Parcial",0.5,0))</f>
        <v>0</v>
      </c>
      <c r="AR195" s="97">
        <f>IF(AC195="Sí",1,IF(AC195="Parcial",0.5,0))+IF(AD195="Sí",1,IF(AD195="Parcial",0.5,0))+IF(AE195="Sí",1,IF(AE195="Parcial",0.5,0))</f>
        <v>0</v>
      </c>
      <c r="AS195" s="98">
        <f>IF(AF195="Sí",1,IF(AF195="Parcial",0.5,0))+IF(AG195="Sí",1,IF(AG195="Parcial",0.5,0))+IF(AH195="Sí",1,IF(AH195="Parcial",0.5,0))</f>
        <v>0</v>
      </c>
      <c r="AT195" s="99">
        <f>IF(AI195="Sí",1,IF(AI195="Parcial",0.5,0))+IF(AJ195="Sí",1,IF(AJ195="Parcial",0.5,0))+IF(AK195="Sí",1,IF(AK195="Parcial",0.5,0))</f>
        <v>0</v>
      </c>
      <c r="AU195" s="100">
        <f>SUM(AL195,AM195,AN195,AO195,AP195,AQ195,AR195,AS195,AT195)</f>
        <v>0</v>
      </c>
      <c r="AV195" s="54" t="str">
        <f>IF(A195="","",IF((IF(AL195&gt;=1,1,0)+IF(AM195&gt;=1,1,0)+IF(AN195&gt;=1,1,0)+IF(AO195&gt;=1,1,0)+IF(AP195&gt;=1,1,0)+IF(AQ195&gt;=1,1,0)+IF(AR195&gt;=1,1,0)+IF(AS195&gt;=1,1,0)+IF(AT195&gt;=1,1,0))&gt;=5,"Diversificado (5+ verticales)",IF((IF(AL195&gt;=1,1,0)+IF(AM195&gt;=1,1,0)+IF(AN195&gt;=1,1,0)+IF(AO195&gt;=1,1,0)+IF(AP195&gt;=1,1,0)+IF(AQ195&gt;=1,1,0)+IF(AR195&gt;=1,1,0)+IF(AS195&gt;=1,1,0)+IF(AT195&gt;=1,1,0))&gt;=3,"Multi-capacidad (3-4 verticales)",IF((IF(AL195&gt;=1,1,0)+IF(AM195&gt;=1,1,0)+IF(AN195&gt;=1,1,0)+IF(AO195&gt;=1,1,0)+IF(AP195&gt;=1,1,0)+IF(AQ195&gt;=1,1,0)+IF(AR195&gt;=1,1,0)+IF(AS195&gt;=1,1,0)+IF(AT195&gt;=1,1,0))&gt;=1,"Especialista (1-2 verticales)","Sin función mapeada"))))</f>
        <v/>
      </c>
    </row>
    <row r="196" spans="3:48" ht="15" customHeight="1" x14ac:dyDescent="0.2">
      <c r="C196" s="53" t="str">
        <f>IF(A196="","",IFERROR(INDEX('UNIVERSO MAESTRO'!$C$6:$C$497,MATCH(A196,'UNIVERSO MAESTRO'!$A$6:$A$497,0)),"⚠ ID no encontrado"))</f>
        <v/>
      </c>
      <c r="D196" s="54" t="str">
        <f>IF(A196="","",IFERROR(INDEX('UNIVERSO MAESTRO'!$D$6:$D$497,MATCH(A196,'UNIVERSO MAESTRO'!$A$6:$A$497,0)),""))</f>
        <v/>
      </c>
      <c r="AL196" s="91">
        <f>IF(E196="Sí",1,IF(E196="Parcial",0.5,0))+IF(F196="Sí",1,IF(F196="Parcial",0.5,0))+IF(G196="Sí",1,IF(G196="Parcial",0.5,0))+IF(H196="Sí",1,IF(H196="Parcial",0.5,0))</f>
        <v>0</v>
      </c>
      <c r="AM196" s="92">
        <f>IF(I196="Sí",1,IF(I196="Parcial",0.5,0))+IF(J196="Sí",1,IF(J196="Parcial",0.5,0))+IF(K196="Sí",1,IF(K196="Parcial",0.5,0))</f>
        <v>0</v>
      </c>
      <c r="AN196" s="93">
        <f>IF(L196="Sí",1,IF(L196="Parcial",0.5,0))+IF(M196="Sí",1,IF(M196="Parcial",0.5,0))+IF(N196="Sí",1,IF(N196="Parcial",0.5,0))+IF(O196="Sí",1,IF(O196="Parcial",0.5,0))</f>
        <v>0</v>
      </c>
      <c r="AO196" s="94">
        <f>IF(P196="Sí",1,IF(P196="Parcial",0.5,0))+IF(Q196="Sí",1,IF(Q196="Parcial",0.5,0))+IF(R196="Sí",1,IF(R196="Parcial",0.5,0))+IF(S196="Sí",1,IF(S196="Parcial",0.5,0))+IF(T196="Sí",1,IF(T196="Parcial",0.5,0))+IF(U196="Sí",1,IF(U196="Parcial",0.5,0))</f>
        <v>0</v>
      </c>
      <c r="AP196" s="95">
        <f>IF(V196="Sí",1,IF(V196="Parcial",0.5,0))+IF(W196="Sí",1,IF(W196="Parcial",0.5,0))+IF(X196="Sí",1,IF(X196="Parcial",0.5,0))+IF(Y196="Sí",1,IF(Y196="Parcial",0.5,0))</f>
        <v>0</v>
      </c>
      <c r="AQ196" s="96">
        <f>IF(Z196="Sí",1,IF(Z196="Parcial",0.5,0))+IF(AA196="Sí",1,IF(AA196="Parcial",0.5,0))+IF(AB196="Sí",1,IF(AB196="Parcial",0.5,0))</f>
        <v>0</v>
      </c>
      <c r="AR196" s="97">
        <f>IF(AC196="Sí",1,IF(AC196="Parcial",0.5,0))+IF(AD196="Sí",1,IF(AD196="Parcial",0.5,0))+IF(AE196="Sí",1,IF(AE196="Parcial",0.5,0))</f>
        <v>0</v>
      </c>
      <c r="AS196" s="98">
        <f>IF(AF196="Sí",1,IF(AF196="Parcial",0.5,0))+IF(AG196="Sí",1,IF(AG196="Parcial",0.5,0))+IF(AH196="Sí",1,IF(AH196="Parcial",0.5,0))</f>
        <v>0</v>
      </c>
      <c r="AT196" s="99">
        <f>IF(AI196="Sí",1,IF(AI196="Parcial",0.5,0))+IF(AJ196="Sí",1,IF(AJ196="Parcial",0.5,0))+IF(AK196="Sí",1,IF(AK196="Parcial",0.5,0))</f>
        <v>0</v>
      </c>
      <c r="AU196" s="100">
        <f>SUM(AL196,AM196,AN196,AO196,AP196,AQ196,AR196,AS196,AT196)</f>
        <v>0</v>
      </c>
      <c r="AV196" s="54" t="str">
        <f>IF(A196="","",IF((IF(AL196&gt;=1,1,0)+IF(AM196&gt;=1,1,0)+IF(AN196&gt;=1,1,0)+IF(AO196&gt;=1,1,0)+IF(AP196&gt;=1,1,0)+IF(AQ196&gt;=1,1,0)+IF(AR196&gt;=1,1,0)+IF(AS196&gt;=1,1,0)+IF(AT196&gt;=1,1,0))&gt;=5,"Diversificado (5+ verticales)",IF((IF(AL196&gt;=1,1,0)+IF(AM196&gt;=1,1,0)+IF(AN196&gt;=1,1,0)+IF(AO196&gt;=1,1,0)+IF(AP196&gt;=1,1,0)+IF(AQ196&gt;=1,1,0)+IF(AR196&gt;=1,1,0)+IF(AS196&gt;=1,1,0)+IF(AT196&gt;=1,1,0))&gt;=3,"Multi-capacidad (3-4 verticales)",IF((IF(AL196&gt;=1,1,0)+IF(AM196&gt;=1,1,0)+IF(AN196&gt;=1,1,0)+IF(AO196&gt;=1,1,0)+IF(AP196&gt;=1,1,0)+IF(AQ196&gt;=1,1,0)+IF(AR196&gt;=1,1,0)+IF(AS196&gt;=1,1,0)+IF(AT196&gt;=1,1,0))&gt;=1,"Especialista (1-2 verticales)","Sin función mapeada"))))</f>
        <v/>
      </c>
    </row>
    <row r="197" spans="3:48" ht="15" customHeight="1" x14ac:dyDescent="0.2">
      <c r="C197" s="53" t="str">
        <f>IF(A197="","",IFERROR(INDEX('UNIVERSO MAESTRO'!$C$6:$C$497,MATCH(A197,'UNIVERSO MAESTRO'!$A$6:$A$497,0)),"⚠ ID no encontrado"))</f>
        <v/>
      </c>
      <c r="D197" s="54" t="str">
        <f>IF(A197="","",IFERROR(INDEX('UNIVERSO MAESTRO'!$D$6:$D$497,MATCH(A197,'UNIVERSO MAESTRO'!$A$6:$A$497,0)),""))</f>
        <v/>
      </c>
      <c r="AL197" s="91">
        <f>IF(E197="Sí",1,IF(E197="Parcial",0.5,0))+IF(F197="Sí",1,IF(F197="Parcial",0.5,0))+IF(G197="Sí",1,IF(G197="Parcial",0.5,0))+IF(H197="Sí",1,IF(H197="Parcial",0.5,0))</f>
        <v>0</v>
      </c>
      <c r="AM197" s="92">
        <f>IF(I197="Sí",1,IF(I197="Parcial",0.5,0))+IF(J197="Sí",1,IF(J197="Parcial",0.5,0))+IF(K197="Sí",1,IF(K197="Parcial",0.5,0))</f>
        <v>0</v>
      </c>
      <c r="AN197" s="93">
        <f>IF(L197="Sí",1,IF(L197="Parcial",0.5,0))+IF(M197="Sí",1,IF(M197="Parcial",0.5,0))+IF(N197="Sí",1,IF(N197="Parcial",0.5,0))+IF(O197="Sí",1,IF(O197="Parcial",0.5,0))</f>
        <v>0</v>
      </c>
      <c r="AO197" s="94">
        <f>IF(P197="Sí",1,IF(P197="Parcial",0.5,0))+IF(Q197="Sí",1,IF(Q197="Parcial",0.5,0))+IF(R197="Sí",1,IF(R197="Parcial",0.5,0))+IF(S197="Sí",1,IF(S197="Parcial",0.5,0))+IF(T197="Sí",1,IF(T197="Parcial",0.5,0))+IF(U197="Sí",1,IF(U197="Parcial",0.5,0))</f>
        <v>0</v>
      </c>
      <c r="AP197" s="95">
        <f>IF(V197="Sí",1,IF(V197="Parcial",0.5,0))+IF(W197="Sí",1,IF(W197="Parcial",0.5,0))+IF(X197="Sí",1,IF(X197="Parcial",0.5,0))+IF(Y197="Sí",1,IF(Y197="Parcial",0.5,0))</f>
        <v>0</v>
      </c>
      <c r="AQ197" s="96">
        <f>IF(Z197="Sí",1,IF(Z197="Parcial",0.5,0))+IF(AA197="Sí",1,IF(AA197="Parcial",0.5,0))+IF(AB197="Sí",1,IF(AB197="Parcial",0.5,0))</f>
        <v>0</v>
      </c>
      <c r="AR197" s="97">
        <f>IF(AC197="Sí",1,IF(AC197="Parcial",0.5,0))+IF(AD197="Sí",1,IF(AD197="Parcial",0.5,0))+IF(AE197="Sí",1,IF(AE197="Parcial",0.5,0))</f>
        <v>0</v>
      </c>
      <c r="AS197" s="98">
        <f>IF(AF197="Sí",1,IF(AF197="Parcial",0.5,0))+IF(AG197="Sí",1,IF(AG197="Parcial",0.5,0))+IF(AH197="Sí",1,IF(AH197="Parcial",0.5,0))</f>
        <v>0</v>
      </c>
      <c r="AT197" s="99">
        <f>IF(AI197="Sí",1,IF(AI197="Parcial",0.5,0))+IF(AJ197="Sí",1,IF(AJ197="Parcial",0.5,0))+IF(AK197="Sí",1,IF(AK197="Parcial",0.5,0))</f>
        <v>0</v>
      </c>
      <c r="AU197" s="100">
        <f>SUM(AL197,AM197,AN197,AO197,AP197,AQ197,AR197,AS197,AT197)</f>
        <v>0</v>
      </c>
      <c r="AV197" s="54" t="str">
        <f>IF(A197="","",IF((IF(AL197&gt;=1,1,0)+IF(AM197&gt;=1,1,0)+IF(AN197&gt;=1,1,0)+IF(AO197&gt;=1,1,0)+IF(AP197&gt;=1,1,0)+IF(AQ197&gt;=1,1,0)+IF(AR197&gt;=1,1,0)+IF(AS197&gt;=1,1,0)+IF(AT197&gt;=1,1,0))&gt;=5,"Diversificado (5+ verticales)",IF((IF(AL197&gt;=1,1,0)+IF(AM197&gt;=1,1,0)+IF(AN197&gt;=1,1,0)+IF(AO197&gt;=1,1,0)+IF(AP197&gt;=1,1,0)+IF(AQ197&gt;=1,1,0)+IF(AR197&gt;=1,1,0)+IF(AS197&gt;=1,1,0)+IF(AT197&gt;=1,1,0))&gt;=3,"Multi-capacidad (3-4 verticales)",IF((IF(AL197&gt;=1,1,0)+IF(AM197&gt;=1,1,0)+IF(AN197&gt;=1,1,0)+IF(AO197&gt;=1,1,0)+IF(AP197&gt;=1,1,0)+IF(AQ197&gt;=1,1,0)+IF(AR197&gt;=1,1,0)+IF(AS197&gt;=1,1,0)+IF(AT197&gt;=1,1,0))&gt;=1,"Especialista (1-2 verticales)","Sin función mapeada"))))</f>
        <v/>
      </c>
    </row>
    <row r="198" spans="3:48" ht="15" customHeight="1" x14ac:dyDescent="0.2">
      <c r="C198" s="53" t="str">
        <f>IF(A198="","",IFERROR(INDEX('UNIVERSO MAESTRO'!$C$6:$C$497,MATCH(A198,'UNIVERSO MAESTRO'!$A$6:$A$497,0)),"⚠ ID no encontrado"))</f>
        <v/>
      </c>
      <c r="D198" s="54" t="str">
        <f>IF(A198="","",IFERROR(INDEX('UNIVERSO MAESTRO'!$D$6:$D$497,MATCH(A198,'UNIVERSO MAESTRO'!$A$6:$A$497,0)),""))</f>
        <v/>
      </c>
      <c r="AL198" s="91">
        <f>IF(E198="Sí",1,IF(E198="Parcial",0.5,0))+IF(F198="Sí",1,IF(F198="Parcial",0.5,0))+IF(G198="Sí",1,IF(G198="Parcial",0.5,0))+IF(H198="Sí",1,IF(H198="Parcial",0.5,0))</f>
        <v>0</v>
      </c>
      <c r="AM198" s="92">
        <f>IF(I198="Sí",1,IF(I198="Parcial",0.5,0))+IF(J198="Sí",1,IF(J198="Parcial",0.5,0))+IF(K198="Sí",1,IF(K198="Parcial",0.5,0))</f>
        <v>0</v>
      </c>
      <c r="AN198" s="93">
        <f>IF(L198="Sí",1,IF(L198="Parcial",0.5,0))+IF(M198="Sí",1,IF(M198="Parcial",0.5,0))+IF(N198="Sí",1,IF(N198="Parcial",0.5,0))+IF(O198="Sí",1,IF(O198="Parcial",0.5,0))</f>
        <v>0</v>
      </c>
      <c r="AO198" s="94">
        <f>IF(P198="Sí",1,IF(P198="Parcial",0.5,0))+IF(Q198="Sí",1,IF(Q198="Parcial",0.5,0))+IF(R198="Sí",1,IF(R198="Parcial",0.5,0))+IF(S198="Sí",1,IF(S198="Parcial",0.5,0))+IF(T198="Sí",1,IF(T198="Parcial",0.5,0))+IF(U198="Sí",1,IF(U198="Parcial",0.5,0))</f>
        <v>0</v>
      </c>
      <c r="AP198" s="95">
        <f>IF(V198="Sí",1,IF(V198="Parcial",0.5,0))+IF(W198="Sí",1,IF(W198="Parcial",0.5,0))+IF(X198="Sí",1,IF(X198="Parcial",0.5,0))+IF(Y198="Sí",1,IF(Y198="Parcial",0.5,0))</f>
        <v>0</v>
      </c>
      <c r="AQ198" s="96">
        <f>IF(Z198="Sí",1,IF(Z198="Parcial",0.5,0))+IF(AA198="Sí",1,IF(AA198="Parcial",0.5,0))+IF(AB198="Sí",1,IF(AB198="Parcial",0.5,0))</f>
        <v>0</v>
      </c>
      <c r="AR198" s="97">
        <f>IF(AC198="Sí",1,IF(AC198="Parcial",0.5,0))+IF(AD198="Sí",1,IF(AD198="Parcial",0.5,0))+IF(AE198="Sí",1,IF(AE198="Parcial",0.5,0))</f>
        <v>0</v>
      </c>
      <c r="AS198" s="98">
        <f>IF(AF198="Sí",1,IF(AF198="Parcial",0.5,0))+IF(AG198="Sí",1,IF(AG198="Parcial",0.5,0))+IF(AH198="Sí",1,IF(AH198="Parcial",0.5,0))</f>
        <v>0</v>
      </c>
      <c r="AT198" s="99">
        <f>IF(AI198="Sí",1,IF(AI198="Parcial",0.5,0))+IF(AJ198="Sí",1,IF(AJ198="Parcial",0.5,0))+IF(AK198="Sí",1,IF(AK198="Parcial",0.5,0))</f>
        <v>0</v>
      </c>
      <c r="AU198" s="100">
        <f>SUM(AL198,AM198,AN198,AO198,AP198,AQ198,AR198,AS198,AT198)</f>
        <v>0</v>
      </c>
      <c r="AV198" s="54" t="str">
        <f>IF(A198="","",IF((IF(AL198&gt;=1,1,0)+IF(AM198&gt;=1,1,0)+IF(AN198&gt;=1,1,0)+IF(AO198&gt;=1,1,0)+IF(AP198&gt;=1,1,0)+IF(AQ198&gt;=1,1,0)+IF(AR198&gt;=1,1,0)+IF(AS198&gt;=1,1,0)+IF(AT198&gt;=1,1,0))&gt;=5,"Diversificado (5+ verticales)",IF((IF(AL198&gt;=1,1,0)+IF(AM198&gt;=1,1,0)+IF(AN198&gt;=1,1,0)+IF(AO198&gt;=1,1,0)+IF(AP198&gt;=1,1,0)+IF(AQ198&gt;=1,1,0)+IF(AR198&gt;=1,1,0)+IF(AS198&gt;=1,1,0)+IF(AT198&gt;=1,1,0))&gt;=3,"Multi-capacidad (3-4 verticales)",IF((IF(AL198&gt;=1,1,0)+IF(AM198&gt;=1,1,0)+IF(AN198&gt;=1,1,0)+IF(AO198&gt;=1,1,0)+IF(AP198&gt;=1,1,0)+IF(AQ198&gt;=1,1,0)+IF(AR198&gt;=1,1,0)+IF(AS198&gt;=1,1,0)+IF(AT198&gt;=1,1,0))&gt;=1,"Especialista (1-2 verticales)","Sin función mapeada"))))</f>
        <v/>
      </c>
    </row>
    <row r="199" spans="3:48" ht="15" customHeight="1" x14ac:dyDescent="0.2">
      <c r="C199" s="53" t="str">
        <f>IF(A199="","",IFERROR(INDEX('UNIVERSO MAESTRO'!$C$6:$C$497,MATCH(A199,'UNIVERSO MAESTRO'!$A$6:$A$497,0)),"⚠ ID no encontrado"))</f>
        <v/>
      </c>
      <c r="D199" s="54" t="str">
        <f>IF(A199="","",IFERROR(INDEX('UNIVERSO MAESTRO'!$D$6:$D$497,MATCH(A199,'UNIVERSO MAESTRO'!$A$6:$A$497,0)),""))</f>
        <v/>
      </c>
      <c r="AL199" s="91">
        <f>IF(E199="Sí",1,IF(E199="Parcial",0.5,0))+IF(F199="Sí",1,IF(F199="Parcial",0.5,0))+IF(G199="Sí",1,IF(G199="Parcial",0.5,0))+IF(H199="Sí",1,IF(H199="Parcial",0.5,0))</f>
        <v>0</v>
      </c>
      <c r="AM199" s="92">
        <f>IF(I199="Sí",1,IF(I199="Parcial",0.5,0))+IF(J199="Sí",1,IF(J199="Parcial",0.5,0))+IF(K199="Sí",1,IF(K199="Parcial",0.5,0))</f>
        <v>0</v>
      </c>
      <c r="AN199" s="93">
        <f>IF(L199="Sí",1,IF(L199="Parcial",0.5,0))+IF(M199="Sí",1,IF(M199="Parcial",0.5,0))+IF(N199="Sí",1,IF(N199="Parcial",0.5,0))+IF(O199="Sí",1,IF(O199="Parcial",0.5,0))</f>
        <v>0</v>
      </c>
      <c r="AO199" s="94">
        <f>IF(P199="Sí",1,IF(P199="Parcial",0.5,0))+IF(Q199="Sí",1,IF(Q199="Parcial",0.5,0))+IF(R199="Sí",1,IF(R199="Parcial",0.5,0))+IF(S199="Sí",1,IF(S199="Parcial",0.5,0))+IF(T199="Sí",1,IF(T199="Parcial",0.5,0))+IF(U199="Sí",1,IF(U199="Parcial",0.5,0))</f>
        <v>0</v>
      </c>
      <c r="AP199" s="95">
        <f>IF(V199="Sí",1,IF(V199="Parcial",0.5,0))+IF(W199="Sí",1,IF(W199="Parcial",0.5,0))+IF(X199="Sí",1,IF(X199="Parcial",0.5,0))+IF(Y199="Sí",1,IF(Y199="Parcial",0.5,0))</f>
        <v>0</v>
      </c>
      <c r="AQ199" s="96">
        <f>IF(Z199="Sí",1,IF(Z199="Parcial",0.5,0))+IF(AA199="Sí",1,IF(AA199="Parcial",0.5,0))+IF(AB199="Sí",1,IF(AB199="Parcial",0.5,0))</f>
        <v>0</v>
      </c>
      <c r="AR199" s="97">
        <f>IF(AC199="Sí",1,IF(AC199="Parcial",0.5,0))+IF(AD199="Sí",1,IF(AD199="Parcial",0.5,0))+IF(AE199="Sí",1,IF(AE199="Parcial",0.5,0))</f>
        <v>0</v>
      </c>
      <c r="AS199" s="98">
        <f>IF(AF199="Sí",1,IF(AF199="Parcial",0.5,0))+IF(AG199="Sí",1,IF(AG199="Parcial",0.5,0))+IF(AH199="Sí",1,IF(AH199="Parcial",0.5,0))</f>
        <v>0</v>
      </c>
      <c r="AT199" s="99">
        <f>IF(AI199="Sí",1,IF(AI199="Parcial",0.5,0))+IF(AJ199="Sí",1,IF(AJ199="Parcial",0.5,0))+IF(AK199="Sí",1,IF(AK199="Parcial",0.5,0))</f>
        <v>0</v>
      </c>
      <c r="AU199" s="100">
        <f>SUM(AL199,AM199,AN199,AO199,AP199,AQ199,AR199,AS199,AT199)</f>
        <v>0</v>
      </c>
      <c r="AV199" s="54" t="str">
        <f>IF(A199="","",IF((IF(AL199&gt;=1,1,0)+IF(AM199&gt;=1,1,0)+IF(AN199&gt;=1,1,0)+IF(AO199&gt;=1,1,0)+IF(AP199&gt;=1,1,0)+IF(AQ199&gt;=1,1,0)+IF(AR199&gt;=1,1,0)+IF(AS199&gt;=1,1,0)+IF(AT199&gt;=1,1,0))&gt;=5,"Diversificado (5+ verticales)",IF((IF(AL199&gt;=1,1,0)+IF(AM199&gt;=1,1,0)+IF(AN199&gt;=1,1,0)+IF(AO199&gt;=1,1,0)+IF(AP199&gt;=1,1,0)+IF(AQ199&gt;=1,1,0)+IF(AR199&gt;=1,1,0)+IF(AS199&gt;=1,1,0)+IF(AT199&gt;=1,1,0))&gt;=3,"Multi-capacidad (3-4 verticales)",IF((IF(AL199&gt;=1,1,0)+IF(AM199&gt;=1,1,0)+IF(AN199&gt;=1,1,0)+IF(AO199&gt;=1,1,0)+IF(AP199&gt;=1,1,0)+IF(AQ199&gt;=1,1,0)+IF(AR199&gt;=1,1,0)+IF(AS199&gt;=1,1,0)+IF(AT199&gt;=1,1,0))&gt;=1,"Especialista (1-2 verticales)","Sin función mapeada"))))</f>
        <v/>
      </c>
    </row>
    <row r="200" spans="3:48" ht="15" customHeight="1" x14ac:dyDescent="0.2">
      <c r="C200" s="53" t="str">
        <f>IF(A200="","",IFERROR(INDEX('UNIVERSO MAESTRO'!$C$6:$C$497,MATCH(A200,'UNIVERSO MAESTRO'!$A$6:$A$497,0)),"⚠ ID no encontrado"))</f>
        <v/>
      </c>
      <c r="D200" s="54" t="str">
        <f>IF(A200="","",IFERROR(INDEX('UNIVERSO MAESTRO'!$D$6:$D$497,MATCH(A200,'UNIVERSO MAESTRO'!$A$6:$A$497,0)),""))</f>
        <v/>
      </c>
      <c r="AL200" s="91">
        <f>IF(E200="Sí",1,IF(E200="Parcial",0.5,0))+IF(F200="Sí",1,IF(F200="Parcial",0.5,0))+IF(G200="Sí",1,IF(G200="Parcial",0.5,0))+IF(H200="Sí",1,IF(H200="Parcial",0.5,0))</f>
        <v>0</v>
      </c>
      <c r="AM200" s="92">
        <f>IF(I200="Sí",1,IF(I200="Parcial",0.5,0))+IF(J200="Sí",1,IF(J200="Parcial",0.5,0))+IF(K200="Sí",1,IF(K200="Parcial",0.5,0))</f>
        <v>0</v>
      </c>
      <c r="AN200" s="93">
        <f>IF(L200="Sí",1,IF(L200="Parcial",0.5,0))+IF(M200="Sí",1,IF(M200="Parcial",0.5,0))+IF(N200="Sí",1,IF(N200="Parcial",0.5,0))+IF(O200="Sí",1,IF(O200="Parcial",0.5,0))</f>
        <v>0</v>
      </c>
      <c r="AO200" s="94">
        <f>IF(P200="Sí",1,IF(P200="Parcial",0.5,0))+IF(Q200="Sí",1,IF(Q200="Parcial",0.5,0))+IF(R200="Sí",1,IF(R200="Parcial",0.5,0))+IF(S200="Sí",1,IF(S200="Parcial",0.5,0))+IF(T200="Sí",1,IF(T200="Parcial",0.5,0))+IF(U200="Sí",1,IF(U200="Parcial",0.5,0))</f>
        <v>0</v>
      </c>
      <c r="AP200" s="95">
        <f>IF(V200="Sí",1,IF(V200="Parcial",0.5,0))+IF(W200="Sí",1,IF(W200="Parcial",0.5,0))+IF(X200="Sí",1,IF(X200="Parcial",0.5,0))+IF(Y200="Sí",1,IF(Y200="Parcial",0.5,0))</f>
        <v>0</v>
      </c>
      <c r="AQ200" s="96">
        <f>IF(Z200="Sí",1,IF(Z200="Parcial",0.5,0))+IF(AA200="Sí",1,IF(AA200="Parcial",0.5,0))+IF(AB200="Sí",1,IF(AB200="Parcial",0.5,0))</f>
        <v>0</v>
      </c>
      <c r="AR200" s="97">
        <f>IF(AC200="Sí",1,IF(AC200="Parcial",0.5,0))+IF(AD200="Sí",1,IF(AD200="Parcial",0.5,0))+IF(AE200="Sí",1,IF(AE200="Parcial",0.5,0))</f>
        <v>0</v>
      </c>
      <c r="AS200" s="98">
        <f>IF(AF200="Sí",1,IF(AF200="Parcial",0.5,0))+IF(AG200="Sí",1,IF(AG200="Parcial",0.5,0))+IF(AH200="Sí",1,IF(AH200="Parcial",0.5,0))</f>
        <v>0</v>
      </c>
      <c r="AT200" s="99">
        <f>IF(AI200="Sí",1,IF(AI200="Parcial",0.5,0))+IF(AJ200="Sí",1,IF(AJ200="Parcial",0.5,0))+IF(AK200="Sí",1,IF(AK200="Parcial",0.5,0))</f>
        <v>0</v>
      </c>
      <c r="AU200" s="100">
        <f>SUM(AL200,AM200,AN200,AO200,AP200,AQ200,AR200,AS200,AT200)</f>
        <v>0</v>
      </c>
      <c r="AV200" s="54" t="str">
        <f>IF(A200="","",IF((IF(AL200&gt;=1,1,0)+IF(AM200&gt;=1,1,0)+IF(AN200&gt;=1,1,0)+IF(AO200&gt;=1,1,0)+IF(AP200&gt;=1,1,0)+IF(AQ200&gt;=1,1,0)+IF(AR200&gt;=1,1,0)+IF(AS200&gt;=1,1,0)+IF(AT200&gt;=1,1,0))&gt;=5,"Diversificado (5+ verticales)",IF((IF(AL200&gt;=1,1,0)+IF(AM200&gt;=1,1,0)+IF(AN200&gt;=1,1,0)+IF(AO200&gt;=1,1,0)+IF(AP200&gt;=1,1,0)+IF(AQ200&gt;=1,1,0)+IF(AR200&gt;=1,1,0)+IF(AS200&gt;=1,1,0)+IF(AT200&gt;=1,1,0))&gt;=3,"Multi-capacidad (3-4 verticales)",IF((IF(AL200&gt;=1,1,0)+IF(AM200&gt;=1,1,0)+IF(AN200&gt;=1,1,0)+IF(AO200&gt;=1,1,0)+IF(AP200&gt;=1,1,0)+IF(AQ200&gt;=1,1,0)+IF(AR200&gt;=1,1,0)+IF(AS200&gt;=1,1,0)+IF(AT200&gt;=1,1,0))&gt;=1,"Especialista (1-2 verticales)","Sin función mapeada"))))</f>
        <v/>
      </c>
    </row>
    <row r="201" spans="3:48" ht="15" customHeight="1" x14ac:dyDescent="0.2">
      <c r="C201" s="53" t="str">
        <f>IF(A201="","",IFERROR(INDEX('UNIVERSO MAESTRO'!$C$6:$C$497,MATCH(A201,'UNIVERSO MAESTRO'!$A$6:$A$497,0)),"⚠ ID no encontrado"))</f>
        <v/>
      </c>
      <c r="D201" s="54" t="str">
        <f>IF(A201="","",IFERROR(INDEX('UNIVERSO MAESTRO'!$D$6:$D$497,MATCH(A201,'UNIVERSO MAESTRO'!$A$6:$A$497,0)),""))</f>
        <v/>
      </c>
      <c r="AL201" s="91">
        <f>IF(E201="Sí",1,IF(E201="Parcial",0.5,0))+IF(F201="Sí",1,IF(F201="Parcial",0.5,0))+IF(G201="Sí",1,IF(G201="Parcial",0.5,0))+IF(H201="Sí",1,IF(H201="Parcial",0.5,0))</f>
        <v>0</v>
      </c>
      <c r="AM201" s="92">
        <f>IF(I201="Sí",1,IF(I201="Parcial",0.5,0))+IF(J201="Sí",1,IF(J201="Parcial",0.5,0))+IF(K201="Sí",1,IF(K201="Parcial",0.5,0))</f>
        <v>0</v>
      </c>
      <c r="AN201" s="93">
        <f>IF(L201="Sí",1,IF(L201="Parcial",0.5,0))+IF(M201="Sí",1,IF(M201="Parcial",0.5,0))+IF(N201="Sí",1,IF(N201="Parcial",0.5,0))+IF(O201="Sí",1,IF(O201="Parcial",0.5,0))</f>
        <v>0</v>
      </c>
      <c r="AO201" s="94">
        <f>IF(P201="Sí",1,IF(P201="Parcial",0.5,0))+IF(Q201="Sí",1,IF(Q201="Parcial",0.5,0))+IF(R201="Sí",1,IF(R201="Parcial",0.5,0))+IF(S201="Sí",1,IF(S201="Parcial",0.5,0))+IF(T201="Sí",1,IF(T201="Parcial",0.5,0))+IF(U201="Sí",1,IF(U201="Parcial",0.5,0))</f>
        <v>0</v>
      </c>
      <c r="AP201" s="95">
        <f>IF(V201="Sí",1,IF(V201="Parcial",0.5,0))+IF(W201="Sí",1,IF(W201="Parcial",0.5,0))+IF(X201="Sí",1,IF(X201="Parcial",0.5,0))+IF(Y201="Sí",1,IF(Y201="Parcial",0.5,0))</f>
        <v>0</v>
      </c>
      <c r="AQ201" s="96">
        <f>IF(Z201="Sí",1,IF(Z201="Parcial",0.5,0))+IF(AA201="Sí",1,IF(AA201="Parcial",0.5,0))+IF(AB201="Sí",1,IF(AB201="Parcial",0.5,0))</f>
        <v>0</v>
      </c>
      <c r="AR201" s="97">
        <f>IF(AC201="Sí",1,IF(AC201="Parcial",0.5,0))+IF(AD201="Sí",1,IF(AD201="Parcial",0.5,0))+IF(AE201="Sí",1,IF(AE201="Parcial",0.5,0))</f>
        <v>0</v>
      </c>
      <c r="AS201" s="98">
        <f>IF(AF201="Sí",1,IF(AF201="Parcial",0.5,0))+IF(AG201="Sí",1,IF(AG201="Parcial",0.5,0))+IF(AH201="Sí",1,IF(AH201="Parcial",0.5,0))</f>
        <v>0</v>
      </c>
      <c r="AT201" s="99">
        <f>IF(AI201="Sí",1,IF(AI201="Parcial",0.5,0))+IF(AJ201="Sí",1,IF(AJ201="Parcial",0.5,0))+IF(AK201="Sí",1,IF(AK201="Parcial",0.5,0))</f>
        <v>0</v>
      </c>
      <c r="AU201" s="100">
        <f>SUM(AL201,AM201,AN201,AO201,AP201,AQ201,AR201,AS201,AT201)</f>
        <v>0</v>
      </c>
      <c r="AV201" s="54" t="str">
        <f>IF(A201="","",IF((IF(AL201&gt;=1,1,0)+IF(AM201&gt;=1,1,0)+IF(AN201&gt;=1,1,0)+IF(AO201&gt;=1,1,0)+IF(AP201&gt;=1,1,0)+IF(AQ201&gt;=1,1,0)+IF(AR201&gt;=1,1,0)+IF(AS201&gt;=1,1,0)+IF(AT201&gt;=1,1,0))&gt;=5,"Diversificado (5+ verticales)",IF((IF(AL201&gt;=1,1,0)+IF(AM201&gt;=1,1,0)+IF(AN201&gt;=1,1,0)+IF(AO201&gt;=1,1,0)+IF(AP201&gt;=1,1,0)+IF(AQ201&gt;=1,1,0)+IF(AR201&gt;=1,1,0)+IF(AS201&gt;=1,1,0)+IF(AT201&gt;=1,1,0))&gt;=3,"Multi-capacidad (3-4 verticales)",IF((IF(AL201&gt;=1,1,0)+IF(AM201&gt;=1,1,0)+IF(AN201&gt;=1,1,0)+IF(AO201&gt;=1,1,0)+IF(AP201&gt;=1,1,0)+IF(AQ201&gt;=1,1,0)+IF(AR201&gt;=1,1,0)+IF(AS201&gt;=1,1,0)+IF(AT201&gt;=1,1,0))&gt;=1,"Especialista (1-2 verticales)","Sin función mapeada"))))</f>
        <v/>
      </c>
    </row>
    <row r="202" spans="3:48" ht="15" customHeight="1" x14ac:dyDescent="0.2">
      <c r="C202" s="53" t="str">
        <f>IF(A202="","",IFERROR(INDEX('UNIVERSO MAESTRO'!$C$6:$C$497,MATCH(A202,'UNIVERSO MAESTRO'!$A$6:$A$497,0)),"⚠ ID no encontrado"))</f>
        <v/>
      </c>
      <c r="D202" s="54" t="str">
        <f>IF(A202="","",IFERROR(INDEX('UNIVERSO MAESTRO'!$D$6:$D$497,MATCH(A202,'UNIVERSO MAESTRO'!$A$6:$A$497,0)),""))</f>
        <v/>
      </c>
      <c r="AL202" s="91">
        <f>IF(E202="Sí",1,IF(E202="Parcial",0.5,0))+IF(F202="Sí",1,IF(F202="Parcial",0.5,0))+IF(G202="Sí",1,IF(G202="Parcial",0.5,0))+IF(H202="Sí",1,IF(H202="Parcial",0.5,0))</f>
        <v>0</v>
      </c>
      <c r="AM202" s="92">
        <f>IF(I202="Sí",1,IF(I202="Parcial",0.5,0))+IF(J202="Sí",1,IF(J202="Parcial",0.5,0))+IF(K202="Sí",1,IF(K202="Parcial",0.5,0))</f>
        <v>0</v>
      </c>
      <c r="AN202" s="93">
        <f>IF(L202="Sí",1,IF(L202="Parcial",0.5,0))+IF(M202="Sí",1,IF(M202="Parcial",0.5,0))+IF(N202="Sí",1,IF(N202="Parcial",0.5,0))+IF(O202="Sí",1,IF(O202="Parcial",0.5,0))</f>
        <v>0</v>
      </c>
      <c r="AO202" s="94">
        <f>IF(P202="Sí",1,IF(P202="Parcial",0.5,0))+IF(Q202="Sí",1,IF(Q202="Parcial",0.5,0))+IF(R202="Sí",1,IF(R202="Parcial",0.5,0))+IF(S202="Sí",1,IF(S202="Parcial",0.5,0))+IF(T202="Sí",1,IF(T202="Parcial",0.5,0))+IF(U202="Sí",1,IF(U202="Parcial",0.5,0))</f>
        <v>0</v>
      </c>
      <c r="AP202" s="95">
        <f>IF(V202="Sí",1,IF(V202="Parcial",0.5,0))+IF(W202="Sí",1,IF(W202="Parcial",0.5,0))+IF(X202="Sí",1,IF(X202="Parcial",0.5,0))+IF(Y202="Sí",1,IF(Y202="Parcial",0.5,0))</f>
        <v>0</v>
      </c>
      <c r="AQ202" s="96">
        <f>IF(Z202="Sí",1,IF(Z202="Parcial",0.5,0))+IF(AA202="Sí",1,IF(AA202="Parcial",0.5,0))+IF(AB202="Sí",1,IF(AB202="Parcial",0.5,0))</f>
        <v>0</v>
      </c>
      <c r="AR202" s="97">
        <f>IF(AC202="Sí",1,IF(AC202="Parcial",0.5,0))+IF(AD202="Sí",1,IF(AD202="Parcial",0.5,0))+IF(AE202="Sí",1,IF(AE202="Parcial",0.5,0))</f>
        <v>0</v>
      </c>
      <c r="AS202" s="98">
        <f>IF(AF202="Sí",1,IF(AF202="Parcial",0.5,0))+IF(AG202="Sí",1,IF(AG202="Parcial",0.5,0))+IF(AH202="Sí",1,IF(AH202="Parcial",0.5,0))</f>
        <v>0</v>
      </c>
      <c r="AT202" s="99">
        <f>IF(AI202="Sí",1,IF(AI202="Parcial",0.5,0))+IF(AJ202="Sí",1,IF(AJ202="Parcial",0.5,0))+IF(AK202="Sí",1,IF(AK202="Parcial",0.5,0))</f>
        <v>0</v>
      </c>
      <c r="AU202" s="100">
        <f>SUM(AL202,AM202,AN202,AO202,AP202,AQ202,AR202,AS202,AT202)</f>
        <v>0</v>
      </c>
      <c r="AV202" s="54" t="str">
        <f>IF(A202="","",IF((IF(AL202&gt;=1,1,0)+IF(AM202&gt;=1,1,0)+IF(AN202&gt;=1,1,0)+IF(AO202&gt;=1,1,0)+IF(AP202&gt;=1,1,0)+IF(AQ202&gt;=1,1,0)+IF(AR202&gt;=1,1,0)+IF(AS202&gt;=1,1,0)+IF(AT202&gt;=1,1,0))&gt;=5,"Diversificado (5+ verticales)",IF((IF(AL202&gt;=1,1,0)+IF(AM202&gt;=1,1,0)+IF(AN202&gt;=1,1,0)+IF(AO202&gt;=1,1,0)+IF(AP202&gt;=1,1,0)+IF(AQ202&gt;=1,1,0)+IF(AR202&gt;=1,1,0)+IF(AS202&gt;=1,1,0)+IF(AT202&gt;=1,1,0))&gt;=3,"Multi-capacidad (3-4 verticales)",IF((IF(AL202&gt;=1,1,0)+IF(AM202&gt;=1,1,0)+IF(AN202&gt;=1,1,0)+IF(AO202&gt;=1,1,0)+IF(AP202&gt;=1,1,0)+IF(AQ202&gt;=1,1,0)+IF(AR202&gt;=1,1,0)+IF(AS202&gt;=1,1,0)+IF(AT202&gt;=1,1,0))&gt;=1,"Especialista (1-2 verticales)","Sin función mapeada"))))</f>
        <v/>
      </c>
    </row>
    <row r="203" spans="3:48" ht="15" customHeight="1" x14ac:dyDescent="0.2">
      <c r="C203" s="53" t="str">
        <f>IF(A203="","",IFERROR(INDEX('UNIVERSO MAESTRO'!$C$6:$C$497,MATCH(A203,'UNIVERSO MAESTRO'!$A$6:$A$497,0)),"⚠ ID no encontrado"))</f>
        <v/>
      </c>
      <c r="D203" s="54" t="str">
        <f>IF(A203="","",IFERROR(INDEX('UNIVERSO MAESTRO'!$D$6:$D$497,MATCH(A203,'UNIVERSO MAESTRO'!$A$6:$A$497,0)),""))</f>
        <v/>
      </c>
      <c r="AL203" s="91">
        <f>IF(E203="Sí",1,IF(E203="Parcial",0.5,0))+IF(F203="Sí",1,IF(F203="Parcial",0.5,0))+IF(G203="Sí",1,IF(G203="Parcial",0.5,0))+IF(H203="Sí",1,IF(H203="Parcial",0.5,0))</f>
        <v>0</v>
      </c>
      <c r="AM203" s="92">
        <f>IF(I203="Sí",1,IF(I203="Parcial",0.5,0))+IF(J203="Sí",1,IF(J203="Parcial",0.5,0))+IF(K203="Sí",1,IF(K203="Parcial",0.5,0))</f>
        <v>0</v>
      </c>
      <c r="AN203" s="93">
        <f>IF(L203="Sí",1,IF(L203="Parcial",0.5,0))+IF(M203="Sí",1,IF(M203="Parcial",0.5,0))+IF(N203="Sí",1,IF(N203="Parcial",0.5,0))+IF(O203="Sí",1,IF(O203="Parcial",0.5,0))</f>
        <v>0</v>
      </c>
      <c r="AO203" s="94">
        <f>IF(P203="Sí",1,IF(P203="Parcial",0.5,0))+IF(Q203="Sí",1,IF(Q203="Parcial",0.5,0))+IF(R203="Sí",1,IF(R203="Parcial",0.5,0))+IF(S203="Sí",1,IF(S203="Parcial",0.5,0))+IF(T203="Sí",1,IF(T203="Parcial",0.5,0))+IF(U203="Sí",1,IF(U203="Parcial",0.5,0))</f>
        <v>0</v>
      </c>
      <c r="AP203" s="95">
        <f>IF(V203="Sí",1,IF(V203="Parcial",0.5,0))+IF(W203="Sí",1,IF(W203="Parcial",0.5,0))+IF(X203="Sí",1,IF(X203="Parcial",0.5,0))+IF(Y203="Sí",1,IF(Y203="Parcial",0.5,0))</f>
        <v>0</v>
      </c>
      <c r="AQ203" s="96">
        <f>IF(Z203="Sí",1,IF(Z203="Parcial",0.5,0))+IF(AA203="Sí",1,IF(AA203="Parcial",0.5,0))+IF(AB203="Sí",1,IF(AB203="Parcial",0.5,0))</f>
        <v>0</v>
      </c>
      <c r="AR203" s="97">
        <f>IF(AC203="Sí",1,IF(AC203="Parcial",0.5,0))+IF(AD203="Sí",1,IF(AD203="Parcial",0.5,0))+IF(AE203="Sí",1,IF(AE203="Parcial",0.5,0))</f>
        <v>0</v>
      </c>
      <c r="AS203" s="98">
        <f>IF(AF203="Sí",1,IF(AF203="Parcial",0.5,0))+IF(AG203="Sí",1,IF(AG203="Parcial",0.5,0))+IF(AH203="Sí",1,IF(AH203="Parcial",0.5,0))</f>
        <v>0</v>
      </c>
      <c r="AT203" s="99">
        <f>IF(AI203="Sí",1,IF(AI203="Parcial",0.5,0))+IF(AJ203="Sí",1,IF(AJ203="Parcial",0.5,0))+IF(AK203="Sí",1,IF(AK203="Parcial",0.5,0))</f>
        <v>0</v>
      </c>
      <c r="AU203" s="100">
        <f>SUM(AL203,AM203,AN203,AO203,AP203,AQ203,AR203,AS203,AT203)</f>
        <v>0</v>
      </c>
      <c r="AV203" s="54" t="str">
        <f>IF(A203="","",IF((IF(AL203&gt;=1,1,0)+IF(AM203&gt;=1,1,0)+IF(AN203&gt;=1,1,0)+IF(AO203&gt;=1,1,0)+IF(AP203&gt;=1,1,0)+IF(AQ203&gt;=1,1,0)+IF(AR203&gt;=1,1,0)+IF(AS203&gt;=1,1,0)+IF(AT203&gt;=1,1,0))&gt;=5,"Diversificado (5+ verticales)",IF((IF(AL203&gt;=1,1,0)+IF(AM203&gt;=1,1,0)+IF(AN203&gt;=1,1,0)+IF(AO203&gt;=1,1,0)+IF(AP203&gt;=1,1,0)+IF(AQ203&gt;=1,1,0)+IF(AR203&gt;=1,1,0)+IF(AS203&gt;=1,1,0)+IF(AT203&gt;=1,1,0))&gt;=3,"Multi-capacidad (3-4 verticales)",IF((IF(AL203&gt;=1,1,0)+IF(AM203&gt;=1,1,0)+IF(AN203&gt;=1,1,0)+IF(AO203&gt;=1,1,0)+IF(AP203&gt;=1,1,0)+IF(AQ203&gt;=1,1,0)+IF(AR203&gt;=1,1,0)+IF(AS203&gt;=1,1,0)+IF(AT203&gt;=1,1,0))&gt;=1,"Especialista (1-2 verticales)","Sin función mapeada"))))</f>
        <v/>
      </c>
    </row>
    <row r="204" spans="3:48" ht="15" customHeight="1" x14ac:dyDescent="0.2">
      <c r="C204" s="53" t="str">
        <f>IF(A204="","",IFERROR(INDEX('UNIVERSO MAESTRO'!$C$6:$C$497,MATCH(A204,'UNIVERSO MAESTRO'!$A$6:$A$497,0)),"⚠ ID no encontrado"))</f>
        <v/>
      </c>
      <c r="D204" s="54" t="str">
        <f>IF(A204="","",IFERROR(INDEX('UNIVERSO MAESTRO'!$D$6:$D$497,MATCH(A204,'UNIVERSO MAESTRO'!$A$6:$A$497,0)),""))</f>
        <v/>
      </c>
      <c r="AL204" s="91">
        <f>IF(E204="Sí",1,IF(E204="Parcial",0.5,0))+IF(F204="Sí",1,IF(F204="Parcial",0.5,0))+IF(G204="Sí",1,IF(G204="Parcial",0.5,0))+IF(H204="Sí",1,IF(H204="Parcial",0.5,0))</f>
        <v>0</v>
      </c>
      <c r="AM204" s="92">
        <f>IF(I204="Sí",1,IF(I204="Parcial",0.5,0))+IF(J204="Sí",1,IF(J204="Parcial",0.5,0))+IF(K204="Sí",1,IF(K204="Parcial",0.5,0))</f>
        <v>0</v>
      </c>
      <c r="AN204" s="93">
        <f>IF(L204="Sí",1,IF(L204="Parcial",0.5,0))+IF(M204="Sí",1,IF(M204="Parcial",0.5,0))+IF(N204="Sí",1,IF(N204="Parcial",0.5,0))+IF(O204="Sí",1,IF(O204="Parcial",0.5,0))</f>
        <v>0</v>
      </c>
      <c r="AO204" s="94">
        <f>IF(P204="Sí",1,IF(P204="Parcial",0.5,0))+IF(Q204="Sí",1,IF(Q204="Parcial",0.5,0))+IF(R204="Sí",1,IF(R204="Parcial",0.5,0))+IF(S204="Sí",1,IF(S204="Parcial",0.5,0))+IF(T204="Sí",1,IF(T204="Parcial",0.5,0))+IF(U204="Sí",1,IF(U204="Parcial",0.5,0))</f>
        <v>0</v>
      </c>
      <c r="AP204" s="95">
        <f>IF(V204="Sí",1,IF(V204="Parcial",0.5,0))+IF(W204="Sí",1,IF(W204="Parcial",0.5,0))+IF(X204="Sí",1,IF(X204="Parcial",0.5,0))+IF(Y204="Sí",1,IF(Y204="Parcial",0.5,0))</f>
        <v>0</v>
      </c>
      <c r="AQ204" s="96">
        <f>IF(Z204="Sí",1,IF(Z204="Parcial",0.5,0))+IF(AA204="Sí",1,IF(AA204="Parcial",0.5,0))+IF(AB204="Sí",1,IF(AB204="Parcial",0.5,0))</f>
        <v>0</v>
      </c>
      <c r="AR204" s="97">
        <f>IF(AC204="Sí",1,IF(AC204="Parcial",0.5,0))+IF(AD204="Sí",1,IF(AD204="Parcial",0.5,0))+IF(AE204="Sí",1,IF(AE204="Parcial",0.5,0))</f>
        <v>0</v>
      </c>
      <c r="AS204" s="98">
        <f>IF(AF204="Sí",1,IF(AF204="Parcial",0.5,0))+IF(AG204="Sí",1,IF(AG204="Parcial",0.5,0))+IF(AH204="Sí",1,IF(AH204="Parcial",0.5,0))</f>
        <v>0</v>
      </c>
      <c r="AT204" s="99">
        <f>IF(AI204="Sí",1,IF(AI204="Parcial",0.5,0))+IF(AJ204="Sí",1,IF(AJ204="Parcial",0.5,0))+IF(AK204="Sí",1,IF(AK204="Parcial",0.5,0))</f>
        <v>0</v>
      </c>
      <c r="AU204" s="100">
        <f>SUM(AL204,AM204,AN204,AO204,AP204,AQ204,AR204,AS204,AT204)</f>
        <v>0</v>
      </c>
      <c r="AV204" s="54" t="str">
        <f>IF(A204="","",IF((IF(AL204&gt;=1,1,0)+IF(AM204&gt;=1,1,0)+IF(AN204&gt;=1,1,0)+IF(AO204&gt;=1,1,0)+IF(AP204&gt;=1,1,0)+IF(AQ204&gt;=1,1,0)+IF(AR204&gt;=1,1,0)+IF(AS204&gt;=1,1,0)+IF(AT204&gt;=1,1,0))&gt;=5,"Diversificado (5+ verticales)",IF((IF(AL204&gt;=1,1,0)+IF(AM204&gt;=1,1,0)+IF(AN204&gt;=1,1,0)+IF(AO204&gt;=1,1,0)+IF(AP204&gt;=1,1,0)+IF(AQ204&gt;=1,1,0)+IF(AR204&gt;=1,1,0)+IF(AS204&gt;=1,1,0)+IF(AT204&gt;=1,1,0))&gt;=3,"Multi-capacidad (3-4 verticales)",IF((IF(AL204&gt;=1,1,0)+IF(AM204&gt;=1,1,0)+IF(AN204&gt;=1,1,0)+IF(AO204&gt;=1,1,0)+IF(AP204&gt;=1,1,0)+IF(AQ204&gt;=1,1,0)+IF(AR204&gt;=1,1,0)+IF(AS204&gt;=1,1,0)+IF(AT204&gt;=1,1,0))&gt;=1,"Especialista (1-2 verticales)","Sin función mapeada"))))</f>
        <v/>
      </c>
    </row>
    <row r="205" spans="3:48" ht="15" customHeight="1" x14ac:dyDescent="0.2">
      <c r="C205" s="53" t="str">
        <f>IF(A205="","",IFERROR(INDEX('UNIVERSO MAESTRO'!$C$6:$C$497,MATCH(A205,'UNIVERSO MAESTRO'!$A$6:$A$497,0)),"⚠ ID no encontrado"))</f>
        <v/>
      </c>
      <c r="D205" s="54" t="str">
        <f>IF(A205="","",IFERROR(INDEX('UNIVERSO MAESTRO'!$D$6:$D$497,MATCH(A205,'UNIVERSO MAESTRO'!$A$6:$A$497,0)),""))</f>
        <v/>
      </c>
      <c r="AL205" s="91">
        <f>IF(E205="Sí",1,IF(E205="Parcial",0.5,0))+IF(F205="Sí",1,IF(F205="Parcial",0.5,0))+IF(G205="Sí",1,IF(G205="Parcial",0.5,0))+IF(H205="Sí",1,IF(H205="Parcial",0.5,0))</f>
        <v>0</v>
      </c>
      <c r="AM205" s="92">
        <f>IF(I205="Sí",1,IF(I205="Parcial",0.5,0))+IF(J205="Sí",1,IF(J205="Parcial",0.5,0))+IF(K205="Sí",1,IF(K205="Parcial",0.5,0))</f>
        <v>0</v>
      </c>
      <c r="AN205" s="93">
        <f>IF(L205="Sí",1,IF(L205="Parcial",0.5,0))+IF(M205="Sí",1,IF(M205="Parcial",0.5,0))+IF(N205="Sí",1,IF(N205="Parcial",0.5,0))+IF(O205="Sí",1,IF(O205="Parcial",0.5,0))</f>
        <v>0</v>
      </c>
      <c r="AO205" s="94">
        <f>IF(P205="Sí",1,IF(P205="Parcial",0.5,0))+IF(Q205="Sí",1,IF(Q205="Parcial",0.5,0))+IF(R205="Sí",1,IF(R205="Parcial",0.5,0))+IF(S205="Sí",1,IF(S205="Parcial",0.5,0))+IF(T205="Sí",1,IF(T205="Parcial",0.5,0))+IF(U205="Sí",1,IF(U205="Parcial",0.5,0))</f>
        <v>0</v>
      </c>
      <c r="AP205" s="95">
        <f>IF(V205="Sí",1,IF(V205="Parcial",0.5,0))+IF(W205="Sí",1,IF(W205="Parcial",0.5,0))+IF(X205="Sí",1,IF(X205="Parcial",0.5,0))+IF(Y205="Sí",1,IF(Y205="Parcial",0.5,0))</f>
        <v>0</v>
      </c>
      <c r="AQ205" s="96">
        <f>IF(Z205="Sí",1,IF(Z205="Parcial",0.5,0))+IF(AA205="Sí",1,IF(AA205="Parcial",0.5,0))+IF(AB205="Sí",1,IF(AB205="Parcial",0.5,0))</f>
        <v>0</v>
      </c>
      <c r="AR205" s="97">
        <f>IF(AC205="Sí",1,IF(AC205="Parcial",0.5,0))+IF(AD205="Sí",1,IF(AD205="Parcial",0.5,0))+IF(AE205="Sí",1,IF(AE205="Parcial",0.5,0))</f>
        <v>0</v>
      </c>
      <c r="AS205" s="98">
        <f>IF(AF205="Sí",1,IF(AF205="Parcial",0.5,0))+IF(AG205="Sí",1,IF(AG205="Parcial",0.5,0))+IF(AH205="Sí",1,IF(AH205="Parcial",0.5,0))</f>
        <v>0</v>
      </c>
      <c r="AT205" s="99">
        <f>IF(AI205="Sí",1,IF(AI205="Parcial",0.5,0))+IF(AJ205="Sí",1,IF(AJ205="Parcial",0.5,0))+IF(AK205="Sí",1,IF(AK205="Parcial",0.5,0))</f>
        <v>0</v>
      </c>
      <c r="AU205" s="100">
        <f>SUM(AL205,AM205,AN205,AO205,AP205,AQ205,AR205,AS205,AT205)</f>
        <v>0</v>
      </c>
      <c r="AV205" s="54" t="str">
        <f>IF(A205="","",IF((IF(AL205&gt;=1,1,0)+IF(AM205&gt;=1,1,0)+IF(AN205&gt;=1,1,0)+IF(AO205&gt;=1,1,0)+IF(AP205&gt;=1,1,0)+IF(AQ205&gt;=1,1,0)+IF(AR205&gt;=1,1,0)+IF(AS205&gt;=1,1,0)+IF(AT205&gt;=1,1,0))&gt;=5,"Diversificado (5+ verticales)",IF((IF(AL205&gt;=1,1,0)+IF(AM205&gt;=1,1,0)+IF(AN205&gt;=1,1,0)+IF(AO205&gt;=1,1,0)+IF(AP205&gt;=1,1,0)+IF(AQ205&gt;=1,1,0)+IF(AR205&gt;=1,1,0)+IF(AS205&gt;=1,1,0)+IF(AT205&gt;=1,1,0))&gt;=3,"Multi-capacidad (3-4 verticales)",IF((IF(AL205&gt;=1,1,0)+IF(AM205&gt;=1,1,0)+IF(AN205&gt;=1,1,0)+IF(AO205&gt;=1,1,0)+IF(AP205&gt;=1,1,0)+IF(AQ205&gt;=1,1,0)+IF(AR205&gt;=1,1,0)+IF(AS205&gt;=1,1,0)+IF(AT205&gt;=1,1,0))&gt;=1,"Especialista (1-2 verticales)","Sin función mapeada"))))</f>
        <v/>
      </c>
    </row>
    <row r="206" spans="3:48" ht="15" customHeight="1" x14ac:dyDescent="0.2">
      <c r="C206" s="53" t="str">
        <f>IF(A206="","",IFERROR(INDEX('UNIVERSO MAESTRO'!$C$6:$C$497,MATCH(A206,'UNIVERSO MAESTRO'!$A$6:$A$497,0)),"⚠ ID no encontrado"))</f>
        <v/>
      </c>
      <c r="D206" s="54" t="str">
        <f>IF(A206="","",IFERROR(INDEX('UNIVERSO MAESTRO'!$D$6:$D$497,MATCH(A206,'UNIVERSO MAESTRO'!$A$6:$A$497,0)),""))</f>
        <v/>
      </c>
      <c r="AL206" s="91">
        <f>IF(E206="Sí",1,IF(E206="Parcial",0.5,0))+IF(F206="Sí",1,IF(F206="Parcial",0.5,0))+IF(G206="Sí",1,IF(G206="Parcial",0.5,0))+IF(H206="Sí",1,IF(H206="Parcial",0.5,0))</f>
        <v>0</v>
      </c>
      <c r="AM206" s="92">
        <f>IF(I206="Sí",1,IF(I206="Parcial",0.5,0))+IF(J206="Sí",1,IF(J206="Parcial",0.5,0))+IF(K206="Sí",1,IF(K206="Parcial",0.5,0))</f>
        <v>0</v>
      </c>
      <c r="AN206" s="93">
        <f>IF(L206="Sí",1,IF(L206="Parcial",0.5,0))+IF(M206="Sí",1,IF(M206="Parcial",0.5,0))+IF(N206="Sí",1,IF(N206="Parcial",0.5,0))+IF(O206="Sí",1,IF(O206="Parcial",0.5,0))</f>
        <v>0</v>
      </c>
      <c r="AO206" s="94">
        <f>IF(P206="Sí",1,IF(P206="Parcial",0.5,0))+IF(Q206="Sí",1,IF(Q206="Parcial",0.5,0))+IF(R206="Sí",1,IF(R206="Parcial",0.5,0))+IF(S206="Sí",1,IF(S206="Parcial",0.5,0))+IF(T206="Sí",1,IF(T206="Parcial",0.5,0))+IF(U206="Sí",1,IF(U206="Parcial",0.5,0))</f>
        <v>0</v>
      </c>
      <c r="AP206" s="95">
        <f>IF(V206="Sí",1,IF(V206="Parcial",0.5,0))+IF(W206="Sí",1,IF(W206="Parcial",0.5,0))+IF(X206="Sí",1,IF(X206="Parcial",0.5,0))+IF(Y206="Sí",1,IF(Y206="Parcial",0.5,0))</f>
        <v>0</v>
      </c>
      <c r="AQ206" s="96">
        <f>IF(Z206="Sí",1,IF(Z206="Parcial",0.5,0))+IF(AA206="Sí",1,IF(AA206="Parcial",0.5,0))+IF(AB206="Sí",1,IF(AB206="Parcial",0.5,0))</f>
        <v>0</v>
      </c>
      <c r="AR206" s="97">
        <f>IF(AC206="Sí",1,IF(AC206="Parcial",0.5,0))+IF(AD206="Sí",1,IF(AD206="Parcial",0.5,0))+IF(AE206="Sí",1,IF(AE206="Parcial",0.5,0))</f>
        <v>0</v>
      </c>
      <c r="AS206" s="98">
        <f>IF(AF206="Sí",1,IF(AF206="Parcial",0.5,0))+IF(AG206="Sí",1,IF(AG206="Parcial",0.5,0))+IF(AH206="Sí",1,IF(AH206="Parcial",0.5,0))</f>
        <v>0</v>
      </c>
      <c r="AT206" s="99">
        <f>IF(AI206="Sí",1,IF(AI206="Parcial",0.5,0))+IF(AJ206="Sí",1,IF(AJ206="Parcial",0.5,0))+IF(AK206="Sí",1,IF(AK206="Parcial",0.5,0))</f>
        <v>0</v>
      </c>
      <c r="AU206" s="100">
        <f>SUM(AL206,AM206,AN206,AO206,AP206,AQ206,AR206,AS206,AT206)</f>
        <v>0</v>
      </c>
      <c r="AV206" s="54" t="str">
        <f>IF(A206="","",IF((IF(AL206&gt;=1,1,0)+IF(AM206&gt;=1,1,0)+IF(AN206&gt;=1,1,0)+IF(AO206&gt;=1,1,0)+IF(AP206&gt;=1,1,0)+IF(AQ206&gt;=1,1,0)+IF(AR206&gt;=1,1,0)+IF(AS206&gt;=1,1,0)+IF(AT206&gt;=1,1,0))&gt;=5,"Diversificado (5+ verticales)",IF((IF(AL206&gt;=1,1,0)+IF(AM206&gt;=1,1,0)+IF(AN206&gt;=1,1,0)+IF(AO206&gt;=1,1,0)+IF(AP206&gt;=1,1,0)+IF(AQ206&gt;=1,1,0)+IF(AR206&gt;=1,1,0)+IF(AS206&gt;=1,1,0)+IF(AT206&gt;=1,1,0))&gt;=3,"Multi-capacidad (3-4 verticales)",IF((IF(AL206&gt;=1,1,0)+IF(AM206&gt;=1,1,0)+IF(AN206&gt;=1,1,0)+IF(AO206&gt;=1,1,0)+IF(AP206&gt;=1,1,0)+IF(AQ206&gt;=1,1,0)+IF(AR206&gt;=1,1,0)+IF(AS206&gt;=1,1,0)+IF(AT206&gt;=1,1,0))&gt;=1,"Especialista (1-2 verticales)","Sin función mapeada"))))</f>
        <v/>
      </c>
    </row>
    <row r="207" spans="3:48" ht="15" customHeight="1" x14ac:dyDescent="0.2">
      <c r="C207" s="53" t="str">
        <f>IF(A207="","",IFERROR(INDEX('UNIVERSO MAESTRO'!$C$6:$C$497,MATCH(A207,'UNIVERSO MAESTRO'!$A$6:$A$497,0)),"⚠ ID no encontrado"))</f>
        <v/>
      </c>
      <c r="D207" s="54" t="str">
        <f>IF(A207="","",IFERROR(INDEX('UNIVERSO MAESTRO'!$D$6:$D$497,MATCH(A207,'UNIVERSO MAESTRO'!$A$6:$A$497,0)),""))</f>
        <v/>
      </c>
      <c r="AL207" s="91">
        <f>IF(E207="Sí",1,IF(E207="Parcial",0.5,0))+IF(F207="Sí",1,IF(F207="Parcial",0.5,0))+IF(G207="Sí",1,IF(G207="Parcial",0.5,0))+IF(H207="Sí",1,IF(H207="Parcial",0.5,0))</f>
        <v>0</v>
      </c>
      <c r="AM207" s="92">
        <f>IF(I207="Sí",1,IF(I207="Parcial",0.5,0))+IF(J207="Sí",1,IF(J207="Parcial",0.5,0))+IF(K207="Sí",1,IF(K207="Parcial",0.5,0))</f>
        <v>0</v>
      </c>
      <c r="AN207" s="93">
        <f>IF(L207="Sí",1,IF(L207="Parcial",0.5,0))+IF(M207="Sí",1,IF(M207="Parcial",0.5,0))+IF(N207="Sí",1,IF(N207="Parcial",0.5,0))+IF(O207="Sí",1,IF(O207="Parcial",0.5,0))</f>
        <v>0</v>
      </c>
      <c r="AO207" s="94">
        <f>IF(P207="Sí",1,IF(P207="Parcial",0.5,0))+IF(Q207="Sí",1,IF(Q207="Parcial",0.5,0))+IF(R207="Sí",1,IF(R207="Parcial",0.5,0))+IF(S207="Sí",1,IF(S207="Parcial",0.5,0))+IF(T207="Sí",1,IF(T207="Parcial",0.5,0))+IF(U207="Sí",1,IF(U207="Parcial",0.5,0))</f>
        <v>0</v>
      </c>
      <c r="AP207" s="95">
        <f>IF(V207="Sí",1,IF(V207="Parcial",0.5,0))+IF(W207="Sí",1,IF(W207="Parcial",0.5,0))+IF(X207="Sí",1,IF(X207="Parcial",0.5,0))+IF(Y207="Sí",1,IF(Y207="Parcial",0.5,0))</f>
        <v>0</v>
      </c>
      <c r="AQ207" s="96">
        <f>IF(Z207="Sí",1,IF(Z207="Parcial",0.5,0))+IF(AA207="Sí",1,IF(AA207="Parcial",0.5,0))+IF(AB207="Sí",1,IF(AB207="Parcial",0.5,0))</f>
        <v>0</v>
      </c>
      <c r="AR207" s="97">
        <f>IF(AC207="Sí",1,IF(AC207="Parcial",0.5,0))+IF(AD207="Sí",1,IF(AD207="Parcial",0.5,0))+IF(AE207="Sí",1,IF(AE207="Parcial",0.5,0))</f>
        <v>0</v>
      </c>
      <c r="AS207" s="98">
        <f>IF(AF207="Sí",1,IF(AF207="Parcial",0.5,0))+IF(AG207="Sí",1,IF(AG207="Parcial",0.5,0))+IF(AH207="Sí",1,IF(AH207="Parcial",0.5,0))</f>
        <v>0</v>
      </c>
      <c r="AT207" s="99">
        <f>IF(AI207="Sí",1,IF(AI207="Parcial",0.5,0))+IF(AJ207="Sí",1,IF(AJ207="Parcial",0.5,0))+IF(AK207="Sí",1,IF(AK207="Parcial",0.5,0))</f>
        <v>0</v>
      </c>
      <c r="AU207" s="100">
        <f>SUM(AL207,AM207,AN207,AO207,AP207,AQ207,AR207,AS207,AT207)</f>
        <v>0</v>
      </c>
      <c r="AV207" s="54" t="str">
        <f>IF(A207="","",IF((IF(AL207&gt;=1,1,0)+IF(AM207&gt;=1,1,0)+IF(AN207&gt;=1,1,0)+IF(AO207&gt;=1,1,0)+IF(AP207&gt;=1,1,0)+IF(AQ207&gt;=1,1,0)+IF(AR207&gt;=1,1,0)+IF(AS207&gt;=1,1,0)+IF(AT207&gt;=1,1,0))&gt;=5,"Diversificado (5+ verticales)",IF((IF(AL207&gt;=1,1,0)+IF(AM207&gt;=1,1,0)+IF(AN207&gt;=1,1,0)+IF(AO207&gt;=1,1,0)+IF(AP207&gt;=1,1,0)+IF(AQ207&gt;=1,1,0)+IF(AR207&gt;=1,1,0)+IF(AS207&gt;=1,1,0)+IF(AT207&gt;=1,1,0))&gt;=3,"Multi-capacidad (3-4 verticales)",IF((IF(AL207&gt;=1,1,0)+IF(AM207&gt;=1,1,0)+IF(AN207&gt;=1,1,0)+IF(AO207&gt;=1,1,0)+IF(AP207&gt;=1,1,0)+IF(AQ207&gt;=1,1,0)+IF(AR207&gt;=1,1,0)+IF(AS207&gt;=1,1,0)+IF(AT207&gt;=1,1,0))&gt;=1,"Especialista (1-2 verticales)","Sin función mapeada"))))</f>
        <v/>
      </c>
    </row>
    <row r="208" spans="3:48" ht="15" customHeight="1" x14ac:dyDescent="0.2">
      <c r="C208" s="53" t="str">
        <f>IF(A208="","",IFERROR(INDEX('UNIVERSO MAESTRO'!$C$6:$C$497,MATCH(A208,'UNIVERSO MAESTRO'!$A$6:$A$497,0)),"⚠ ID no encontrado"))</f>
        <v/>
      </c>
      <c r="D208" s="54" t="str">
        <f>IF(A208="","",IFERROR(INDEX('UNIVERSO MAESTRO'!$D$6:$D$497,MATCH(A208,'UNIVERSO MAESTRO'!$A$6:$A$497,0)),""))</f>
        <v/>
      </c>
      <c r="AL208" s="91">
        <f>IF(E208="Sí",1,IF(E208="Parcial",0.5,0))+IF(F208="Sí",1,IF(F208="Parcial",0.5,0))+IF(G208="Sí",1,IF(G208="Parcial",0.5,0))+IF(H208="Sí",1,IF(H208="Parcial",0.5,0))</f>
        <v>0</v>
      </c>
      <c r="AM208" s="92">
        <f>IF(I208="Sí",1,IF(I208="Parcial",0.5,0))+IF(J208="Sí",1,IF(J208="Parcial",0.5,0))+IF(K208="Sí",1,IF(K208="Parcial",0.5,0))</f>
        <v>0</v>
      </c>
      <c r="AN208" s="93">
        <f>IF(L208="Sí",1,IF(L208="Parcial",0.5,0))+IF(M208="Sí",1,IF(M208="Parcial",0.5,0))+IF(N208="Sí",1,IF(N208="Parcial",0.5,0))+IF(O208="Sí",1,IF(O208="Parcial",0.5,0))</f>
        <v>0</v>
      </c>
      <c r="AO208" s="94">
        <f>IF(P208="Sí",1,IF(P208="Parcial",0.5,0))+IF(Q208="Sí",1,IF(Q208="Parcial",0.5,0))+IF(R208="Sí",1,IF(R208="Parcial",0.5,0))+IF(S208="Sí",1,IF(S208="Parcial",0.5,0))+IF(T208="Sí",1,IF(T208="Parcial",0.5,0))+IF(U208="Sí",1,IF(U208="Parcial",0.5,0))</f>
        <v>0</v>
      </c>
      <c r="AP208" s="95">
        <f>IF(V208="Sí",1,IF(V208="Parcial",0.5,0))+IF(W208="Sí",1,IF(W208="Parcial",0.5,0))+IF(X208="Sí",1,IF(X208="Parcial",0.5,0))+IF(Y208="Sí",1,IF(Y208="Parcial",0.5,0))</f>
        <v>0</v>
      </c>
      <c r="AQ208" s="96">
        <f>IF(Z208="Sí",1,IF(Z208="Parcial",0.5,0))+IF(AA208="Sí",1,IF(AA208="Parcial",0.5,0))+IF(AB208="Sí",1,IF(AB208="Parcial",0.5,0))</f>
        <v>0</v>
      </c>
      <c r="AR208" s="97">
        <f>IF(AC208="Sí",1,IF(AC208="Parcial",0.5,0))+IF(AD208="Sí",1,IF(AD208="Parcial",0.5,0))+IF(AE208="Sí",1,IF(AE208="Parcial",0.5,0))</f>
        <v>0</v>
      </c>
      <c r="AS208" s="98">
        <f>IF(AF208="Sí",1,IF(AF208="Parcial",0.5,0))+IF(AG208="Sí",1,IF(AG208="Parcial",0.5,0))+IF(AH208="Sí",1,IF(AH208="Parcial",0.5,0))</f>
        <v>0</v>
      </c>
      <c r="AT208" s="99">
        <f>IF(AI208="Sí",1,IF(AI208="Parcial",0.5,0))+IF(AJ208="Sí",1,IF(AJ208="Parcial",0.5,0))+IF(AK208="Sí",1,IF(AK208="Parcial",0.5,0))</f>
        <v>0</v>
      </c>
      <c r="AU208" s="100">
        <f>SUM(AL208,AM208,AN208,AO208,AP208,AQ208,AR208,AS208,AT208)</f>
        <v>0</v>
      </c>
      <c r="AV208" s="54" t="str">
        <f>IF(A208="","",IF((IF(AL208&gt;=1,1,0)+IF(AM208&gt;=1,1,0)+IF(AN208&gt;=1,1,0)+IF(AO208&gt;=1,1,0)+IF(AP208&gt;=1,1,0)+IF(AQ208&gt;=1,1,0)+IF(AR208&gt;=1,1,0)+IF(AS208&gt;=1,1,0)+IF(AT208&gt;=1,1,0))&gt;=5,"Diversificado (5+ verticales)",IF((IF(AL208&gt;=1,1,0)+IF(AM208&gt;=1,1,0)+IF(AN208&gt;=1,1,0)+IF(AO208&gt;=1,1,0)+IF(AP208&gt;=1,1,0)+IF(AQ208&gt;=1,1,0)+IF(AR208&gt;=1,1,0)+IF(AS208&gt;=1,1,0)+IF(AT208&gt;=1,1,0))&gt;=3,"Multi-capacidad (3-4 verticales)",IF((IF(AL208&gt;=1,1,0)+IF(AM208&gt;=1,1,0)+IF(AN208&gt;=1,1,0)+IF(AO208&gt;=1,1,0)+IF(AP208&gt;=1,1,0)+IF(AQ208&gt;=1,1,0)+IF(AR208&gt;=1,1,0)+IF(AS208&gt;=1,1,0)+IF(AT208&gt;=1,1,0))&gt;=1,"Especialista (1-2 verticales)","Sin función mapeada"))))</f>
        <v/>
      </c>
    </row>
    <row r="209" spans="3:48" ht="15" customHeight="1" x14ac:dyDescent="0.2">
      <c r="C209" s="53" t="str">
        <f>IF(A209="","",IFERROR(INDEX('UNIVERSO MAESTRO'!$C$6:$C$497,MATCH(A209,'UNIVERSO MAESTRO'!$A$6:$A$497,0)),"⚠ ID no encontrado"))</f>
        <v/>
      </c>
      <c r="D209" s="54" t="str">
        <f>IF(A209="","",IFERROR(INDEX('UNIVERSO MAESTRO'!$D$6:$D$497,MATCH(A209,'UNIVERSO MAESTRO'!$A$6:$A$497,0)),""))</f>
        <v/>
      </c>
      <c r="AL209" s="91">
        <f>IF(E209="Sí",1,IF(E209="Parcial",0.5,0))+IF(F209="Sí",1,IF(F209="Parcial",0.5,0))+IF(G209="Sí",1,IF(G209="Parcial",0.5,0))+IF(H209="Sí",1,IF(H209="Parcial",0.5,0))</f>
        <v>0</v>
      </c>
      <c r="AM209" s="92">
        <f>IF(I209="Sí",1,IF(I209="Parcial",0.5,0))+IF(J209="Sí",1,IF(J209="Parcial",0.5,0))+IF(K209="Sí",1,IF(K209="Parcial",0.5,0))</f>
        <v>0</v>
      </c>
      <c r="AN209" s="93">
        <f>IF(L209="Sí",1,IF(L209="Parcial",0.5,0))+IF(M209="Sí",1,IF(M209="Parcial",0.5,0))+IF(N209="Sí",1,IF(N209="Parcial",0.5,0))+IF(O209="Sí",1,IF(O209="Parcial",0.5,0))</f>
        <v>0</v>
      </c>
      <c r="AO209" s="94">
        <f>IF(P209="Sí",1,IF(P209="Parcial",0.5,0))+IF(Q209="Sí",1,IF(Q209="Parcial",0.5,0))+IF(R209="Sí",1,IF(R209="Parcial",0.5,0))+IF(S209="Sí",1,IF(S209="Parcial",0.5,0))+IF(T209="Sí",1,IF(T209="Parcial",0.5,0))+IF(U209="Sí",1,IF(U209="Parcial",0.5,0))</f>
        <v>0</v>
      </c>
      <c r="AP209" s="95">
        <f>IF(V209="Sí",1,IF(V209="Parcial",0.5,0))+IF(W209="Sí",1,IF(W209="Parcial",0.5,0))+IF(X209="Sí",1,IF(X209="Parcial",0.5,0))+IF(Y209="Sí",1,IF(Y209="Parcial",0.5,0))</f>
        <v>0</v>
      </c>
      <c r="AQ209" s="96">
        <f>IF(Z209="Sí",1,IF(Z209="Parcial",0.5,0))+IF(AA209="Sí",1,IF(AA209="Parcial",0.5,0))+IF(AB209="Sí",1,IF(AB209="Parcial",0.5,0))</f>
        <v>0</v>
      </c>
      <c r="AR209" s="97">
        <f>IF(AC209="Sí",1,IF(AC209="Parcial",0.5,0))+IF(AD209="Sí",1,IF(AD209="Parcial",0.5,0))+IF(AE209="Sí",1,IF(AE209="Parcial",0.5,0))</f>
        <v>0</v>
      </c>
      <c r="AS209" s="98">
        <f>IF(AF209="Sí",1,IF(AF209="Parcial",0.5,0))+IF(AG209="Sí",1,IF(AG209="Parcial",0.5,0))+IF(AH209="Sí",1,IF(AH209="Parcial",0.5,0))</f>
        <v>0</v>
      </c>
      <c r="AT209" s="99">
        <f>IF(AI209="Sí",1,IF(AI209="Parcial",0.5,0))+IF(AJ209="Sí",1,IF(AJ209="Parcial",0.5,0))+IF(AK209="Sí",1,IF(AK209="Parcial",0.5,0))</f>
        <v>0</v>
      </c>
      <c r="AU209" s="100">
        <f>SUM(AL209,AM209,AN209,AO209,AP209,AQ209,AR209,AS209,AT209)</f>
        <v>0</v>
      </c>
      <c r="AV209" s="54" t="str">
        <f>IF(A209="","",IF((IF(AL209&gt;=1,1,0)+IF(AM209&gt;=1,1,0)+IF(AN209&gt;=1,1,0)+IF(AO209&gt;=1,1,0)+IF(AP209&gt;=1,1,0)+IF(AQ209&gt;=1,1,0)+IF(AR209&gt;=1,1,0)+IF(AS209&gt;=1,1,0)+IF(AT209&gt;=1,1,0))&gt;=5,"Diversificado (5+ verticales)",IF((IF(AL209&gt;=1,1,0)+IF(AM209&gt;=1,1,0)+IF(AN209&gt;=1,1,0)+IF(AO209&gt;=1,1,0)+IF(AP209&gt;=1,1,0)+IF(AQ209&gt;=1,1,0)+IF(AR209&gt;=1,1,0)+IF(AS209&gt;=1,1,0)+IF(AT209&gt;=1,1,0))&gt;=3,"Multi-capacidad (3-4 verticales)",IF((IF(AL209&gt;=1,1,0)+IF(AM209&gt;=1,1,0)+IF(AN209&gt;=1,1,0)+IF(AO209&gt;=1,1,0)+IF(AP209&gt;=1,1,0)+IF(AQ209&gt;=1,1,0)+IF(AR209&gt;=1,1,0)+IF(AS209&gt;=1,1,0)+IF(AT209&gt;=1,1,0))&gt;=1,"Especialista (1-2 verticales)","Sin función mapeada"))))</f>
        <v/>
      </c>
    </row>
    <row r="210" spans="3:48" ht="15" customHeight="1" x14ac:dyDescent="0.2">
      <c r="C210" s="53" t="str">
        <f>IF(A210="","",IFERROR(INDEX('UNIVERSO MAESTRO'!$C$6:$C$497,MATCH(A210,'UNIVERSO MAESTRO'!$A$6:$A$497,0)),"⚠ ID no encontrado"))</f>
        <v/>
      </c>
      <c r="D210" s="54" t="str">
        <f>IF(A210="","",IFERROR(INDEX('UNIVERSO MAESTRO'!$D$6:$D$497,MATCH(A210,'UNIVERSO MAESTRO'!$A$6:$A$497,0)),""))</f>
        <v/>
      </c>
      <c r="AL210" s="91">
        <f>IF(E210="Sí",1,IF(E210="Parcial",0.5,0))+IF(F210="Sí",1,IF(F210="Parcial",0.5,0))+IF(G210="Sí",1,IF(G210="Parcial",0.5,0))+IF(H210="Sí",1,IF(H210="Parcial",0.5,0))</f>
        <v>0</v>
      </c>
      <c r="AM210" s="92">
        <f>IF(I210="Sí",1,IF(I210="Parcial",0.5,0))+IF(J210="Sí",1,IF(J210="Parcial",0.5,0))+IF(K210="Sí",1,IF(K210="Parcial",0.5,0))</f>
        <v>0</v>
      </c>
      <c r="AN210" s="93">
        <f>IF(L210="Sí",1,IF(L210="Parcial",0.5,0))+IF(M210="Sí",1,IF(M210="Parcial",0.5,0))+IF(N210="Sí",1,IF(N210="Parcial",0.5,0))+IF(O210="Sí",1,IF(O210="Parcial",0.5,0))</f>
        <v>0</v>
      </c>
      <c r="AO210" s="94">
        <f>IF(P210="Sí",1,IF(P210="Parcial",0.5,0))+IF(Q210="Sí",1,IF(Q210="Parcial",0.5,0))+IF(R210="Sí",1,IF(R210="Parcial",0.5,0))+IF(S210="Sí",1,IF(S210="Parcial",0.5,0))+IF(T210="Sí",1,IF(T210="Parcial",0.5,0))+IF(U210="Sí",1,IF(U210="Parcial",0.5,0))</f>
        <v>0</v>
      </c>
      <c r="AP210" s="95">
        <f>IF(V210="Sí",1,IF(V210="Parcial",0.5,0))+IF(W210="Sí",1,IF(W210="Parcial",0.5,0))+IF(X210="Sí",1,IF(X210="Parcial",0.5,0))+IF(Y210="Sí",1,IF(Y210="Parcial",0.5,0))</f>
        <v>0</v>
      </c>
      <c r="AQ210" s="96">
        <f>IF(Z210="Sí",1,IF(Z210="Parcial",0.5,0))+IF(AA210="Sí",1,IF(AA210="Parcial",0.5,0))+IF(AB210="Sí",1,IF(AB210="Parcial",0.5,0))</f>
        <v>0</v>
      </c>
      <c r="AR210" s="97">
        <f>IF(AC210="Sí",1,IF(AC210="Parcial",0.5,0))+IF(AD210="Sí",1,IF(AD210="Parcial",0.5,0))+IF(AE210="Sí",1,IF(AE210="Parcial",0.5,0))</f>
        <v>0</v>
      </c>
      <c r="AS210" s="98">
        <f>IF(AF210="Sí",1,IF(AF210="Parcial",0.5,0))+IF(AG210="Sí",1,IF(AG210="Parcial",0.5,0))+IF(AH210="Sí",1,IF(AH210="Parcial",0.5,0))</f>
        <v>0</v>
      </c>
      <c r="AT210" s="99">
        <f>IF(AI210="Sí",1,IF(AI210="Parcial",0.5,0))+IF(AJ210="Sí",1,IF(AJ210="Parcial",0.5,0))+IF(AK210="Sí",1,IF(AK210="Parcial",0.5,0))</f>
        <v>0</v>
      </c>
      <c r="AU210" s="100">
        <f>SUM(AL210,AM210,AN210,AO210,AP210,AQ210,AR210,AS210,AT210)</f>
        <v>0</v>
      </c>
      <c r="AV210" s="54" t="str">
        <f>IF(A210="","",IF((IF(AL210&gt;=1,1,0)+IF(AM210&gt;=1,1,0)+IF(AN210&gt;=1,1,0)+IF(AO210&gt;=1,1,0)+IF(AP210&gt;=1,1,0)+IF(AQ210&gt;=1,1,0)+IF(AR210&gt;=1,1,0)+IF(AS210&gt;=1,1,0)+IF(AT210&gt;=1,1,0))&gt;=5,"Diversificado (5+ verticales)",IF((IF(AL210&gt;=1,1,0)+IF(AM210&gt;=1,1,0)+IF(AN210&gt;=1,1,0)+IF(AO210&gt;=1,1,0)+IF(AP210&gt;=1,1,0)+IF(AQ210&gt;=1,1,0)+IF(AR210&gt;=1,1,0)+IF(AS210&gt;=1,1,0)+IF(AT210&gt;=1,1,0))&gt;=3,"Multi-capacidad (3-4 verticales)",IF((IF(AL210&gt;=1,1,0)+IF(AM210&gt;=1,1,0)+IF(AN210&gt;=1,1,0)+IF(AO210&gt;=1,1,0)+IF(AP210&gt;=1,1,0)+IF(AQ210&gt;=1,1,0)+IF(AR210&gt;=1,1,0)+IF(AS210&gt;=1,1,0)+IF(AT210&gt;=1,1,0))&gt;=1,"Especialista (1-2 verticales)","Sin función mapeada"))))</f>
        <v/>
      </c>
    </row>
    <row r="211" spans="3:48" ht="15" customHeight="1" x14ac:dyDescent="0.2">
      <c r="C211" s="53" t="str">
        <f>IF(A211="","",IFERROR(INDEX('UNIVERSO MAESTRO'!$C$6:$C$497,MATCH(A211,'UNIVERSO MAESTRO'!$A$6:$A$497,0)),"⚠ ID no encontrado"))</f>
        <v/>
      </c>
      <c r="D211" s="54" t="str">
        <f>IF(A211="","",IFERROR(INDEX('UNIVERSO MAESTRO'!$D$6:$D$497,MATCH(A211,'UNIVERSO MAESTRO'!$A$6:$A$497,0)),""))</f>
        <v/>
      </c>
      <c r="AL211" s="91">
        <f>IF(E211="Sí",1,IF(E211="Parcial",0.5,0))+IF(F211="Sí",1,IF(F211="Parcial",0.5,0))+IF(G211="Sí",1,IF(G211="Parcial",0.5,0))+IF(H211="Sí",1,IF(H211="Parcial",0.5,0))</f>
        <v>0</v>
      </c>
      <c r="AM211" s="92">
        <f>IF(I211="Sí",1,IF(I211="Parcial",0.5,0))+IF(J211="Sí",1,IF(J211="Parcial",0.5,0))+IF(K211="Sí",1,IF(K211="Parcial",0.5,0))</f>
        <v>0</v>
      </c>
      <c r="AN211" s="93">
        <f>IF(L211="Sí",1,IF(L211="Parcial",0.5,0))+IF(M211="Sí",1,IF(M211="Parcial",0.5,0))+IF(N211="Sí",1,IF(N211="Parcial",0.5,0))+IF(O211="Sí",1,IF(O211="Parcial",0.5,0))</f>
        <v>0</v>
      </c>
      <c r="AO211" s="94">
        <f>IF(P211="Sí",1,IF(P211="Parcial",0.5,0))+IF(Q211="Sí",1,IF(Q211="Parcial",0.5,0))+IF(R211="Sí",1,IF(R211="Parcial",0.5,0))+IF(S211="Sí",1,IF(S211="Parcial",0.5,0))+IF(T211="Sí",1,IF(T211="Parcial",0.5,0))+IF(U211="Sí",1,IF(U211="Parcial",0.5,0))</f>
        <v>0</v>
      </c>
      <c r="AP211" s="95">
        <f>IF(V211="Sí",1,IF(V211="Parcial",0.5,0))+IF(W211="Sí",1,IF(W211="Parcial",0.5,0))+IF(X211="Sí",1,IF(X211="Parcial",0.5,0))+IF(Y211="Sí",1,IF(Y211="Parcial",0.5,0))</f>
        <v>0</v>
      </c>
      <c r="AQ211" s="96">
        <f>IF(Z211="Sí",1,IF(Z211="Parcial",0.5,0))+IF(AA211="Sí",1,IF(AA211="Parcial",0.5,0))+IF(AB211="Sí",1,IF(AB211="Parcial",0.5,0))</f>
        <v>0</v>
      </c>
      <c r="AR211" s="97">
        <f>IF(AC211="Sí",1,IF(AC211="Parcial",0.5,0))+IF(AD211="Sí",1,IF(AD211="Parcial",0.5,0))+IF(AE211="Sí",1,IF(AE211="Parcial",0.5,0))</f>
        <v>0</v>
      </c>
      <c r="AS211" s="98">
        <f>IF(AF211="Sí",1,IF(AF211="Parcial",0.5,0))+IF(AG211="Sí",1,IF(AG211="Parcial",0.5,0))+IF(AH211="Sí",1,IF(AH211="Parcial",0.5,0))</f>
        <v>0</v>
      </c>
      <c r="AT211" s="99">
        <f>IF(AI211="Sí",1,IF(AI211="Parcial",0.5,0))+IF(AJ211="Sí",1,IF(AJ211="Parcial",0.5,0))+IF(AK211="Sí",1,IF(AK211="Parcial",0.5,0))</f>
        <v>0</v>
      </c>
      <c r="AU211" s="100">
        <f>SUM(AL211,AM211,AN211,AO211,AP211,AQ211,AR211,AS211,AT211)</f>
        <v>0</v>
      </c>
      <c r="AV211" s="54" t="str">
        <f>IF(A211="","",IF((IF(AL211&gt;=1,1,0)+IF(AM211&gt;=1,1,0)+IF(AN211&gt;=1,1,0)+IF(AO211&gt;=1,1,0)+IF(AP211&gt;=1,1,0)+IF(AQ211&gt;=1,1,0)+IF(AR211&gt;=1,1,0)+IF(AS211&gt;=1,1,0)+IF(AT211&gt;=1,1,0))&gt;=5,"Diversificado (5+ verticales)",IF((IF(AL211&gt;=1,1,0)+IF(AM211&gt;=1,1,0)+IF(AN211&gt;=1,1,0)+IF(AO211&gt;=1,1,0)+IF(AP211&gt;=1,1,0)+IF(AQ211&gt;=1,1,0)+IF(AR211&gt;=1,1,0)+IF(AS211&gt;=1,1,0)+IF(AT211&gt;=1,1,0))&gt;=3,"Multi-capacidad (3-4 verticales)",IF((IF(AL211&gt;=1,1,0)+IF(AM211&gt;=1,1,0)+IF(AN211&gt;=1,1,0)+IF(AO211&gt;=1,1,0)+IF(AP211&gt;=1,1,0)+IF(AQ211&gt;=1,1,0)+IF(AR211&gt;=1,1,0)+IF(AS211&gt;=1,1,0)+IF(AT211&gt;=1,1,0))&gt;=1,"Especialista (1-2 verticales)","Sin función mapeada"))))</f>
        <v/>
      </c>
    </row>
    <row r="212" spans="3:48" ht="15" customHeight="1" x14ac:dyDescent="0.2">
      <c r="C212" s="53" t="str">
        <f>IF(A212="","",IFERROR(INDEX('UNIVERSO MAESTRO'!$C$6:$C$497,MATCH(A212,'UNIVERSO MAESTRO'!$A$6:$A$497,0)),"⚠ ID no encontrado"))</f>
        <v/>
      </c>
      <c r="D212" s="54" t="str">
        <f>IF(A212="","",IFERROR(INDEX('UNIVERSO MAESTRO'!$D$6:$D$497,MATCH(A212,'UNIVERSO MAESTRO'!$A$6:$A$497,0)),""))</f>
        <v/>
      </c>
      <c r="AL212" s="91">
        <f>IF(E212="Sí",1,IF(E212="Parcial",0.5,0))+IF(F212="Sí",1,IF(F212="Parcial",0.5,0))+IF(G212="Sí",1,IF(G212="Parcial",0.5,0))+IF(H212="Sí",1,IF(H212="Parcial",0.5,0))</f>
        <v>0</v>
      </c>
      <c r="AM212" s="92">
        <f>IF(I212="Sí",1,IF(I212="Parcial",0.5,0))+IF(J212="Sí",1,IF(J212="Parcial",0.5,0))+IF(K212="Sí",1,IF(K212="Parcial",0.5,0))</f>
        <v>0</v>
      </c>
      <c r="AN212" s="93">
        <f>IF(L212="Sí",1,IF(L212="Parcial",0.5,0))+IF(M212="Sí",1,IF(M212="Parcial",0.5,0))+IF(N212="Sí",1,IF(N212="Parcial",0.5,0))+IF(O212="Sí",1,IF(O212="Parcial",0.5,0))</f>
        <v>0</v>
      </c>
      <c r="AO212" s="94">
        <f>IF(P212="Sí",1,IF(P212="Parcial",0.5,0))+IF(Q212="Sí",1,IF(Q212="Parcial",0.5,0))+IF(R212="Sí",1,IF(R212="Parcial",0.5,0))+IF(S212="Sí",1,IF(S212="Parcial",0.5,0))+IF(T212="Sí",1,IF(T212="Parcial",0.5,0))+IF(U212="Sí",1,IF(U212="Parcial",0.5,0))</f>
        <v>0</v>
      </c>
      <c r="AP212" s="95">
        <f>IF(V212="Sí",1,IF(V212="Parcial",0.5,0))+IF(W212="Sí",1,IF(W212="Parcial",0.5,0))+IF(X212="Sí",1,IF(X212="Parcial",0.5,0))+IF(Y212="Sí",1,IF(Y212="Parcial",0.5,0))</f>
        <v>0</v>
      </c>
      <c r="AQ212" s="96">
        <f>IF(Z212="Sí",1,IF(Z212="Parcial",0.5,0))+IF(AA212="Sí",1,IF(AA212="Parcial",0.5,0))+IF(AB212="Sí",1,IF(AB212="Parcial",0.5,0))</f>
        <v>0</v>
      </c>
      <c r="AR212" s="97">
        <f>IF(AC212="Sí",1,IF(AC212="Parcial",0.5,0))+IF(AD212="Sí",1,IF(AD212="Parcial",0.5,0))+IF(AE212="Sí",1,IF(AE212="Parcial",0.5,0))</f>
        <v>0</v>
      </c>
      <c r="AS212" s="98">
        <f>IF(AF212="Sí",1,IF(AF212="Parcial",0.5,0))+IF(AG212="Sí",1,IF(AG212="Parcial",0.5,0))+IF(AH212="Sí",1,IF(AH212="Parcial",0.5,0))</f>
        <v>0</v>
      </c>
      <c r="AT212" s="99">
        <f>IF(AI212="Sí",1,IF(AI212="Parcial",0.5,0))+IF(AJ212="Sí",1,IF(AJ212="Parcial",0.5,0))+IF(AK212="Sí",1,IF(AK212="Parcial",0.5,0))</f>
        <v>0</v>
      </c>
      <c r="AU212" s="100">
        <f>SUM(AL212,AM212,AN212,AO212,AP212,AQ212,AR212,AS212,AT212)</f>
        <v>0</v>
      </c>
      <c r="AV212" s="54" t="str">
        <f>IF(A212="","",IF((IF(AL212&gt;=1,1,0)+IF(AM212&gt;=1,1,0)+IF(AN212&gt;=1,1,0)+IF(AO212&gt;=1,1,0)+IF(AP212&gt;=1,1,0)+IF(AQ212&gt;=1,1,0)+IF(AR212&gt;=1,1,0)+IF(AS212&gt;=1,1,0)+IF(AT212&gt;=1,1,0))&gt;=5,"Diversificado (5+ verticales)",IF((IF(AL212&gt;=1,1,0)+IF(AM212&gt;=1,1,0)+IF(AN212&gt;=1,1,0)+IF(AO212&gt;=1,1,0)+IF(AP212&gt;=1,1,0)+IF(AQ212&gt;=1,1,0)+IF(AR212&gt;=1,1,0)+IF(AS212&gt;=1,1,0)+IF(AT212&gt;=1,1,0))&gt;=3,"Multi-capacidad (3-4 verticales)",IF((IF(AL212&gt;=1,1,0)+IF(AM212&gt;=1,1,0)+IF(AN212&gt;=1,1,0)+IF(AO212&gt;=1,1,0)+IF(AP212&gt;=1,1,0)+IF(AQ212&gt;=1,1,0)+IF(AR212&gt;=1,1,0)+IF(AS212&gt;=1,1,0)+IF(AT212&gt;=1,1,0))&gt;=1,"Especialista (1-2 verticales)","Sin función mapeada"))))</f>
        <v/>
      </c>
    </row>
    <row r="213" spans="3:48" ht="15" customHeight="1" x14ac:dyDescent="0.2">
      <c r="C213" s="53" t="str">
        <f>IF(A213="","",IFERROR(INDEX('UNIVERSO MAESTRO'!$C$6:$C$497,MATCH(A213,'UNIVERSO MAESTRO'!$A$6:$A$497,0)),"⚠ ID no encontrado"))</f>
        <v/>
      </c>
      <c r="D213" s="54" t="str">
        <f>IF(A213="","",IFERROR(INDEX('UNIVERSO MAESTRO'!$D$6:$D$497,MATCH(A213,'UNIVERSO MAESTRO'!$A$6:$A$497,0)),""))</f>
        <v/>
      </c>
      <c r="AL213" s="91">
        <f>IF(E213="Sí",1,IF(E213="Parcial",0.5,0))+IF(F213="Sí",1,IF(F213="Parcial",0.5,0))+IF(G213="Sí",1,IF(G213="Parcial",0.5,0))+IF(H213="Sí",1,IF(H213="Parcial",0.5,0))</f>
        <v>0</v>
      </c>
      <c r="AM213" s="92">
        <f>IF(I213="Sí",1,IF(I213="Parcial",0.5,0))+IF(J213="Sí",1,IF(J213="Parcial",0.5,0))+IF(K213="Sí",1,IF(K213="Parcial",0.5,0))</f>
        <v>0</v>
      </c>
      <c r="AN213" s="93">
        <f>IF(L213="Sí",1,IF(L213="Parcial",0.5,0))+IF(M213="Sí",1,IF(M213="Parcial",0.5,0))+IF(N213="Sí",1,IF(N213="Parcial",0.5,0))+IF(O213="Sí",1,IF(O213="Parcial",0.5,0))</f>
        <v>0</v>
      </c>
      <c r="AO213" s="94">
        <f>IF(P213="Sí",1,IF(P213="Parcial",0.5,0))+IF(Q213="Sí",1,IF(Q213="Parcial",0.5,0))+IF(R213="Sí",1,IF(R213="Parcial",0.5,0))+IF(S213="Sí",1,IF(S213="Parcial",0.5,0))+IF(T213="Sí",1,IF(T213="Parcial",0.5,0))+IF(U213="Sí",1,IF(U213="Parcial",0.5,0))</f>
        <v>0</v>
      </c>
      <c r="AP213" s="95">
        <f>IF(V213="Sí",1,IF(V213="Parcial",0.5,0))+IF(W213="Sí",1,IF(W213="Parcial",0.5,0))+IF(X213="Sí",1,IF(X213="Parcial",0.5,0))+IF(Y213="Sí",1,IF(Y213="Parcial",0.5,0))</f>
        <v>0</v>
      </c>
      <c r="AQ213" s="96">
        <f>IF(Z213="Sí",1,IF(Z213="Parcial",0.5,0))+IF(AA213="Sí",1,IF(AA213="Parcial",0.5,0))+IF(AB213="Sí",1,IF(AB213="Parcial",0.5,0))</f>
        <v>0</v>
      </c>
      <c r="AR213" s="97">
        <f>IF(AC213="Sí",1,IF(AC213="Parcial",0.5,0))+IF(AD213="Sí",1,IF(AD213="Parcial",0.5,0))+IF(AE213="Sí",1,IF(AE213="Parcial",0.5,0))</f>
        <v>0</v>
      </c>
      <c r="AS213" s="98">
        <f>IF(AF213="Sí",1,IF(AF213="Parcial",0.5,0))+IF(AG213="Sí",1,IF(AG213="Parcial",0.5,0))+IF(AH213="Sí",1,IF(AH213="Parcial",0.5,0))</f>
        <v>0</v>
      </c>
      <c r="AT213" s="99">
        <f>IF(AI213="Sí",1,IF(AI213="Parcial",0.5,0))+IF(AJ213="Sí",1,IF(AJ213="Parcial",0.5,0))+IF(AK213="Sí",1,IF(AK213="Parcial",0.5,0))</f>
        <v>0</v>
      </c>
      <c r="AU213" s="100">
        <f>SUM(AL213,AM213,AN213,AO213,AP213,AQ213,AR213,AS213,AT213)</f>
        <v>0</v>
      </c>
      <c r="AV213" s="54" t="str">
        <f>IF(A213="","",IF((IF(AL213&gt;=1,1,0)+IF(AM213&gt;=1,1,0)+IF(AN213&gt;=1,1,0)+IF(AO213&gt;=1,1,0)+IF(AP213&gt;=1,1,0)+IF(AQ213&gt;=1,1,0)+IF(AR213&gt;=1,1,0)+IF(AS213&gt;=1,1,0)+IF(AT213&gt;=1,1,0))&gt;=5,"Diversificado (5+ verticales)",IF((IF(AL213&gt;=1,1,0)+IF(AM213&gt;=1,1,0)+IF(AN213&gt;=1,1,0)+IF(AO213&gt;=1,1,0)+IF(AP213&gt;=1,1,0)+IF(AQ213&gt;=1,1,0)+IF(AR213&gt;=1,1,0)+IF(AS213&gt;=1,1,0)+IF(AT213&gt;=1,1,0))&gt;=3,"Multi-capacidad (3-4 verticales)",IF((IF(AL213&gt;=1,1,0)+IF(AM213&gt;=1,1,0)+IF(AN213&gt;=1,1,0)+IF(AO213&gt;=1,1,0)+IF(AP213&gt;=1,1,0)+IF(AQ213&gt;=1,1,0)+IF(AR213&gt;=1,1,0)+IF(AS213&gt;=1,1,0)+IF(AT213&gt;=1,1,0))&gt;=1,"Especialista (1-2 verticales)","Sin función mapeada"))))</f>
        <v/>
      </c>
    </row>
    <row r="214" spans="3:48" ht="15" customHeight="1" x14ac:dyDescent="0.2">
      <c r="C214" s="53" t="str">
        <f>IF(A214="","",IFERROR(INDEX('UNIVERSO MAESTRO'!$C$6:$C$497,MATCH(A214,'UNIVERSO MAESTRO'!$A$6:$A$497,0)),"⚠ ID no encontrado"))</f>
        <v/>
      </c>
      <c r="D214" s="54" t="str">
        <f>IF(A214="","",IFERROR(INDEX('UNIVERSO MAESTRO'!$D$6:$D$497,MATCH(A214,'UNIVERSO MAESTRO'!$A$6:$A$497,0)),""))</f>
        <v/>
      </c>
      <c r="AL214" s="91">
        <f>IF(E214="Sí",1,IF(E214="Parcial",0.5,0))+IF(F214="Sí",1,IF(F214="Parcial",0.5,0))+IF(G214="Sí",1,IF(G214="Parcial",0.5,0))+IF(H214="Sí",1,IF(H214="Parcial",0.5,0))</f>
        <v>0</v>
      </c>
      <c r="AM214" s="92">
        <f>IF(I214="Sí",1,IF(I214="Parcial",0.5,0))+IF(J214="Sí",1,IF(J214="Parcial",0.5,0))+IF(K214="Sí",1,IF(K214="Parcial",0.5,0))</f>
        <v>0</v>
      </c>
      <c r="AN214" s="93">
        <f>IF(L214="Sí",1,IF(L214="Parcial",0.5,0))+IF(M214="Sí",1,IF(M214="Parcial",0.5,0))+IF(N214="Sí",1,IF(N214="Parcial",0.5,0))+IF(O214="Sí",1,IF(O214="Parcial",0.5,0))</f>
        <v>0</v>
      </c>
      <c r="AO214" s="94">
        <f>IF(P214="Sí",1,IF(P214="Parcial",0.5,0))+IF(Q214="Sí",1,IF(Q214="Parcial",0.5,0))+IF(R214="Sí",1,IF(R214="Parcial",0.5,0))+IF(S214="Sí",1,IF(S214="Parcial",0.5,0))+IF(T214="Sí",1,IF(T214="Parcial",0.5,0))+IF(U214="Sí",1,IF(U214="Parcial",0.5,0))</f>
        <v>0</v>
      </c>
      <c r="AP214" s="95">
        <f>IF(V214="Sí",1,IF(V214="Parcial",0.5,0))+IF(W214="Sí",1,IF(W214="Parcial",0.5,0))+IF(X214="Sí",1,IF(X214="Parcial",0.5,0))+IF(Y214="Sí",1,IF(Y214="Parcial",0.5,0))</f>
        <v>0</v>
      </c>
      <c r="AQ214" s="96">
        <f>IF(Z214="Sí",1,IF(Z214="Parcial",0.5,0))+IF(AA214="Sí",1,IF(AA214="Parcial",0.5,0))+IF(AB214="Sí",1,IF(AB214="Parcial",0.5,0))</f>
        <v>0</v>
      </c>
      <c r="AR214" s="97">
        <f>IF(AC214="Sí",1,IF(AC214="Parcial",0.5,0))+IF(AD214="Sí",1,IF(AD214="Parcial",0.5,0))+IF(AE214="Sí",1,IF(AE214="Parcial",0.5,0))</f>
        <v>0</v>
      </c>
      <c r="AS214" s="98">
        <f>IF(AF214="Sí",1,IF(AF214="Parcial",0.5,0))+IF(AG214="Sí",1,IF(AG214="Parcial",0.5,0))+IF(AH214="Sí",1,IF(AH214="Parcial",0.5,0))</f>
        <v>0</v>
      </c>
      <c r="AT214" s="99">
        <f>IF(AI214="Sí",1,IF(AI214="Parcial",0.5,0))+IF(AJ214="Sí",1,IF(AJ214="Parcial",0.5,0))+IF(AK214="Sí",1,IF(AK214="Parcial",0.5,0))</f>
        <v>0</v>
      </c>
      <c r="AU214" s="100">
        <f>SUM(AL214,AM214,AN214,AO214,AP214,AQ214,AR214,AS214,AT214)</f>
        <v>0</v>
      </c>
      <c r="AV214" s="54" t="str">
        <f>IF(A214="","",IF((IF(AL214&gt;=1,1,0)+IF(AM214&gt;=1,1,0)+IF(AN214&gt;=1,1,0)+IF(AO214&gt;=1,1,0)+IF(AP214&gt;=1,1,0)+IF(AQ214&gt;=1,1,0)+IF(AR214&gt;=1,1,0)+IF(AS214&gt;=1,1,0)+IF(AT214&gt;=1,1,0))&gt;=5,"Diversificado (5+ verticales)",IF((IF(AL214&gt;=1,1,0)+IF(AM214&gt;=1,1,0)+IF(AN214&gt;=1,1,0)+IF(AO214&gt;=1,1,0)+IF(AP214&gt;=1,1,0)+IF(AQ214&gt;=1,1,0)+IF(AR214&gt;=1,1,0)+IF(AS214&gt;=1,1,0)+IF(AT214&gt;=1,1,0))&gt;=3,"Multi-capacidad (3-4 verticales)",IF((IF(AL214&gt;=1,1,0)+IF(AM214&gt;=1,1,0)+IF(AN214&gt;=1,1,0)+IF(AO214&gt;=1,1,0)+IF(AP214&gt;=1,1,0)+IF(AQ214&gt;=1,1,0)+IF(AR214&gt;=1,1,0)+IF(AS214&gt;=1,1,0)+IF(AT214&gt;=1,1,0))&gt;=1,"Especialista (1-2 verticales)","Sin función mapeada"))))</f>
        <v/>
      </c>
    </row>
    <row r="215" spans="3:48" ht="15" customHeight="1" x14ac:dyDescent="0.2">
      <c r="C215" s="53" t="str">
        <f>IF(A215="","",IFERROR(INDEX('UNIVERSO MAESTRO'!$C$6:$C$497,MATCH(A215,'UNIVERSO MAESTRO'!$A$6:$A$497,0)),"⚠ ID no encontrado"))</f>
        <v/>
      </c>
      <c r="D215" s="54" t="str">
        <f>IF(A215="","",IFERROR(INDEX('UNIVERSO MAESTRO'!$D$6:$D$497,MATCH(A215,'UNIVERSO MAESTRO'!$A$6:$A$497,0)),""))</f>
        <v/>
      </c>
      <c r="AL215" s="91">
        <f>IF(E215="Sí",1,IF(E215="Parcial",0.5,0))+IF(F215="Sí",1,IF(F215="Parcial",0.5,0))+IF(G215="Sí",1,IF(G215="Parcial",0.5,0))+IF(H215="Sí",1,IF(H215="Parcial",0.5,0))</f>
        <v>0</v>
      </c>
      <c r="AM215" s="92">
        <f>IF(I215="Sí",1,IF(I215="Parcial",0.5,0))+IF(J215="Sí",1,IF(J215="Parcial",0.5,0))+IF(K215="Sí",1,IF(K215="Parcial",0.5,0))</f>
        <v>0</v>
      </c>
      <c r="AN215" s="93">
        <f>IF(L215="Sí",1,IF(L215="Parcial",0.5,0))+IF(M215="Sí",1,IF(M215="Parcial",0.5,0))+IF(N215="Sí",1,IF(N215="Parcial",0.5,0))+IF(O215="Sí",1,IF(O215="Parcial",0.5,0))</f>
        <v>0</v>
      </c>
      <c r="AO215" s="94">
        <f>IF(P215="Sí",1,IF(P215="Parcial",0.5,0))+IF(Q215="Sí",1,IF(Q215="Parcial",0.5,0))+IF(R215="Sí",1,IF(R215="Parcial",0.5,0))+IF(S215="Sí",1,IF(S215="Parcial",0.5,0))+IF(T215="Sí",1,IF(T215="Parcial",0.5,0))+IF(U215="Sí",1,IF(U215="Parcial",0.5,0))</f>
        <v>0</v>
      </c>
      <c r="AP215" s="95">
        <f>IF(V215="Sí",1,IF(V215="Parcial",0.5,0))+IF(W215="Sí",1,IF(W215="Parcial",0.5,0))+IF(X215="Sí",1,IF(X215="Parcial",0.5,0))+IF(Y215="Sí",1,IF(Y215="Parcial",0.5,0))</f>
        <v>0</v>
      </c>
      <c r="AQ215" s="96">
        <f>IF(Z215="Sí",1,IF(Z215="Parcial",0.5,0))+IF(AA215="Sí",1,IF(AA215="Parcial",0.5,0))+IF(AB215="Sí",1,IF(AB215="Parcial",0.5,0))</f>
        <v>0</v>
      </c>
      <c r="AR215" s="97">
        <f>IF(AC215="Sí",1,IF(AC215="Parcial",0.5,0))+IF(AD215="Sí",1,IF(AD215="Parcial",0.5,0))+IF(AE215="Sí",1,IF(AE215="Parcial",0.5,0))</f>
        <v>0</v>
      </c>
      <c r="AS215" s="98">
        <f>IF(AF215="Sí",1,IF(AF215="Parcial",0.5,0))+IF(AG215="Sí",1,IF(AG215="Parcial",0.5,0))+IF(AH215="Sí",1,IF(AH215="Parcial",0.5,0))</f>
        <v>0</v>
      </c>
      <c r="AT215" s="99">
        <f>IF(AI215="Sí",1,IF(AI215="Parcial",0.5,0))+IF(AJ215="Sí",1,IF(AJ215="Parcial",0.5,0))+IF(AK215="Sí",1,IF(AK215="Parcial",0.5,0))</f>
        <v>0</v>
      </c>
      <c r="AU215" s="100">
        <f>SUM(AL215,AM215,AN215,AO215,AP215,AQ215,AR215,AS215,AT215)</f>
        <v>0</v>
      </c>
      <c r="AV215" s="54" t="str">
        <f>IF(A215="","",IF((IF(AL215&gt;=1,1,0)+IF(AM215&gt;=1,1,0)+IF(AN215&gt;=1,1,0)+IF(AO215&gt;=1,1,0)+IF(AP215&gt;=1,1,0)+IF(AQ215&gt;=1,1,0)+IF(AR215&gt;=1,1,0)+IF(AS215&gt;=1,1,0)+IF(AT215&gt;=1,1,0))&gt;=5,"Diversificado (5+ verticales)",IF((IF(AL215&gt;=1,1,0)+IF(AM215&gt;=1,1,0)+IF(AN215&gt;=1,1,0)+IF(AO215&gt;=1,1,0)+IF(AP215&gt;=1,1,0)+IF(AQ215&gt;=1,1,0)+IF(AR215&gt;=1,1,0)+IF(AS215&gt;=1,1,0)+IF(AT215&gt;=1,1,0))&gt;=3,"Multi-capacidad (3-4 verticales)",IF((IF(AL215&gt;=1,1,0)+IF(AM215&gt;=1,1,0)+IF(AN215&gt;=1,1,0)+IF(AO215&gt;=1,1,0)+IF(AP215&gt;=1,1,0)+IF(AQ215&gt;=1,1,0)+IF(AR215&gt;=1,1,0)+IF(AS215&gt;=1,1,0)+IF(AT215&gt;=1,1,0))&gt;=1,"Especialista (1-2 verticales)","Sin función mapeada"))))</f>
        <v/>
      </c>
    </row>
    <row r="216" spans="3:48" ht="15" customHeight="1" x14ac:dyDescent="0.2">
      <c r="C216" s="53" t="str">
        <f>IF(A216="","",IFERROR(INDEX('UNIVERSO MAESTRO'!$C$6:$C$497,MATCH(A216,'UNIVERSO MAESTRO'!$A$6:$A$497,0)),"⚠ ID no encontrado"))</f>
        <v/>
      </c>
      <c r="D216" s="54" t="str">
        <f>IF(A216="","",IFERROR(INDEX('UNIVERSO MAESTRO'!$D$6:$D$497,MATCH(A216,'UNIVERSO MAESTRO'!$A$6:$A$497,0)),""))</f>
        <v/>
      </c>
      <c r="AL216" s="91">
        <f>IF(E216="Sí",1,IF(E216="Parcial",0.5,0))+IF(F216="Sí",1,IF(F216="Parcial",0.5,0))+IF(G216="Sí",1,IF(G216="Parcial",0.5,0))+IF(H216="Sí",1,IF(H216="Parcial",0.5,0))</f>
        <v>0</v>
      </c>
      <c r="AM216" s="92">
        <f>IF(I216="Sí",1,IF(I216="Parcial",0.5,0))+IF(J216="Sí",1,IF(J216="Parcial",0.5,0))+IF(K216="Sí",1,IF(K216="Parcial",0.5,0))</f>
        <v>0</v>
      </c>
      <c r="AN216" s="93">
        <f>IF(L216="Sí",1,IF(L216="Parcial",0.5,0))+IF(M216="Sí",1,IF(M216="Parcial",0.5,0))+IF(N216="Sí",1,IF(N216="Parcial",0.5,0))+IF(O216="Sí",1,IF(O216="Parcial",0.5,0))</f>
        <v>0</v>
      </c>
      <c r="AO216" s="94">
        <f>IF(P216="Sí",1,IF(P216="Parcial",0.5,0))+IF(Q216="Sí",1,IF(Q216="Parcial",0.5,0))+IF(R216="Sí",1,IF(R216="Parcial",0.5,0))+IF(S216="Sí",1,IF(S216="Parcial",0.5,0))+IF(T216="Sí",1,IF(T216="Parcial",0.5,0))+IF(U216="Sí",1,IF(U216="Parcial",0.5,0))</f>
        <v>0</v>
      </c>
      <c r="AP216" s="95">
        <f>IF(V216="Sí",1,IF(V216="Parcial",0.5,0))+IF(W216="Sí",1,IF(W216="Parcial",0.5,0))+IF(X216="Sí",1,IF(X216="Parcial",0.5,0))+IF(Y216="Sí",1,IF(Y216="Parcial",0.5,0))</f>
        <v>0</v>
      </c>
      <c r="AQ216" s="96">
        <f>IF(Z216="Sí",1,IF(Z216="Parcial",0.5,0))+IF(AA216="Sí",1,IF(AA216="Parcial",0.5,0))+IF(AB216="Sí",1,IF(AB216="Parcial",0.5,0))</f>
        <v>0</v>
      </c>
      <c r="AR216" s="97">
        <f>IF(AC216="Sí",1,IF(AC216="Parcial",0.5,0))+IF(AD216="Sí",1,IF(AD216="Parcial",0.5,0))+IF(AE216="Sí",1,IF(AE216="Parcial",0.5,0))</f>
        <v>0</v>
      </c>
      <c r="AS216" s="98">
        <f>IF(AF216="Sí",1,IF(AF216="Parcial",0.5,0))+IF(AG216="Sí",1,IF(AG216="Parcial",0.5,0))+IF(AH216="Sí",1,IF(AH216="Parcial",0.5,0))</f>
        <v>0</v>
      </c>
      <c r="AT216" s="99">
        <f>IF(AI216="Sí",1,IF(AI216="Parcial",0.5,0))+IF(AJ216="Sí",1,IF(AJ216="Parcial",0.5,0))+IF(AK216="Sí",1,IF(AK216="Parcial",0.5,0))</f>
        <v>0</v>
      </c>
      <c r="AU216" s="100">
        <f>SUM(AL216,AM216,AN216,AO216,AP216,AQ216,AR216,AS216,AT216)</f>
        <v>0</v>
      </c>
      <c r="AV216" s="54" t="str">
        <f>IF(A216="","",IF((IF(AL216&gt;=1,1,0)+IF(AM216&gt;=1,1,0)+IF(AN216&gt;=1,1,0)+IF(AO216&gt;=1,1,0)+IF(AP216&gt;=1,1,0)+IF(AQ216&gt;=1,1,0)+IF(AR216&gt;=1,1,0)+IF(AS216&gt;=1,1,0)+IF(AT216&gt;=1,1,0))&gt;=5,"Diversificado (5+ verticales)",IF((IF(AL216&gt;=1,1,0)+IF(AM216&gt;=1,1,0)+IF(AN216&gt;=1,1,0)+IF(AO216&gt;=1,1,0)+IF(AP216&gt;=1,1,0)+IF(AQ216&gt;=1,1,0)+IF(AR216&gt;=1,1,0)+IF(AS216&gt;=1,1,0)+IF(AT216&gt;=1,1,0))&gt;=3,"Multi-capacidad (3-4 verticales)",IF((IF(AL216&gt;=1,1,0)+IF(AM216&gt;=1,1,0)+IF(AN216&gt;=1,1,0)+IF(AO216&gt;=1,1,0)+IF(AP216&gt;=1,1,0)+IF(AQ216&gt;=1,1,0)+IF(AR216&gt;=1,1,0)+IF(AS216&gt;=1,1,0)+IF(AT216&gt;=1,1,0))&gt;=1,"Especialista (1-2 verticales)","Sin función mapeada"))))</f>
        <v/>
      </c>
    </row>
    <row r="217" spans="3:48" ht="15" customHeight="1" x14ac:dyDescent="0.2">
      <c r="C217" s="53" t="str">
        <f>IF(A217="","",IFERROR(INDEX('UNIVERSO MAESTRO'!$C$6:$C$497,MATCH(A217,'UNIVERSO MAESTRO'!$A$6:$A$497,0)),"⚠ ID no encontrado"))</f>
        <v/>
      </c>
      <c r="D217" s="54" t="str">
        <f>IF(A217="","",IFERROR(INDEX('UNIVERSO MAESTRO'!$D$6:$D$497,MATCH(A217,'UNIVERSO MAESTRO'!$A$6:$A$497,0)),""))</f>
        <v/>
      </c>
      <c r="AL217" s="91">
        <f>IF(E217="Sí",1,IF(E217="Parcial",0.5,0))+IF(F217="Sí",1,IF(F217="Parcial",0.5,0))+IF(G217="Sí",1,IF(G217="Parcial",0.5,0))+IF(H217="Sí",1,IF(H217="Parcial",0.5,0))</f>
        <v>0</v>
      </c>
      <c r="AM217" s="92">
        <f>IF(I217="Sí",1,IF(I217="Parcial",0.5,0))+IF(J217="Sí",1,IF(J217="Parcial",0.5,0))+IF(K217="Sí",1,IF(K217="Parcial",0.5,0))</f>
        <v>0</v>
      </c>
      <c r="AN217" s="93">
        <f>IF(L217="Sí",1,IF(L217="Parcial",0.5,0))+IF(M217="Sí",1,IF(M217="Parcial",0.5,0))+IF(N217="Sí",1,IF(N217="Parcial",0.5,0))+IF(O217="Sí",1,IF(O217="Parcial",0.5,0))</f>
        <v>0</v>
      </c>
      <c r="AO217" s="94">
        <f>IF(P217="Sí",1,IF(P217="Parcial",0.5,0))+IF(Q217="Sí",1,IF(Q217="Parcial",0.5,0))+IF(R217="Sí",1,IF(R217="Parcial",0.5,0))+IF(S217="Sí",1,IF(S217="Parcial",0.5,0))+IF(T217="Sí",1,IF(T217="Parcial",0.5,0))+IF(U217="Sí",1,IF(U217="Parcial",0.5,0))</f>
        <v>0</v>
      </c>
      <c r="AP217" s="95">
        <f>IF(V217="Sí",1,IF(V217="Parcial",0.5,0))+IF(W217="Sí",1,IF(W217="Parcial",0.5,0))+IF(X217="Sí",1,IF(X217="Parcial",0.5,0))+IF(Y217="Sí",1,IF(Y217="Parcial",0.5,0))</f>
        <v>0</v>
      </c>
      <c r="AQ217" s="96">
        <f>IF(Z217="Sí",1,IF(Z217="Parcial",0.5,0))+IF(AA217="Sí",1,IF(AA217="Parcial",0.5,0))+IF(AB217="Sí",1,IF(AB217="Parcial",0.5,0))</f>
        <v>0</v>
      </c>
      <c r="AR217" s="97">
        <f>IF(AC217="Sí",1,IF(AC217="Parcial",0.5,0))+IF(AD217="Sí",1,IF(AD217="Parcial",0.5,0))+IF(AE217="Sí",1,IF(AE217="Parcial",0.5,0))</f>
        <v>0</v>
      </c>
      <c r="AS217" s="98">
        <f>IF(AF217="Sí",1,IF(AF217="Parcial",0.5,0))+IF(AG217="Sí",1,IF(AG217="Parcial",0.5,0))+IF(AH217="Sí",1,IF(AH217="Parcial",0.5,0))</f>
        <v>0</v>
      </c>
      <c r="AT217" s="99">
        <f>IF(AI217="Sí",1,IF(AI217="Parcial",0.5,0))+IF(AJ217="Sí",1,IF(AJ217="Parcial",0.5,0))+IF(AK217="Sí",1,IF(AK217="Parcial",0.5,0))</f>
        <v>0</v>
      </c>
      <c r="AU217" s="100">
        <f>SUM(AL217,AM217,AN217,AO217,AP217,AQ217,AR217,AS217,AT217)</f>
        <v>0</v>
      </c>
      <c r="AV217" s="54" t="str">
        <f>IF(A217="","",IF((IF(AL217&gt;=1,1,0)+IF(AM217&gt;=1,1,0)+IF(AN217&gt;=1,1,0)+IF(AO217&gt;=1,1,0)+IF(AP217&gt;=1,1,0)+IF(AQ217&gt;=1,1,0)+IF(AR217&gt;=1,1,0)+IF(AS217&gt;=1,1,0)+IF(AT217&gt;=1,1,0))&gt;=5,"Diversificado (5+ verticales)",IF((IF(AL217&gt;=1,1,0)+IF(AM217&gt;=1,1,0)+IF(AN217&gt;=1,1,0)+IF(AO217&gt;=1,1,0)+IF(AP217&gt;=1,1,0)+IF(AQ217&gt;=1,1,0)+IF(AR217&gt;=1,1,0)+IF(AS217&gt;=1,1,0)+IF(AT217&gt;=1,1,0))&gt;=3,"Multi-capacidad (3-4 verticales)",IF((IF(AL217&gt;=1,1,0)+IF(AM217&gt;=1,1,0)+IF(AN217&gt;=1,1,0)+IF(AO217&gt;=1,1,0)+IF(AP217&gt;=1,1,0)+IF(AQ217&gt;=1,1,0)+IF(AR217&gt;=1,1,0)+IF(AS217&gt;=1,1,0)+IF(AT217&gt;=1,1,0))&gt;=1,"Especialista (1-2 verticales)","Sin función mapeada"))))</f>
        <v/>
      </c>
    </row>
    <row r="218" spans="3:48" ht="15" customHeight="1" x14ac:dyDescent="0.2">
      <c r="C218" s="53" t="str">
        <f>IF(A218="","",IFERROR(INDEX('UNIVERSO MAESTRO'!$C$6:$C$497,MATCH(A218,'UNIVERSO MAESTRO'!$A$6:$A$497,0)),"⚠ ID no encontrado"))</f>
        <v/>
      </c>
      <c r="D218" s="54" t="str">
        <f>IF(A218="","",IFERROR(INDEX('UNIVERSO MAESTRO'!$D$6:$D$497,MATCH(A218,'UNIVERSO MAESTRO'!$A$6:$A$497,0)),""))</f>
        <v/>
      </c>
      <c r="AL218" s="91">
        <f>IF(E218="Sí",1,IF(E218="Parcial",0.5,0))+IF(F218="Sí",1,IF(F218="Parcial",0.5,0))+IF(G218="Sí",1,IF(G218="Parcial",0.5,0))+IF(H218="Sí",1,IF(H218="Parcial",0.5,0))</f>
        <v>0</v>
      </c>
      <c r="AM218" s="92">
        <f>IF(I218="Sí",1,IF(I218="Parcial",0.5,0))+IF(J218="Sí",1,IF(J218="Parcial",0.5,0))+IF(K218="Sí",1,IF(K218="Parcial",0.5,0))</f>
        <v>0</v>
      </c>
      <c r="AN218" s="93">
        <f>IF(L218="Sí",1,IF(L218="Parcial",0.5,0))+IF(M218="Sí",1,IF(M218="Parcial",0.5,0))+IF(N218="Sí",1,IF(N218="Parcial",0.5,0))+IF(O218="Sí",1,IF(O218="Parcial",0.5,0))</f>
        <v>0</v>
      </c>
      <c r="AO218" s="94">
        <f>IF(P218="Sí",1,IF(P218="Parcial",0.5,0))+IF(Q218="Sí",1,IF(Q218="Parcial",0.5,0))+IF(R218="Sí",1,IF(R218="Parcial",0.5,0))+IF(S218="Sí",1,IF(S218="Parcial",0.5,0))+IF(T218="Sí",1,IF(T218="Parcial",0.5,0))+IF(U218="Sí",1,IF(U218="Parcial",0.5,0))</f>
        <v>0</v>
      </c>
      <c r="AP218" s="95">
        <f>IF(V218="Sí",1,IF(V218="Parcial",0.5,0))+IF(W218="Sí",1,IF(W218="Parcial",0.5,0))+IF(X218="Sí",1,IF(X218="Parcial",0.5,0))+IF(Y218="Sí",1,IF(Y218="Parcial",0.5,0))</f>
        <v>0</v>
      </c>
      <c r="AQ218" s="96">
        <f>IF(Z218="Sí",1,IF(Z218="Parcial",0.5,0))+IF(AA218="Sí",1,IF(AA218="Parcial",0.5,0))+IF(AB218="Sí",1,IF(AB218="Parcial",0.5,0))</f>
        <v>0</v>
      </c>
      <c r="AR218" s="97">
        <f>IF(AC218="Sí",1,IF(AC218="Parcial",0.5,0))+IF(AD218="Sí",1,IF(AD218="Parcial",0.5,0))+IF(AE218="Sí",1,IF(AE218="Parcial",0.5,0))</f>
        <v>0</v>
      </c>
      <c r="AS218" s="98">
        <f>IF(AF218="Sí",1,IF(AF218="Parcial",0.5,0))+IF(AG218="Sí",1,IF(AG218="Parcial",0.5,0))+IF(AH218="Sí",1,IF(AH218="Parcial",0.5,0))</f>
        <v>0</v>
      </c>
      <c r="AT218" s="99">
        <f>IF(AI218="Sí",1,IF(AI218="Parcial",0.5,0))+IF(AJ218="Sí",1,IF(AJ218="Parcial",0.5,0))+IF(AK218="Sí",1,IF(AK218="Parcial",0.5,0))</f>
        <v>0</v>
      </c>
      <c r="AU218" s="100">
        <f>SUM(AL218,AM218,AN218,AO218,AP218,AQ218,AR218,AS218,AT218)</f>
        <v>0</v>
      </c>
      <c r="AV218" s="54" t="str">
        <f>IF(A218="","",IF((IF(AL218&gt;=1,1,0)+IF(AM218&gt;=1,1,0)+IF(AN218&gt;=1,1,0)+IF(AO218&gt;=1,1,0)+IF(AP218&gt;=1,1,0)+IF(AQ218&gt;=1,1,0)+IF(AR218&gt;=1,1,0)+IF(AS218&gt;=1,1,0)+IF(AT218&gt;=1,1,0))&gt;=5,"Diversificado (5+ verticales)",IF((IF(AL218&gt;=1,1,0)+IF(AM218&gt;=1,1,0)+IF(AN218&gt;=1,1,0)+IF(AO218&gt;=1,1,0)+IF(AP218&gt;=1,1,0)+IF(AQ218&gt;=1,1,0)+IF(AR218&gt;=1,1,0)+IF(AS218&gt;=1,1,0)+IF(AT218&gt;=1,1,0))&gt;=3,"Multi-capacidad (3-4 verticales)",IF((IF(AL218&gt;=1,1,0)+IF(AM218&gt;=1,1,0)+IF(AN218&gt;=1,1,0)+IF(AO218&gt;=1,1,0)+IF(AP218&gt;=1,1,0)+IF(AQ218&gt;=1,1,0)+IF(AR218&gt;=1,1,0)+IF(AS218&gt;=1,1,0)+IF(AT218&gt;=1,1,0))&gt;=1,"Especialista (1-2 verticales)","Sin función mapeada"))))</f>
        <v/>
      </c>
    </row>
    <row r="219" spans="3:48" ht="15" customHeight="1" x14ac:dyDescent="0.2">
      <c r="C219" s="53" t="str">
        <f>IF(A219="","",IFERROR(INDEX('UNIVERSO MAESTRO'!$C$6:$C$497,MATCH(A219,'UNIVERSO MAESTRO'!$A$6:$A$497,0)),"⚠ ID no encontrado"))</f>
        <v/>
      </c>
      <c r="D219" s="54" t="str">
        <f>IF(A219="","",IFERROR(INDEX('UNIVERSO MAESTRO'!$D$6:$D$497,MATCH(A219,'UNIVERSO MAESTRO'!$A$6:$A$497,0)),""))</f>
        <v/>
      </c>
      <c r="AL219" s="91">
        <f>IF(E219="Sí",1,IF(E219="Parcial",0.5,0))+IF(F219="Sí",1,IF(F219="Parcial",0.5,0))+IF(G219="Sí",1,IF(G219="Parcial",0.5,0))+IF(H219="Sí",1,IF(H219="Parcial",0.5,0))</f>
        <v>0</v>
      </c>
      <c r="AM219" s="92">
        <f>IF(I219="Sí",1,IF(I219="Parcial",0.5,0))+IF(J219="Sí",1,IF(J219="Parcial",0.5,0))+IF(K219="Sí",1,IF(K219="Parcial",0.5,0))</f>
        <v>0</v>
      </c>
      <c r="AN219" s="93">
        <f>IF(L219="Sí",1,IF(L219="Parcial",0.5,0))+IF(M219="Sí",1,IF(M219="Parcial",0.5,0))+IF(N219="Sí",1,IF(N219="Parcial",0.5,0))+IF(O219="Sí",1,IF(O219="Parcial",0.5,0))</f>
        <v>0</v>
      </c>
      <c r="AO219" s="94">
        <f>IF(P219="Sí",1,IF(P219="Parcial",0.5,0))+IF(Q219="Sí",1,IF(Q219="Parcial",0.5,0))+IF(R219="Sí",1,IF(R219="Parcial",0.5,0))+IF(S219="Sí",1,IF(S219="Parcial",0.5,0))+IF(T219="Sí",1,IF(T219="Parcial",0.5,0))+IF(U219="Sí",1,IF(U219="Parcial",0.5,0))</f>
        <v>0</v>
      </c>
      <c r="AP219" s="95">
        <f>IF(V219="Sí",1,IF(V219="Parcial",0.5,0))+IF(W219="Sí",1,IF(W219="Parcial",0.5,0))+IF(X219="Sí",1,IF(X219="Parcial",0.5,0))+IF(Y219="Sí",1,IF(Y219="Parcial",0.5,0))</f>
        <v>0</v>
      </c>
      <c r="AQ219" s="96">
        <f>IF(Z219="Sí",1,IF(Z219="Parcial",0.5,0))+IF(AA219="Sí",1,IF(AA219="Parcial",0.5,0))+IF(AB219="Sí",1,IF(AB219="Parcial",0.5,0))</f>
        <v>0</v>
      </c>
      <c r="AR219" s="97">
        <f>IF(AC219="Sí",1,IF(AC219="Parcial",0.5,0))+IF(AD219="Sí",1,IF(AD219="Parcial",0.5,0))+IF(AE219="Sí",1,IF(AE219="Parcial",0.5,0))</f>
        <v>0</v>
      </c>
      <c r="AS219" s="98">
        <f>IF(AF219="Sí",1,IF(AF219="Parcial",0.5,0))+IF(AG219="Sí",1,IF(AG219="Parcial",0.5,0))+IF(AH219="Sí",1,IF(AH219="Parcial",0.5,0))</f>
        <v>0</v>
      </c>
      <c r="AT219" s="99">
        <f>IF(AI219="Sí",1,IF(AI219="Parcial",0.5,0))+IF(AJ219="Sí",1,IF(AJ219="Parcial",0.5,0))+IF(AK219="Sí",1,IF(AK219="Parcial",0.5,0))</f>
        <v>0</v>
      </c>
      <c r="AU219" s="100">
        <f>SUM(AL219,AM219,AN219,AO219,AP219,AQ219,AR219,AS219,AT219)</f>
        <v>0</v>
      </c>
      <c r="AV219" s="54" t="str">
        <f>IF(A219="","",IF((IF(AL219&gt;=1,1,0)+IF(AM219&gt;=1,1,0)+IF(AN219&gt;=1,1,0)+IF(AO219&gt;=1,1,0)+IF(AP219&gt;=1,1,0)+IF(AQ219&gt;=1,1,0)+IF(AR219&gt;=1,1,0)+IF(AS219&gt;=1,1,0)+IF(AT219&gt;=1,1,0))&gt;=5,"Diversificado (5+ verticales)",IF((IF(AL219&gt;=1,1,0)+IF(AM219&gt;=1,1,0)+IF(AN219&gt;=1,1,0)+IF(AO219&gt;=1,1,0)+IF(AP219&gt;=1,1,0)+IF(AQ219&gt;=1,1,0)+IF(AR219&gt;=1,1,0)+IF(AS219&gt;=1,1,0)+IF(AT219&gt;=1,1,0))&gt;=3,"Multi-capacidad (3-4 verticales)",IF((IF(AL219&gt;=1,1,0)+IF(AM219&gt;=1,1,0)+IF(AN219&gt;=1,1,0)+IF(AO219&gt;=1,1,0)+IF(AP219&gt;=1,1,0)+IF(AQ219&gt;=1,1,0)+IF(AR219&gt;=1,1,0)+IF(AS219&gt;=1,1,0)+IF(AT219&gt;=1,1,0))&gt;=1,"Especialista (1-2 verticales)","Sin función mapeada"))))</f>
        <v/>
      </c>
    </row>
    <row r="220" spans="3:48" ht="15" customHeight="1" x14ac:dyDescent="0.2">
      <c r="C220" s="53" t="str">
        <f>IF(A220="","",IFERROR(INDEX('UNIVERSO MAESTRO'!$C$6:$C$497,MATCH(A220,'UNIVERSO MAESTRO'!$A$6:$A$497,0)),"⚠ ID no encontrado"))</f>
        <v/>
      </c>
      <c r="D220" s="54" t="str">
        <f>IF(A220="","",IFERROR(INDEX('UNIVERSO MAESTRO'!$D$6:$D$497,MATCH(A220,'UNIVERSO MAESTRO'!$A$6:$A$497,0)),""))</f>
        <v/>
      </c>
      <c r="AL220" s="91">
        <f>IF(E220="Sí",1,IF(E220="Parcial",0.5,0))+IF(F220="Sí",1,IF(F220="Parcial",0.5,0))+IF(G220="Sí",1,IF(G220="Parcial",0.5,0))+IF(H220="Sí",1,IF(H220="Parcial",0.5,0))</f>
        <v>0</v>
      </c>
      <c r="AM220" s="92">
        <f>IF(I220="Sí",1,IF(I220="Parcial",0.5,0))+IF(J220="Sí",1,IF(J220="Parcial",0.5,0))+IF(K220="Sí",1,IF(K220="Parcial",0.5,0))</f>
        <v>0</v>
      </c>
      <c r="AN220" s="93">
        <f>IF(L220="Sí",1,IF(L220="Parcial",0.5,0))+IF(M220="Sí",1,IF(M220="Parcial",0.5,0))+IF(N220="Sí",1,IF(N220="Parcial",0.5,0))+IF(O220="Sí",1,IF(O220="Parcial",0.5,0))</f>
        <v>0</v>
      </c>
      <c r="AO220" s="94">
        <f>IF(P220="Sí",1,IF(P220="Parcial",0.5,0))+IF(Q220="Sí",1,IF(Q220="Parcial",0.5,0))+IF(R220="Sí",1,IF(R220="Parcial",0.5,0))+IF(S220="Sí",1,IF(S220="Parcial",0.5,0))+IF(T220="Sí",1,IF(T220="Parcial",0.5,0))+IF(U220="Sí",1,IF(U220="Parcial",0.5,0))</f>
        <v>0</v>
      </c>
      <c r="AP220" s="95">
        <f>IF(V220="Sí",1,IF(V220="Parcial",0.5,0))+IF(W220="Sí",1,IF(W220="Parcial",0.5,0))+IF(X220="Sí",1,IF(X220="Parcial",0.5,0))+IF(Y220="Sí",1,IF(Y220="Parcial",0.5,0))</f>
        <v>0</v>
      </c>
      <c r="AQ220" s="96">
        <f>IF(Z220="Sí",1,IF(Z220="Parcial",0.5,0))+IF(AA220="Sí",1,IF(AA220="Parcial",0.5,0))+IF(AB220="Sí",1,IF(AB220="Parcial",0.5,0))</f>
        <v>0</v>
      </c>
      <c r="AR220" s="97">
        <f>IF(AC220="Sí",1,IF(AC220="Parcial",0.5,0))+IF(AD220="Sí",1,IF(AD220="Parcial",0.5,0))+IF(AE220="Sí",1,IF(AE220="Parcial",0.5,0))</f>
        <v>0</v>
      </c>
      <c r="AS220" s="98">
        <f>IF(AF220="Sí",1,IF(AF220="Parcial",0.5,0))+IF(AG220="Sí",1,IF(AG220="Parcial",0.5,0))+IF(AH220="Sí",1,IF(AH220="Parcial",0.5,0))</f>
        <v>0</v>
      </c>
      <c r="AT220" s="99">
        <f>IF(AI220="Sí",1,IF(AI220="Parcial",0.5,0))+IF(AJ220="Sí",1,IF(AJ220="Parcial",0.5,0))+IF(AK220="Sí",1,IF(AK220="Parcial",0.5,0))</f>
        <v>0</v>
      </c>
      <c r="AU220" s="100">
        <f>SUM(AL220,AM220,AN220,AO220,AP220,AQ220,AR220,AS220,AT220)</f>
        <v>0</v>
      </c>
      <c r="AV220" s="54" t="str">
        <f>IF(A220="","",IF((IF(AL220&gt;=1,1,0)+IF(AM220&gt;=1,1,0)+IF(AN220&gt;=1,1,0)+IF(AO220&gt;=1,1,0)+IF(AP220&gt;=1,1,0)+IF(AQ220&gt;=1,1,0)+IF(AR220&gt;=1,1,0)+IF(AS220&gt;=1,1,0)+IF(AT220&gt;=1,1,0))&gt;=5,"Diversificado (5+ verticales)",IF((IF(AL220&gt;=1,1,0)+IF(AM220&gt;=1,1,0)+IF(AN220&gt;=1,1,0)+IF(AO220&gt;=1,1,0)+IF(AP220&gt;=1,1,0)+IF(AQ220&gt;=1,1,0)+IF(AR220&gt;=1,1,0)+IF(AS220&gt;=1,1,0)+IF(AT220&gt;=1,1,0))&gt;=3,"Multi-capacidad (3-4 verticales)",IF((IF(AL220&gt;=1,1,0)+IF(AM220&gt;=1,1,0)+IF(AN220&gt;=1,1,0)+IF(AO220&gt;=1,1,0)+IF(AP220&gt;=1,1,0)+IF(AQ220&gt;=1,1,0)+IF(AR220&gt;=1,1,0)+IF(AS220&gt;=1,1,0)+IF(AT220&gt;=1,1,0))&gt;=1,"Especialista (1-2 verticales)","Sin función mapeada"))))</f>
        <v/>
      </c>
    </row>
    <row r="221" spans="3:48" ht="15" customHeight="1" x14ac:dyDescent="0.2">
      <c r="C221" s="53" t="str">
        <f>IF(A221="","",IFERROR(INDEX('UNIVERSO MAESTRO'!$C$6:$C$497,MATCH(A221,'UNIVERSO MAESTRO'!$A$6:$A$497,0)),"⚠ ID no encontrado"))</f>
        <v/>
      </c>
      <c r="D221" s="54" t="str">
        <f>IF(A221="","",IFERROR(INDEX('UNIVERSO MAESTRO'!$D$6:$D$497,MATCH(A221,'UNIVERSO MAESTRO'!$A$6:$A$497,0)),""))</f>
        <v/>
      </c>
      <c r="AL221" s="91">
        <f>IF(E221="Sí",1,IF(E221="Parcial",0.5,0))+IF(F221="Sí",1,IF(F221="Parcial",0.5,0))+IF(G221="Sí",1,IF(G221="Parcial",0.5,0))+IF(H221="Sí",1,IF(H221="Parcial",0.5,0))</f>
        <v>0</v>
      </c>
      <c r="AM221" s="92">
        <f>IF(I221="Sí",1,IF(I221="Parcial",0.5,0))+IF(J221="Sí",1,IF(J221="Parcial",0.5,0))+IF(K221="Sí",1,IF(K221="Parcial",0.5,0))</f>
        <v>0</v>
      </c>
      <c r="AN221" s="93">
        <f>IF(L221="Sí",1,IF(L221="Parcial",0.5,0))+IF(M221="Sí",1,IF(M221="Parcial",0.5,0))+IF(N221="Sí",1,IF(N221="Parcial",0.5,0))+IF(O221="Sí",1,IF(O221="Parcial",0.5,0))</f>
        <v>0</v>
      </c>
      <c r="AO221" s="94">
        <f>IF(P221="Sí",1,IF(P221="Parcial",0.5,0))+IF(Q221="Sí",1,IF(Q221="Parcial",0.5,0))+IF(R221="Sí",1,IF(R221="Parcial",0.5,0))+IF(S221="Sí",1,IF(S221="Parcial",0.5,0))+IF(T221="Sí",1,IF(T221="Parcial",0.5,0))+IF(U221="Sí",1,IF(U221="Parcial",0.5,0))</f>
        <v>0</v>
      </c>
      <c r="AP221" s="95">
        <f>IF(V221="Sí",1,IF(V221="Parcial",0.5,0))+IF(W221="Sí",1,IF(W221="Parcial",0.5,0))+IF(X221="Sí",1,IF(X221="Parcial",0.5,0))+IF(Y221="Sí",1,IF(Y221="Parcial",0.5,0))</f>
        <v>0</v>
      </c>
      <c r="AQ221" s="96">
        <f>IF(Z221="Sí",1,IF(Z221="Parcial",0.5,0))+IF(AA221="Sí",1,IF(AA221="Parcial",0.5,0))+IF(AB221="Sí",1,IF(AB221="Parcial",0.5,0))</f>
        <v>0</v>
      </c>
      <c r="AR221" s="97">
        <f>IF(AC221="Sí",1,IF(AC221="Parcial",0.5,0))+IF(AD221="Sí",1,IF(AD221="Parcial",0.5,0))+IF(AE221="Sí",1,IF(AE221="Parcial",0.5,0))</f>
        <v>0</v>
      </c>
      <c r="AS221" s="98">
        <f>IF(AF221="Sí",1,IF(AF221="Parcial",0.5,0))+IF(AG221="Sí",1,IF(AG221="Parcial",0.5,0))+IF(AH221="Sí",1,IF(AH221="Parcial",0.5,0))</f>
        <v>0</v>
      </c>
      <c r="AT221" s="99">
        <f>IF(AI221="Sí",1,IF(AI221="Parcial",0.5,0))+IF(AJ221="Sí",1,IF(AJ221="Parcial",0.5,0))+IF(AK221="Sí",1,IF(AK221="Parcial",0.5,0))</f>
        <v>0</v>
      </c>
      <c r="AU221" s="100">
        <f>SUM(AL221,AM221,AN221,AO221,AP221,AQ221,AR221,AS221,AT221)</f>
        <v>0</v>
      </c>
      <c r="AV221" s="54" t="str">
        <f>IF(A221="","",IF((IF(AL221&gt;=1,1,0)+IF(AM221&gt;=1,1,0)+IF(AN221&gt;=1,1,0)+IF(AO221&gt;=1,1,0)+IF(AP221&gt;=1,1,0)+IF(AQ221&gt;=1,1,0)+IF(AR221&gt;=1,1,0)+IF(AS221&gt;=1,1,0)+IF(AT221&gt;=1,1,0))&gt;=5,"Diversificado (5+ verticales)",IF((IF(AL221&gt;=1,1,0)+IF(AM221&gt;=1,1,0)+IF(AN221&gt;=1,1,0)+IF(AO221&gt;=1,1,0)+IF(AP221&gt;=1,1,0)+IF(AQ221&gt;=1,1,0)+IF(AR221&gt;=1,1,0)+IF(AS221&gt;=1,1,0)+IF(AT221&gt;=1,1,0))&gt;=3,"Multi-capacidad (3-4 verticales)",IF((IF(AL221&gt;=1,1,0)+IF(AM221&gt;=1,1,0)+IF(AN221&gt;=1,1,0)+IF(AO221&gt;=1,1,0)+IF(AP221&gt;=1,1,0)+IF(AQ221&gt;=1,1,0)+IF(AR221&gt;=1,1,0)+IF(AS221&gt;=1,1,0)+IF(AT221&gt;=1,1,0))&gt;=1,"Especialista (1-2 verticales)","Sin función mapeada"))))</f>
        <v/>
      </c>
    </row>
    <row r="222" spans="3:48" ht="15" customHeight="1" x14ac:dyDescent="0.2">
      <c r="C222" s="53" t="str">
        <f>IF(A222="","",IFERROR(INDEX('UNIVERSO MAESTRO'!$C$6:$C$497,MATCH(A222,'UNIVERSO MAESTRO'!$A$6:$A$497,0)),"⚠ ID no encontrado"))</f>
        <v/>
      </c>
      <c r="D222" s="54" t="str">
        <f>IF(A222="","",IFERROR(INDEX('UNIVERSO MAESTRO'!$D$6:$D$497,MATCH(A222,'UNIVERSO MAESTRO'!$A$6:$A$497,0)),""))</f>
        <v/>
      </c>
      <c r="AL222" s="91">
        <f>IF(E222="Sí",1,IF(E222="Parcial",0.5,0))+IF(F222="Sí",1,IF(F222="Parcial",0.5,0))+IF(G222="Sí",1,IF(G222="Parcial",0.5,0))+IF(H222="Sí",1,IF(H222="Parcial",0.5,0))</f>
        <v>0</v>
      </c>
      <c r="AM222" s="92">
        <f>IF(I222="Sí",1,IF(I222="Parcial",0.5,0))+IF(J222="Sí",1,IF(J222="Parcial",0.5,0))+IF(K222="Sí",1,IF(K222="Parcial",0.5,0))</f>
        <v>0</v>
      </c>
      <c r="AN222" s="93">
        <f>IF(L222="Sí",1,IF(L222="Parcial",0.5,0))+IF(M222="Sí",1,IF(M222="Parcial",0.5,0))+IF(N222="Sí",1,IF(N222="Parcial",0.5,0))+IF(O222="Sí",1,IF(O222="Parcial",0.5,0))</f>
        <v>0</v>
      </c>
      <c r="AO222" s="94">
        <f>IF(P222="Sí",1,IF(P222="Parcial",0.5,0))+IF(Q222="Sí",1,IF(Q222="Parcial",0.5,0))+IF(R222="Sí",1,IF(R222="Parcial",0.5,0))+IF(S222="Sí",1,IF(S222="Parcial",0.5,0))+IF(T222="Sí",1,IF(T222="Parcial",0.5,0))+IF(U222="Sí",1,IF(U222="Parcial",0.5,0))</f>
        <v>0</v>
      </c>
      <c r="AP222" s="95">
        <f>IF(V222="Sí",1,IF(V222="Parcial",0.5,0))+IF(W222="Sí",1,IF(W222="Parcial",0.5,0))+IF(X222="Sí",1,IF(X222="Parcial",0.5,0))+IF(Y222="Sí",1,IF(Y222="Parcial",0.5,0))</f>
        <v>0</v>
      </c>
      <c r="AQ222" s="96">
        <f>IF(Z222="Sí",1,IF(Z222="Parcial",0.5,0))+IF(AA222="Sí",1,IF(AA222="Parcial",0.5,0))+IF(AB222="Sí",1,IF(AB222="Parcial",0.5,0))</f>
        <v>0</v>
      </c>
      <c r="AR222" s="97">
        <f>IF(AC222="Sí",1,IF(AC222="Parcial",0.5,0))+IF(AD222="Sí",1,IF(AD222="Parcial",0.5,0))+IF(AE222="Sí",1,IF(AE222="Parcial",0.5,0))</f>
        <v>0</v>
      </c>
      <c r="AS222" s="98">
        <f>IF(AF222="Sí",1,IF(AF222="Parcial",0.5,0))+IF(AG222="Sí",1,IF(AG222="Parcial",0.5,0))+IF(AH222="Sí",1,IF(AH222="Parcial",0.5,0))</f>
        <v>0</v>
      </c>
      <c r="AT222" s="99">
        <f>IF(AI222="Sí",1,IF(AI222="Parcial",0.5,0))+IF(AJ222="Sí",1,IF(AJ222="Parcial",0.5,0))+IF(AK222="Sí",1,IF(AK222="Parcial",0.5,0))</f>
        <v>0</v>
      </c>
      <c r="AU222" s="100">
        <f>SUM(AL222,AM222,AN222,AO222,AP222,AQ222,AR222,AS222,AT222)</f>
        <v>0</v>
      </c>
      <c r="AV222" s="54" t="str">
        <f>IF(A222="","",IF((IF(AL222&gt;=1,1,0)+IF(AM222&gt;=1,1,0)+IF(AN222&gt;=1,1,0)+IF(AO222&gt;=1,1,0)+IF(AP222&gt;=1,1,0)+IF(AQ222&gt;=1,1,0)+IF(AR222&gt;=1,1,0)+IF(AS222&gt;=1,1,0)+IF(AT222&gt;=1,1,0))&gt;=5,"Diversificado (5+ verticales)",IF((IF(AL222&gt;=1,1,0)+IF(AM222&gt;=1,1,0)+IF(AN222&gt;=1,1,0)+IF(AO222&gt;=1,1,0)+IF(AP222&gt;=1,1,0)+IF(AQ222&gt;=1,1,0)+IF(AR222&gt;=1,1,0)+IF(AS222&gt;=1,1,0)+IF(AT222&gt;=1,1,0))&gt;=3,"Multi-capacidad (3-4 verticales)",IF((IF(AL222&gt;=1,1,0)+IF(AM222&gt;=1,1,0)+IF(AN222&gt;=1,1,0)+IF(AO222&gt;=1,1,0)+IF(AP222&gt;=1,1,0)+IF(AQ222&gt;=1,1,0)+IF(AR222&gt;=1,1,0)+IF(AS222&gt;=1,1,0)+IF(AT222&gt;=1,1,0))&gt;=1,"Especialista (1-2 verticales)","Sin función mapeada"))))</f>
        <v/>
      </c>
    </row>
    <row r="223" spans="3:48" ht="15" customHeight="1" x14ac:dyDescent="0.2">
      <c r="C223" s="53" t="str">
        <f>IF(A223="","",IFERROR(INDEX('UNIVERSO MAESTRO'!$C$6:$C$497,MATCH(A223,'UNIVERSO MAESTRO'!$A$6:$A$497,0)),"⚠ ID no encontrado"))</f>
        <v/>
      </c>
      <c r="D223" s="54" t="str">
        <f>IF(A223="","",IFERROR(INDEX('UNIVERSO MAESTRO'!$D$6:$D$497,MATCH(A223,'UNIVERSO MAESTRO'!$A$6:$A$497,0)),""))</f>
        <v/>
      </c>
      <c r="AL223" s="91">
        <f>IF(E223="Sí",1,IF(E223="Parcial",0.5,0))+IF(F223="Sí",1,IF(F223="Parcial",0.5,0))+IF(G223="Sí",1,IF(G223="Parcial",0.5,0))+IF(H223="Sí",1,IF(H223="Parcial",0.5,0))</f>
        <v>0</v>
      </c>
      <c r="AM223" s="92">
        <f>IF(I223="Sí",1,IF(I223="Parcial",0.5,0))+IF(J223="Sí",1,IF(J223="Parcial",0.5,0))+IF(K223="Sí",1,IF(K223="Parcial",0.5,0))</f>
        <v>0</v>
      </c>
      <c r="AN223" s="93">
        <f>IF(L223="Sí",1,IF(L223="Parcial",0.5,0))+IF(M223="Sí",1,IF(M223="Parcial",0.5,0))+IF(N223="Sí",1,IF(N223="Parcial",0.5,0))+IF(O223="Sí",1,IF(O223="Parcial",0.5,0))</f>
        <v>0</v>
      </c>
      <c r="AO223" s="94">
        <f>IF(P223="Sí",1,IF(P223="Parcial",0.5,0))+IF(Q223="Sí",1,IF(Q223="Parcial",0.5,0))+IF(R223="Sí",1,IF(R223="Parcial",0.5,0))+IF(S223="Sí",1,IF(S223="Parcial",0.5,0))+IF(T223="Sí",1,IF(T223="Parcial",0.5,0))+IF(U223="Sí",1,IF(U223="Parcial",0.5,0))</f>
        <v>0</v>
      </c>
      <c r="AP223" s="95">
        <f>IF(V223="Sí",1,IF(V223="Parcial",0.5,0))+IF(W223="Sí",1,IF(W223="Parcial",0.5,0))+IF(X223="Sí",1,IF(X223="Parcial",0.5,0))+IF(Y223="Sí",1,IF(Y223="Parcial",0.5,0))</f>
        <v>0</v>
      </c>
      <c r="AQ223" s="96">
        <f>IF(Z223="Sí",1,IF(Z223="Parcial",0.5,0))+IF(AA223="Sí",1,IF(AA223="Parcial",0.5,0))+IF(AB223="Sí",1,IF(AB223="Parcial",0.5,0))</f>
        <v>0</v>
      </c>
      <c r="AR223" s="97">
        <f>IF(AC223="Sí",1,IF(AC223="Parcial",0.5,0))+IF(AD223="Sí",1,IF(AD223="Parcial",0.5,0))+IF(AE223="Sí",1,IF(AE223="Parcial",0.5,0))</f>
        <v>0</v>
      </c>
      <c r="AS223" s="98">
        <f>IF(AF223="Sí",1,IF(AF223="Parcial",0.5,0))+IF(AG223="Sí",1,IF(AG223="Parcial",0.5,0))+IF(AH223="Sí",1,IF(AH223="Parcial",0.5,0))</f>
        <v>0</v>
      </c>
      <c r="AT223" s="99">
        <f>IF(AI223="Sí",1,IF(AI223="Parcial",0.5,0))+IF(AJ223="Sí",1,IF(AJ223="Parcial",0.5,0))+IF(AK223="Sí",1,IF(AK223="Parcial",0.5,0))</f>
        <v>0</v>
      </c>
      <c r="AU223" s="100">
        <f>SUM(AL223,AM223,AN223,AO223,AP223,AQ223,AR223,AS223,AT223)</f>
        <v>0</v>
      </c>
      <c r="AV223" s="54" t="str">
        <f>IF(A223="","",IF((IF(AL223&gt;=1,1,0)+IF(AM223&gt;=1,1,0)+IF(AN223&gt;=1,1,0)+IF(AO223&gt;=1,1,0)+IF(AP223&gt;=1,1,0)+IF(AQ223&gt;=1,1,0)+IF(AR223&gt;=1,1,0)+IF(AS223&gt;=1,1,0)+IF(AT223&gt;=1,1,0))&gt;=5,"Diversificado (5+ verticales)",IF((IF(AL223&gt;=1,1,0)+IF(AM223&gt;=1,1,0)+IF(AN223&gt;=1,1,0)+IF(AO223&gt;=1,1,0)+IF(AP223&gt;=1,1,0)+IF(AQ223&gt;=1,1,0)+IF(AR223&gt;=1,1,0)+IF(AS223&gt;=1,1,0)+IF(AT223&gt;=1,1,0))&gt;=3,"Multi-capacidad (3-4 verticales)",IF((IF(AL223&gt;=1,1,0)+IF(AM223&gt;=1,1,0)+IF(AN223&gt;=1,1,0)+IF(AO223&gt;=1,1,0)+IF(AP223&gt;=1,1,0)+IF(AQ223&gt;=1,1,0)+IF(AR223&gt;=1,1,0)+IF(AS223&gt;=1,1,0)+IF(AT223&gt;=1,1,0))&gt;=1,"Especialista (1-2 verticales)","Sin función mapeada"))))</f>
        <v/>
      </c>
    </row>
    <row r="224" spans="3:48" ht="15" customHeight="1" x14ac:dyDescent="0.2">
      <c r="C224" s="53" t="str">
        <f>IF(A224="","",IFERROR(INDEX('UNIVERSO MAESTRO'!$C$6:$C$497,MATCH(A224,'UNIVERSO MAESTRO'!$A$6:$A$497,0)),"⚠ ID no encontrado"))</f>
        <v/>
      </c>
      <c r="D224" s="54" t="str">
        <f>IF(A224="","",IFERROR(INDEX('UNIVERSO MAESTRO'!$D$6:$D$497,MATCH(A224,'UNIVERSO MAESTRO'!$A$6:$A$497,0)),""))</f>
        <v/>
      </c>
      <c r="AL224" s="91">
        <f>IF(E224="Sí",1,IF(E224="Parcial",0.5,0))+IF(F224="Sí",1,IF(F224="Parcial",0.5,0))+IF(G224="Sí",1,IF(G224="Parcial",0.5,0))+IF(H224="Sí",1,IF(H224="Parcial",0.5,0))</f>
        <v>0</v>
      </c>
      <c r="AM224" s="92">
        <f>IF(I224="Sí",1,IF(I224="Parcial",0.5,0))+IF(J224="Sí",1,IF(J224="Parcial",0.5,0))+IF(K224="Sí",1,IF(K224="Parcial",0.5,0))</f>
        <v>0</v>
      </c>
      <c r="AN224" s="93">
        <f>IF(L224="Sí",1,IF(L224="Parcial",0.5,0))+IF(M224="Sí",1,IF(M224="Parcial",0.5,0))+IF(N224="Sí",1,IF(N224="Parcial",0.5,0))+IF(O224="Sí",1,IF(O224="Parcial",0.5,0))</f>
        <v>0</v>
      </c>
      <c r="AO224" s="94">
        <f>IF(P224="Sí",1,IF(P224="Parcial",0.5,0))+IF(Q224="Sí",1,IF(Q224="Parcial",0.5,0))+IF(R224="Sí",1,IF(R224="Parcial",0.5,0))+IF(S224="Sí",1,IF(S224="Parcial",0.5,0))+IF(T224="Sí",1,IF(T224="Parcial",0.5,0))+IF(U224="Sí",1,IF(U224="Parcial",0.5,0))</f>
        <v>0</v>
      </c>
      <c r="AP224" s="95">
        <f>IF(V224="Sí",1,IF(V224="Parcial",0.5,0))+IF(W224="Sí",1,IF(W224="Parcial",0.5,0))+IF(X224="Sí",1,IF(X224="Parcial",0.5,0))+IF(Y224="Sí",1,IF(Y224="Parcial",0.5,0))</f>
        <v>0</v>
      </c>
      <c r="AQ224" s="96">
        <f>IF(Z224="Sí",1,IF(Z224="Parcial",0.5,0))+IF(AA224="Sí",1,IF(AA224="Parcial",0.5,0))+IF(AB224="Sí",1,IF(AB224="Parcial",0.5,0))</f>
        <v>0</v>
      </c>
      <c r="AR224" s="97">
        <f>IF(AC224="Sí",1,IF(AC224="Parcial",0.5,0))+IF(AD224="Sí",1,IF(AD224="Parcial",0.5,0))+IF(AE224="Sí",1,IF(AE224="Parcial",0.5,0))</f>
        <v>0</v>
      </c>
      <c r="AS224" s="98">
        <f>IF(AF224="Sí",1,IF(AF224="Parcial",0.5,0))+IF(AG224="Sí",1,IF(AG224="Parcial",0.5,0))+IF(AH224="Sí",1,IF(AH224="Parcial",0.5,0))</f>
        <v>0</v>
      </c>
      <c r="AT224" s="99">
        <f>IF(AI224="Sí",1,IF(AI224="Parcial",0.5,0))+IF(AJ224="Sí",1,IF(AJ224="Parcial",0.5,0))+IF(AK224="Sí",1,IF(AK224="Parcial",0.5,0))</f>
        <v>0</v>
      </c>
      <c r="AU224" s="100">
        <f>SUM(AL224,AM224,AN224,AO224,AP224,AQ224,AR224,AS224,AT224)</f>
        <v>0</v>
      </c>
      <c r="AV224" s="54" t="str">
        <f>IF(A224="","",IF((IF(AL224&gt;=1,1,0)+IF(AM224&gt;=1,1,0)+IF(AN224&gt;=1,1,0)+IF(AO224&gt;=1,1,0)+IF(AP224&gt;=1,1,0)+IF(AQ224&gt;=1,1,0)+IF(AR224&gt;=1,1,0)+IF(AS224&gt;=1,1,0)+IF(AT224&gt;=1,1,0))&gt;=5,"Diversificado (5+ verticales)",IF((IF(AL224&gt;=1,1,0)+IF(AM224&gt;=1,1,0)+IF(AN224&gt;=1,1,0)+IF(AO224&gt;=1,1,0)+IF(AP224&gt;=1,1,0)+IF(AQ224&gt;=1,1,0)+IF(AR224&gt;=1,1,0)+IF(AS224&gt;=1,1,0)+IF(AT224&gt;=1,1,0))&gt;=3,"Multi-capacidad (3-4 verticales)",IF((IF(AL224&gt;=1,1,0)+IF(AM224&gt;=1,1,0)+IF(AN224&gt;=1,1,0)+IF(AO224&gt;=1,1,0)+IF(AP224&gt;=1,1,0)+IF(AQ224&gt;=1,1,0)+IF(AR224&gt;=1,1,0)+IF(AS224&gt;=1,1,0)+IF(AT224&gt;=1,1,0))&gt;=1,"Especialista (1-2 verticales)","Sin función mapeada"))))</f>
        <v/>
      </c>
    </row>
    <row r="225" spans="3:48" ht="15" customHeight="1" x14ac:dyDescent="0.2">
      <c r="C225" s="53" t="str">
        <f>IF(A225="","",IFERROR(INDEX('UNIVERSO MAESTRO'!$C$6:$C$497,MATCH(A225,'UNIVERSO MAESTRO'!$A$6:$A$497,0)),"⚠ ID no encontrado"))</f>
        <v/>
      </c>
      <c r="D225" s="54" t="str">
        <f>IF(A225="","",IFERROR(INDEX('UNIVERSO MAESTRO'!$D$6:$D$497,MATCH(A225,'UNIVERSO MAESTRO'!$A$6:$A$497,0)),""))</f>
        <v/>
      </c>
      <c r="AL225" s="91">
        <f>IF(E225="Sí",1,IF(E225="Parcial",0.5,0))+IF(F225="Sí",1,IF(F225="Parcial",0.5,0))+IF(G225="Sí",1,IF(G225="Parcial",0.5,0))+IF(H225="Sí",1,IF(H225="Parcial",0.5,0))</f>
        <v>0</v>
      </c>
      <c r="AM225" s="92">
        <f>IF(I225="Sí",1,IF(I225="Parcial",0.5,0))+IF(J225="Sí",1,IF(J225="Parcial",0.5,0))+IF(K225="Sí",1,IF(K225="Parcial",0.5,0))</f>
        <v>0</v>
      </c>
      <c r="AN225" s="93">
        <f>IF(L225="Sí",1,IF(L225="Parcial",0.5,0))+IF(M225="Sí",1,IF(M225="Parcial",0.5,0))+IF(N225="Sí",1,IF(N225="Parcial",0.5,0))+IF(O225="Sí",1,IF(O225="Parcial",0.5,0))</f>
        <v>0</v>
      </c>
      <c r="AO225" s="94">
        <f>IF(P225="Sí",1,IF(P225="Parcial",0.5,0))+IF(Q225="Sí",1,IF(Q225="Parcial",0.5,0))+IF(R225="Sí",1,IF(R225="Parcial",0.5,0))+IF(S225="Sí",1,IF(S225="Parcial",0.5,0))+IF(T225="Sí",1,IF(T225="Parcial",0.5,0))+IF(U225="Sí",1,IF(U225="Parcial",0.5,0))</f>
        <v>0</v>
      </c>
      <c r="AP225" s="95">
        <f>IF(V225="Sí",1,IF(V225="Parcial",0.5,0))+IF(W225="Sí",1,IF(W225="Parcial",0.5,0))+IF(X225="Sí",1,IF(X225="Parcial",0.5,0))+IF(Y225="Sí",1,IF(Y225="Parcial",0.5,0))</f>
        <v>0</v>
      </c>
      <c r="AQ225" s="96">
        <f>IF(Z225="Sí",1,IF(Z225="Parcial",0.5,0))+IF(AA225="Sí",1,IF(AA225="Parcial",0.5,0))+IF(AB225="Sí",1,IF(AB225="Parcial",0.5,0))</f>
        <v>0</v>
      </c>
      <c r="AR225" s="97">
        <f>IF(AC225="Sí",1,IF(AC225="Parcial",0.5,0))+IF(AD225="Sí",1,IF(AD225="Parcial",0.5,0))+IF(AE225="Sí",1,IF(AE225="Parcial",0.5,0))</f>
        <v>0</v>
      </c>
      <c r="AS225" s="98">
        <f>IF(AF225="Sí",1,IF(AF225="Parcial",0.5,0))+IF(AG225="Sí",1,IF(AG225="Parcial",0.5,0))+IF(AH225="Sí",1,IF(AH225="Parcial",0.5,0))</f>
        <v>0</v>
      </c>
      <c r="AT225" s="99">
        <f>IF(AI225="Sí",1,IF(AI225="Parcial",0.5,0))+IF(AJ225="Sí",1,IF(AJ225="Parcial",0.5,0))+IF(AK225="Sí",1,IF(AK225="Parcial",0.5,0))</f>
        <v>0</v>
      </c>
      <c r="AU225" s="100">
        <f>SUM(AL225,AM225,AN225,AO225,AP225,AQ225,AR225,AS225,AT225)</f>
        <v>0</v>
      </c>
      <c r="AV225" s="54" t="str">
        <f>IF(A225="","",IF((IF(AL225&gt;=1,1,0)+IF(AM225&gt;=1,1,0)+IF(AN225&gt;=1,1,0)+IF(AO225&gt;=1,1,0)+IF(AP225&gt;=1,1,0)+IF(AQ225&gt;=1,1,0)+IF(AR225&gt;=1,1,0)+IF(AS225&gt;=1,1,0)+IF(AT225&gt;=1,1,0))&gt;=5,"Diversificado (5+ verticales)",IF((IF(AL225&gt;=1,1,0)+IF(AM225&gt;=1,1,0)+IF(AN225&gt;=1,1,0)+IF(AO225&gt;=1,1,0)+IF(AP225&gt;=1,1,0)+IF(AQ225&gt;=1,1,0)+IF(AR225&gt;=1,1,0)+IF(AS225&gt;=1,1,0)+IF(AT225&gt;=1,1,0))&gt;=3,"Multi-capacidad (3-4 verticales)",IF((IF(AL225&gt;=1,1,0)+IF(AM225&gt;=1,1,0)+IF(AN225&gt;=1,1,0)+IF(AO225&gt;=1,1,0)+IF(AP225&gt;=1,1,0)+IF(AQ225&gt;=1,1,0)+IF(AR225&gt;=1,1,0)+IF(AS225&gt;=1,1,0)+IF(AT225&gt;=1,1,0))&gt;=1,"Especialista (1-2 verticales)","Sin función mapeada"))))</f>
        <v/>
      </c>
    </row>
    <row r="226" spans="3:48" ht="15" customHeight="1" x14ac:dyDescent="0.2">
      <c r="C226" s="53" t="str">
        <f>IF(A226="","",IFERROR(INDEX('UNIVERSO MAESTRO'!$C$6:$C$497,MATCH(A226,'UNIVERSO MAESTRO'!$A$6:$A$497,0)),"⚠ ID no encontrado"))</f>
        <v/>
      </c>
      <c r="D226" s="54" t="str">
        <f>IF(A226="","",IFERROR(INDEX('UNIVERSO MAESTRO'!$D$6:$D$497,MATCH(A226,'UNIVERSO MAESTRO'!$A$6:$A$497,0)),""))</f>
        <v/>
      </c>
      <c r="AL226" s="91">
        <f>IF(E226="Sí",1,IF(E226="Parcial",0.5,0))+IF(F226="Sí",1,IF(F226="Parcial",0.5,0))+IF(G226="Sí",1,IF(G226="Parcial",0.5,0))+IF(H226="Sí",1,IF(H226="Parcial",0.5,0))</f>
        <v>0</v>
      </c>
      <c r="AM226" s="92">
        <f>IF(I226="Sí",1,IF(I226="Parcial",0.5,0))+IF(J226="Sí",1,IF(J226="Parcial",0.5,0))+IF(K226="Sí",1,IF(K226="Parcial",0.5,0))</f>
        <v>0</v>
      </c>
      <c r="AN226" s="93">
        <f>IF(L226="Sí",1,IF(L226="Parcial",0.5,0))+IF(M226="Sí",1,IF(M226="Parcial",0.5,0))+IF(N226="Sí",1,IF(N226="Parcial",0.5,0))+IF(O226="Sí",1,IF(O226="Parcial",0.5,0))</f>
        <v>0</v>
      </c>
      <c r="AO226" s="94">
        <f>IF(P226="Sí",1,IF(P226="Parcial",0.5,0))+IF(Q226="Sí",1,IF(Q226="Parcial",0.5,0))+IF(R226="Sí",1,IF(R226="Parcial",0.5,0))+IF(S226="Sí",1,IF(S226="Parcial",0.5,0))+IF(T226="Sí",1,IF(T226="Parcial",0.5,0))+IF(U226="Sí",1,IF(U226="Parcial",0.5,0))</f>
        <v>0</v>
      </c>
      <c r="AP226" s="95">
        <f>IF(V226="Sí",1,IF(V226="Parcial",0.5,0))+IF(W226="Sí",1,IF(W226="Parcial",0.5,0))+IF(X226="Sí",1,IF(X226="Parcial",0.5,0))+IF(Y226="Sí",1,IF(Y226="Parcial",0.5,0))</f>
        <v>0</v>
      </c>
      <c r="AQ226" s="96">
        <f>IF(Z226="Sí",1,IF(Z226="Parcial",0.5,0))+IF(AA226="Sí",1,IF(AA226="Parcial",0.5,0))+IF(AB226="Sí",1,IF(AB226="Parcial",0.5,0))</f>
        <v>0</v>
      </c>
      <c r="AR226" s="97">
        <f>IF(AC226="Sí",1,IF(AC226="Parcial",0.5,0))+IF(AD226="Sí",1,IF(AD226="Parcial",0.5,0))+IF(AE226="Sí",1,IF(AE226="Parcial",0.5,0))</f>
        <v>0</v>
      </c>
      <c r="AS226" s="98">
        <f>IF(AF226="Sí",1,IF(AF226="Parcial",0.5,0))+IF(AG226="Sí",1,IF(AG226="Parcial",0.5,0))+IF(AH226="Sí",1,IF(AH226="Parcial",0.5,0))</f>
        <v>0</v>
      </c>
      <c r="AT226" s="99">
        <f>IF(AI226="Sí",1,IF(AI226="Parcial",0.5,0))+IF(AJ226="Sí",1,IF(AJ226="Parcial",0.5,0))+IF(AK226="Sí",1,IF(AK226="Parcial",0.5,0))</f>
        <v>0</v>
      </c>
      <c r="AU226" s="100">
        <f>SUM(AL226,AM226,AN226,AO226,AP226,AQ226,AR226,AS226,AT226)</f>
        <v>0</v>
      </c>
      <c r="AV226" s="54" t="str">
        <f>IF(A226="","",IF((IF(AL226&gt;=1,1,0)+IF(AM226&gt;=1,1,0)+IF(AN226&gt;=1,1,0)+IF(AO226&gt;=1,1,0)+IF(AP226&gt;=1,1,0)+IF(AQ226&gt;=1,1,0)+IF(AR226&gt;=1,1,0)+IF(AS226&gt;=1,1,0)+IF(AT226&gt;=1,1,0))&gt;=5,"Diversificado (5+ verticales)",IF((IF(AL226&gt;=1,1,0)+IF(AM226&gt;=1,1,0)+IF(AN226&gt;=1,1,0)+IF(AO226&gt;=1,1,0)+IF(AP226&gt;=1,1,0)+IF(AQ226&gt;=1,1,0)+IF(AR226&gt;=1,1,0)+IF(AS226&gt;=1,1,0)+IF(AT226&gt;=1,1,0))&gt;=3,"Multi-capacidad (3-4 verticales)",IF((IF(AL226&gt;=1,1,0)+IF(AM226&gt;=1,1,0)+IF(AN226&gt;=1,1,0)+IF(AO226&gt;=1,1,0)+IF(AP226&gt;=1,1,0)+IF(AQ226&gt;=1,1,0)+IF(AR226&gt;=1,1,0)+IF(AS226&gt;=1,1,0)+IF(AT226&gt;=1,1,0))&gt;=1,"Especialista (1-2 verticales)","Sin función mapeada"))))</f>
        <v/>
      </c>
    </row>
    <row r="227" spans="3:48" ht="15" customHeight="1" x14ac:dyDescent="0.2">
      <c r="C227" s="53" t="str">
        <f>IF(A227="","",IFERROR(INDEX('UNIVERSO MAESTRO'!$C$6:$C$497,MATCH(A227,'UNIVERSO MAESTRO'!$A$6:$A$497,0)),"⚠ ID no encontrado"))</f>
        <v/>
      </c>
      <c r="D227" s="54" t="str">
        <f>IF(A227="","",IFERROR(INDEX('UNIVERSO MAESTRO'!$D$6:$D$497,MATCH(A227,'UNIVERSO MAESTRO'!$A$6:$A$497,0)),""))</f>
        <v/>
      </c>
      <c r="AL227" s="91">
        <f>IF(E227="Sí",1,IF(E227="Parcial",0.5,0))+IF(F227="Sí",1,IF(F227="Parcial",0.5,0))+IF(G227="Sí",1,IF(G227="Parcial",0.5,0))+IF(H227="Sí",1,IF(H227="Parcial",0.5,0))</f>
        <v>0</v>
      </c>
      <c r="AM227" s="92">
        <f>IF(I227="Sí",1,IF(I227="Parcial",0.5,0))+IF(J227="Sí",1,IF(J227="Parcial",0.5,0))+IF(K227="Sí",1,IF(K227="Parcial",0.5,0))</f>
        <v>0</v>
      </c>
      <c r="AN227" s="93">
        <f>IF(L227="Sí",1,IF(L227="Parcial",0.5,0))+IF(M227="Sí",1,IF(M227="Parcial",0.5,0))+IF(N227="Sí",1,IF(N227="Parcial",0.5,0))+IF(O227="Sí",1,IF(O227="Parcial",0.5,0))</f>
        <v>0</v>
      </c>
      <c r="AO227" s="94">
        <f>IF(P227="Sí",1,IF(P227="Parcial",0.5,0))+IF(Q227="Sí",1,IF(Q227="Parcial",0.5,0))+IF(R227="Sí",1,IF(R227="Parcial",0.5,0))+IF(S227="Sí",1,IF(S227="Parcial",0.5,0))+IF(T227="Sí",1,IF(T227="Parcial",0.5,0))+IF(U227="Sí",1,IF(U227="Parcial",0.5,0))</f>
        <v>0</v>
      </c>
      <c r="AP227" s="95">
        <f>IF(V227="Sí",1,IF(V227="Parcial",0.5,0))+IF(W227="Sí",1,IF(W227="Parcial",0.5,0))+IF(X227="Sí",1,IF(X227="Parcial",0.5,0))+IF(Y227="Sí",1,IF(Y227="Parcial",0.5,0))</f>
        <v>0</v>
      </c>
      <c r="AQ227" s="96">
        <f>IF(Z227="Sí",1,IF(Z227="Parcial",0.5,0))+IF(AA227="Sí",1,IF(AA227="Parcial",0.5,0))+IF(AB227="Sí",1,IF(AB227="Parcial",0.5,0))</f>
        <v>0</v>
      </c>
      <c r="AR227" s="97">
        <f>IF(AC227="Sí",1,IF(AC227="Parcial",0.5,0))+IF(AD227="Sí",1,IF(AD227="Parcial",0.5,0))+IF(AE227="Sí",1,IF(AE227="Parcial",0.5,0))</f>
        <v>0</v>
      </c>
      <c r="AS227" s="98">
        <f>IF(AF227="Sí",1,IF(AF227="Parcial",0.5,0))+IF(AG227="Sí",1,IF(AG227="Parcial",0.5,0))+IF(AH227="Sí",1,IF(AH227="Parcial",0.5,0))</f>
        <v>0</v>
      </c>
      <c r="AT227" s="99">
        <f>IF(AI227="Sí",1,IF(AI227="Parcial",0.5,0))+IF(AJ227="Sí",1,IF(AJ227="Parcial",0.5,0))+IF(AK227="Sí",1,IF(AK227="Parcial",0.5,0))</f>
        <v>0</v>
      </c>
      <c r="AU227" s="100">
        <f>SUM(AL227,AM227,AN227,AO227,AP227,AQ227,AR227,AS227,AT227)</f>
        <v>0</v>
      </c>
      <c r="AV227" s="54" t="str">
        <f>IF(A227="","",IF((IF(AL227&gt;=1,1,0)+IF(AM227&gt;=1,1,0)+IF(AN227&gt;=1,1,0)+IF(AO227&gt;=1,1,0)+IF(AP227&gt;=1,1,0)+IF(AQ227&gt;=1,1,0)+IF(AR227&gt;=1,1,0)+IF(AS227&gt;=1,1,0)+IF(AT227&gt;=1,1,0))&gt;=5,"Diversificado (5+ verticales)",IF((IF(AL227&gt;=1,1,0)+IF(AM227&gt;=1,1,0)+IF(AN227&gt;=1,1,0)+IF(AO227&gt;=1,1,0)+IF(AP227&gt;=1,1,0)+IF(AQ227&gt;=1,1,0)+IF(AR227&gt;=1,1,0)+IF(AS227&gt;=1,1,0)+IF(AT227&gt;=1,1,0))&gt;=3,"Multi-capacidad (3-4 verticales)",IF((IF(AL227&gt;=1,1,0)+IF(AM227&gt;=1,1,0)+IF(AN227&gt;=1,1,0)+IF(AO227&gt;=1,1,0)+IF(AP227&gt;=1,1,0)+IF(AQ227&gt;=1,1,0)+IF(AR227&gt;=1,1,0)+IF(AS227&gt;=1,1,0)+IF(AT227&gt;=1,1,0))&gt;=1,"Especialista (1-2 verticales)","Sin función mapeada"))))</f>
        <v/>
      </c>
    </row>
    <row r="228" spans="3:48" ht="15" customHeight="1" x14ac:dyDescent="0.2">
      <c r="C228" s="53" t="str">
        <f>IF(A228="","",IFERROR(INDEX('UNIVERSO MAESTRO'!$C$6:$C$497,MATCH(A228,'UNIVERSO MAESTRO'!$A$6:$A$497,0)),"⚠ ID no encontrado"))</f>
        <v/>
      </c>
      <c r="D228" s="54" t="str">
        <f>IF(A228="","",IFERROR(INDEX('UNIVERSO MAESTRO'!$D$6:$D$497,MATCH(A228,'UNIVERSO MAESTRO'!$A$6:$A$497,0)),""))</f>
        <v/>
      </c>
      <c r="AL228" s="91">
        <f>IF(E228="Sí",1,IF(E228="Parcial",0.5,0))+IF(F228="Sí",1,IF(F228="Parcial",0.5,0))+IF(G228="Sí",1,IF(G228="Parcial",0.5,0))+IF(H228="Sí",1,IF(H228="Parcial",0.5,0))</f>
        <v>0</v>
      </c>
      <c r="AM228" s="92">
        <f>IF(I228="Sí",1,IF(I228="Parcial",0.5,0))+IF(J228="Sí",1,IF(J228="Parcial",0.5,0))+IF(K228="Sí",1,IF(K228="Parcial",0.5,0))</f>
        <v>0</v>
      </c>
      <c r="AN228" s="93">
        <f>IF(L228="Sí",1,IF(L228="Parcial",0.5,0))+IF(M228="Sí",1,IF(M228="Parcial",0.5,0))+IF(N228="Sí",1,IF(N228="Parcial",0.5,0))+IF(O228="Sí",1,IF(O228="Parcial",0.5,0))</f>
        <v>0</v>
      </c>
      <c r="AO228" s="94">
        <f>IF(P228="Sí",1,IF(P228="Parcial",0.5,0))+IF(Q228="Sí",1,IF(Q228="Parcial",0.5,0))+IF(R228="Sí",1,IF(R228="Parcial",0.5,0))+IF(S228="Sí",1,IF(S228="Parcial",0.5,0))+IF(T228="Sí",1,IF(T228="Parcial",0.5,0))+IF(U228="Sí",1,IF(U228="Parcial",0.5,0))</f>
        <v>0</v>
      </c>
      <c r="AP228" s="95">
        <f>IF(V228="Sí",1,IF(V228="Parcial",0.5,0))+IF(W228="Sí",1,IF(W228="Parcial",0.5,0))+IF(X228="Sí",1,IF(X228="Parcial",0.5,0))+IF(Y228="Sí",1,IF(Y228="Parcial",0.5,0))</f>
        <v>0</v>
      </c>
      <c r="AQ228" s="96">
        <f>IF(Z228="Sí",1,IF(Z228="Parcial",0.5,0))+IF(AA228="Sí",1,IF(AA228="Parcial",0.5,0))+IF(AB228="Sí",1,IF(AB228="Parcial",0.5,0))</f>
        <v>0</v>
      </c>
      <c r="AR228" s="97">
        <f>IF(AC228="Sí",1,IF(AC228="Parcial",0.5,0))+IF(AD228="Sí",1,IF(AD228="Parcial",0.5,0))+IF(AE228="Sí",1,IF(AE228="Parcial",0.5,0))</f>
        <v>0</v>
      </c>
      <c r="AS228" s="98">
        <f>IF(AF228="Sí",1,IF(AF228="Parcial",0.5,0))+IF(AG228="Sí",1,IF(AG228="Parcial",0.5,0))+IF(AH228="Sí",1,IF(AH228="Parcial",0.5,0))</f>
        <v>0</v>
      </c>
      <c r="AT228" s="99">
        <f>IF(AI228="Sí",1,IF(AI228="Parcial",0.5,0))+IF(AJ228="Sí",1,IF(AJ228="Parcial",0.5,0))+IF(AK228="Sí",1,IF(AK228="Parcial",0.5,0))</f>
        <v>0</v>
      </c>
      <c r="AU228" s="100">
        <f>SUM(AL228,AM228,AN228,AO228,AP228,AQ228,AR228,AS228,AT228)</f>
        <v>0</v>
      </c>
      <c r="AV228" s="54" t="str">
        <f>IF(A228="","",IF((IF(AL228&gt;=1,1,0)+IF(AM228&gt;=1,1,0)+IF(AN228&gt;=1,1,0)+IF(AO228&gt;=1,1,0)+IF(AP228&gt;=1,1,0)+IF(AQ228&gt;=1,1,0)+IF(AR228&gt;=1,1,0)+IF(AS228&gt;=1,1,0)+IF(AT228&gt;=1,1,0))&gt;=5,"Diversificado (5+ verticales)",IF((IF(AL228&gt;=1,1,0)+IF(AM228&gt;=1,1,0)+IF(AN228&gt;=1,1,0)+IF(AO228&gt;=1,1,0)+IF(AP228&gt;=1,1,0)+IF(AQ228&gt;=1,1,0)+IF(AR228&gt;=1,1,0)+IF(AS228&gt;=1,1,0)+IF(AT228&gt;=1,1,0))&gt;=3,"Multi-capacidad (3-4 verticales)",IF((IF(AL228&gt;=1,1,0)+IF(AM228&gt;=1,1,0)+IF(AN228&gt;=1,1,0)+IF(AO228&gt;=1,1,0)+IF(AP228&gt;=1,1,0)+IF(AQ228&gt;=1,1,0)+IF(AR228&gt;=1,1,0)+IF(AS228&gt;=1,1,0)+IF(AT228&gt;=1,1,0))&gt;=1,"Especialista (1-2 verticales)","Sin función mapeada"))))</f>
        <v/>
      </c>
    </row>
    <row r="229" spans="3:48" ht="15" customHeight="1" x14ac:dyDescent="0.2">
      <c r="C229" s="53" t="str">
        <f>IF(A229="","",IFERROR(INDEX('UNIVERSO MAESTRO'!$C$6:$C$497,MATCH(A229,'UNIVERSO MAESTRO'!$A$6:$A$497,0)),"⚠ ID no encontrado"))</f>
        <v/>
      </c>
      <c r="D229" s="54" t="str">
        <f>IF(A229="","",IFERROR(INDEX('UNIVERSO MAESTRO'!$D$6:$D$497,MATCH(A229,'UNIVERSO MAESTRO'!$A$6:$A$497,0)),""))</f>
        <v/>
      </c>
      <c r="AL229" s="91">
        <f>IF(E229="Sí",1,IF(E229="Parcial",0.5,0))+IF(F229="Sí",1,IF(F229="Parcial",0.5,0))+IF(G229="Sí",1,IF(G229="Parcial",0.5,0))+IF(H229="Sí",1,IF(H229="Parcial",0.5,0))</f>
        <v>0</v>
      </c>
      <c r="AM229" s="92">
        <f>IF(I229="Sí",1,IF(I229="Parcial",0.5,0))+IF(J229="Sí",1,IF(J229="Parcial",0.5,0))+IF(K229="Sí",1,IF(K229="Parcial",0.5,0))</f>
        <v>0</v>
      </c>
      <c r="AN229" s="93">
        <f>IF(L229="Sí",1,IF(L229="Parcial",0.5,0))+IF(M229="Sí",1,IF(M229="Parcial",0.5,0))+IF(N229="Sí",1,IF(N229="Parcial",0.5,0))+IF(O229="Sí",1,IF(O229="Parcial",0.5,0))</f>
        <v>0</v>
      </c>
      <c r="AO229" s="94">
        <f>IF(P229="Sí",1,IF(P229="Parcial",0.5,0))+IF(Q229="Sí",1,IF(Q229="Parcial",0.5,0))+IF(R229="Sí",1,IF(R229="Parcial",0.5,0))+IF(S229="Sí",1,IF(S229="Parcial",0.5,0))+IF(T229="Sí",1,IF(T229="Parcial",0.5,0))+IF(U229="Sí",1,IF(U229="Parcial",0.5,0))</f>
        <v>0</v>
      </c>
      <c r="AP229" s="95">
        <f>IF(V229="Sí",1,IF(V229="Parcial",0.5,0))+IF(W229="Sí",1,IF(W229="Parcial",0.5,0))+IF(X229="Sí",1,IF(X229="Parcial",0.5,0))+IF(Y229="Sí",1,IF(Y229="Parcial",0.5,0))</f>
        <v>0</v>
      </c>
      <c r="AQ229" s="96">
        <f>IF(Z229="Sí",1,IF(Z229="Parcial",0.5,0))+IF(AA229="Sí",1,IF(AA229="Parcial",0.5,0))+IF(AB229="Sí",1,IF(AB229="Parcial",0.5,0))</f>
        <v>0</v>
      </c>
      <c r="AR229" s="97">
        <f>IF(AC229="Sí",1,IF(AC229="Parcial",0.5,0))+IF(AD229="Sí",1,IF(AD229="Parcial",0.5,0))+IF(AE229="Sí",1,IF(AE229="Parcial",0.5,0))</f>
        <v>0</v>
      </c>
      <c r="AS229" s="98">
        <f>IF(AF229="Sí",1,IF(AF229="Parcial",0.5,0))+IF(AG229="Sí",1,IF(AG229="Parcial",0.5,0))+IF(AH229="Sí",1,IF(AH229="Parcial",0.5,0))</f>
        <v>0</v>
      </c>
      <c r="AT229" s="99">
        <f>IF(AI229="Sí",1,IF(AI229="Parcial",0.5,0))+IF(AJ229="Sí",1,IF(AJ229="Parcial",0.5,0))+IF(AK229="Sí",1,IF(AK229="Parcial",0.5,0))</f>
        <v>0</v>
      </c>
      <c r="AU229" s="100">
        <f>SUM(AL229,AM229,AN229,AO229,AP229,AQ229,AR229,AS229,AT229)</f>
        <v>0</v>
      </c>
      <c r="AV229" s="54" t="str">
        <f>IF(A229="","",IF((IF(AL229&gt;=1,1,0)+IF(AM229&gt;=1,1,0)+IF(AN229&gt;=1,1,0)+IF(AO229&gt;=1,1,0)+IF(AP229&gt;=1,1,0)+IF(AQ229&gt;=1,1,0)+IF(AR229&gt;=1,1,0)+IF(AS229&gt;=1,1,0)+IF(AT229&gt;=1,1,0))&gt;=5,"Diversificado (5+ verticales)",IF((IF(AL229&gt;=1,1,0)+IF(AM229&gt;=1,1,0)+IF(AN229&gt;=1,1,0)+IF(AO229&gt;=1,1,0)+IF(AP229&gt;=1,1,0)+IF(AQ229&gt;=1,1,0)+IF(AR229&gt;=1,1,0)+IF(AS229&gt;=1,1,0)+IF(AT229&gt;=1,1,0))&gt;=3,"Multi-capacidad (3-4 verticales)",IF((IF(AL229&gt;=1,1,0)+IF(AM229&gt;=1,1,0)+IF(AN229&gt;=1,1,0)+IF(AO229&gt;=1,1,0)+IF(AP229&gt;=1,1,0)+IF(AQ229&gt;=1,1,0)+IF(AR229&gt;=1,1,0)+IF(AS229&gt;=1,1,0)+IF(AT229&gt;=1,1,0))&gt;=1,"Especialista (1-2 verticales)","Sin función mapeada"))))</f>
        <v/>
      </c>
    </row>
    <row r="230" spans="3:48" ht="15" customHeight="1" x14ac:dyDescent="0.2">
      <c r="C230" s="53" t="str">
        <f>IF(A230="","",IFERROR(INDEX('UNIVERSO MAESTRO'!$C$6:$C$497,MATCH(A230,'UNIVERSO MAESTRO'!$A$6:$A$497,0)),"⚠ ID no encontrado"))</f>
        <v/>
      </c>
      <c r="D230" s="54" t="str">
        <f>IF(A230="","",IFERROR(INDEX('UNIVERSO MAESTRO'!$D$6:$D$497,MATCH(A230,'UNIVERSO MAESTRO'!$A$6:$A$497,0)),""))</f>
        <v/>
      </c>
      <c r="AL230" s="91">
        <f>IF(E230="Sí",1,IF(E230="Parcial",0.5,0))+IF(F230="Sí",1,IF(F230="Parcial",0.5,0))+IF(G230="Sí",1,IF(G230="Parcial",0.5,0))+IF(H230="Sí",1,IF(H230="Parcial",0.5,0))</f>
        <v>0</v>
      </c>
      <c r="AM230" s="92">
        <f>IF(I230="Sí",1,IF(I230="Parcial",0.5,0))+IF(J230="Sí",1,IF(J230="Parcial",0.5,0))+IF(K230="Sí",1,IF(K230="Parcial",0.5,0))</f>
        <v>0</v>
      </c>
      <c r="AN230" s="93">
        <f>IF(L230="Sí",1,IF(L230="Parcial",0.5,0))+IF(M230="Sí",1,IF(M230="Parcial",0.5,0))+IF(N230="Sí",1,IF(N230="Parcial",0.5,0))+IF(O230="Sí",1,IF(O230="Parcial",0.5,0))</f>
        <v>0</v>
      </c>
      <c r="AO230" s="94">
        <f>IF(P230="Sí",1,IF(P230="Parcial",0.5,0))+IF(Q230="Sí",1,IF(Q230="Parcial",0.5,0))+IF(R230="Sí",1,IF(R230="Parcial",0.5,0))+IF(S230="Sí",1,IF(S230="Parcial",0.5,0))+IF(T230="Sí",1,IF(T230="Parcial",0.5,0))+IF(U230="Sí",1,IF(U230="Parcial",0.5,0))</f>
        <v>0</v>
      </c>
      <c r="AP230" s="95">
        <f>IF(V230="Sí",1,IF(V230="Parcial",0.5,0))+IF(W230="Sí",1,IF(W230="Parcial",0.5,0))+IF(X230="Sí",1,IF(X230="Parcial",0.5,0))+IF(Y230="Sí",1,IF(Y230="Parcial",0.5,0))</f>
        <v>0</v>
      </c>
      <c r="AQ230" s="96">
        <f>IF(Z230="Sí",1,IF(Z230="Parcial",0.5,0))+IF(AA230="Sí",1,IF(AA230="Parcial",0.5,0))+IF(AB230="Sí",1,IF(AB230="Parcial",0.5,0))</f>
        <v>0</v>
      </c>
      <c r="AR230" s="97">
        <f>IF(AC230="Sí",1,IF(AC230="Parcial",0.5,0))+IF(AD230="Sí",1,IF(AD230="Parcial",0.5,0))+IF(AE230="Sí",1,IF(AE230="Parcial",0.5,0))</f>
        <v>0</v>
      </c>
      <c r="AS230" s="98">
        <f>IF(AF230="Sí",1,IF(AF230="Parcial",0.5,0))+IF(AG230="Sí",1,IF(AG230="Parcial",0.5,0))+IF(AH230="Sí",1,IF(AH230="Parcial",0.5,0))</f>
        <v>0</v>
      </c>
      <c r="AT230" s="99">
        <f>IF(AI230="Sí",1,IF(AI230="Parcial",0.5,0))+IF(AJ230="Sí",1,IF(AJ230="Parcial",0.5,0))+IF(AK230="Sí",1,IF(AK230="Parcial",0.5,0))</f>
        <v>0</v>
      </c>
      <c r="AU230" s="100">
        <f>SUM(AL230,AM230,AN230,AO230,AP230,AQ230,AR230,AS230,AT230)</f>
        <v>0</v>
      </c>
      <c r="AV230" s="54" t="str">
        <f>IF(A230="","",IF((IF(AL230&gt;=1,1,0)+IF(AM230&gt;=1,1,0)+IF(AN230&gt;=1,1,0)+IF(AO230&gt;=1,1,0)+IF(AP230&gt;=1,1,0)+IF(AQ230&gt;=1,1,0)+IF(AR230&gt;=1,1,0)+IF(AS230&gt;=1,1,0)+IF(AT230&gt;=1,1,0))&gt;=5,"Diversificado (5+ verticales)",IF((IF(AL230&gt;=1,1,0)+IF(AM230&gt;=1,1,0)+IF(AN230&gt;=1,1,0)+IF(AO230&gt;=1,1,0)+IF(AP230&gt;=1,1,0)+IF(AQ230&gt;=1,1,0)+IF(AR230&gt;=1,1,0)+IF(AS230&gt;=1,1,0)+IF(AT230&gt;=1,1,0))&gt;=3,"Multi-capacidad (3-4 verticales)",IF((IF(AL230&gt;=1,1,0)+IF(AM230&gt;=1,1,0)+IF(AN230&gt;=1,1,0)+IF(AO230&gt;=1,1,0)+IF(AP230&gt;=1,1,0)+IF(AQ230&gt;=1,1,0)+IF(AR230&gt;=1,1,0)+IF(AS230&gt;=1,1,0)+IF(AT230&gt;=1,1,0))&gt;=1,"Especialista (1-2 verticales)","Sin función mapeada"))))</f>
        <v/>
      </c>
    </row>
    <row r="231" spans="3:48" ht="15" customHeight="1" x14ac:dyDescent="0.2">
      <c r="C231" s="53" t="str">
        <f>IF(A231="","",IFERROR(INDEX('UNIVERSO MAESTRO'!$C$6:$C$497,MATCH(A231,'UNIVERSO MAESTRO'!$A$6:$A$497,0)),"⚠ ID no encontrado"))</f>
        <v/>
      </c>
      <c r="D231" s="54" t="str">
        <f>IF(A231="","",IFERROR(INDEX('UNIVERSO MAESTRO'!$D$6:$D$497,MATCH(A231,'UNIVERSO MAESTRO'!$A$6:$A$497,0)),""))</f>
        <v/>
      </c>
      <c r="AL231" s="91">
        <f>IF(E231="Sí",1,IF(E231="Parcial",0.5,0))+IF(F231="Sí",1,IF(F231="Parcial",0.5,0))+IF(G231="Sí",1,IF(G231="Parcial",0.5,0))+IF(H231="Sí",1,IF(H231="Parcial",0.5,0))</f>
        <v>0</v>
      </c>
      <c r="AM231" s="92">
        <f>IF(I231="Sí",1,IF(I231="Parcial",0.5,0))+IF(J231="Sí",1,IF(J231="Parcial",0.5,0))+IF(K231="Sí",1,IF(K231="Parcial",0.5,0))</f>
        <v>0</v>
      </c>
      <c r="AN231" s="93">
        <f>IF(L231="Sí",1,IF(L231="Parcial",0.5,0))+IF(M231="Sí",1,IF(M231="Parcial",0.5,0))+IF(N231="Sí",1,IF(N231="Parcial",0.5,0))+IF(O231="Sí",1,IF(O231="Parcial",0.5,0))</f>
        <v>0</v>
      </c>
      <c r="AO231" s="94">
        <f>IF(P231="Sí",1,IF(P231="Parcial",0.5,0))+IF(Q231="Sí",1,IF(Q231="Parcial",0.5,0))+IF(R231="Sí",1,IF(R231="Parcial",0.5,0))+IF(S231="Sí",1,IF(S231="Parcial",0.5,0))+IF(T231="Sí",1,IF(T231="Parcial",0.5,0))+IF(U231="Sí",1,IF(U231="Parcial",0.5,0))</f>
        <v>0</v>
      </c>
      <c r="AP231" s="95">
        <f>IF(V231="Sí",1,IF(V231="Parcial",0.5,0))+IF(W231="Sí",1,IF(W231="Parcial",0.5,0))+IF(X231="Sí",1,IF(X231="Parcial",0.5,0))+IF(Y231="Sí",1,IF(Y231="Parcial",0.5,0))</f>
        <v>0</v>
      </c>
      <c r="AQ231" s="96">
        <f>IF(Z231="Sí",1,IF(Z231="Parcial",0.5,0))+IF(AA231="Sí",1,IF(AA231="Parcial",0.5,0))+IF(AB231="Sí",1,IF(AB231="Parcial",0.5,0))</f>
        <v>0</v>
      </c>
      <c r="AR231" s="97">
        <f>IF(AC231="Sí",1,IF(AC231="Parcial",0.5,0))+IF(AD231="Sí",1,IF(AD231="Parcial",0.5,0))+IF(AE231="Sí",1,IF(AE231="Parcial",0.5,0))</f>
        <v>0</v>
      </c>
      <c r="AS231" s="98">
        <f>IF(AF231="Sí",1,IF(AF231="Parcial",0.5,0))+IF(AG231="Sí",1,IF(AG231="Parcial",0.5,0))+IF(AH231="Sí",1,IF(AH231="Parcial",0.5,0))</f>
        <v>0</v>
      </c>
      <c r="AT231" s="99">
        <f>IF(AI231="Sí",1,IF(AI231="Parcial",0.5,0))+IF(AJ231="Sí",1,IF(AJ231="Parcial",0.5,0))+IF(AK231="Sí",1,IF(AK231="Parcial",0.5,0))</f>
        <v>0</v>
      </c>
      <c r="AU231" s="100">
        <f>SUM(AL231,AM231,AN231,AO231,AP231,AQ231,AR231,AS231,AT231)</f>
        <v>0</v>
      </c>
      <c r="AV231" s="54" t="str">
        <f>IF(A231="","",IF((IF(AL231&gt;=1,1,0)+IF(AM231&gt;=1,1,0)+IF(AN231&gt;=1,1,0)+IF(AO231&gt;=1,1,0)+IF(AP231&gt;=1,1,0)+IF(AQ231&gt;=1,1,0)+IF(AR231&gt;=1,1,0)+IF(AS231&gt;=1,1,0)+IF(AT231&gt;=1,1,0))&gt;=5,"Diversificado (5+ verticales)",IF((IF(AL231&gt;=1,1,0)+IF(AM231&gt;=1,1,0)+IF(AN231&gt;=1,1,0)+IF(AO231&gt;=1,1,0)+IF(AP231&gt;=1,1,0)+IF(AQ231&gt;=1,1,0)+IF(AR231&gt;=1,1,0)+IF(AS231&gt;=1,1,0)+IF(AT231&gt;=1,1,0))&gt;=3,"Multi-capacidad (3-4 verticales)",IF((IF(AL231&gt;=1,1,0)+IF(AM231&gt;=1,1,0)+IF(AN231&gt;=1,1,0)+IF(AO231&gt;=1,1,0)+IF(AP231&gt;=1,1,0)+IF(AQ231&gt;=1,1,0)+IF(AR231&gt;=1,1,0)+IF(AS231&gt;=1,1,0)+IF(AT231&gt;=1,1,0))&gt;=1,"Especialista (1-2 verticales)","Sin función mapeada"))))</f>
        <v/>
      </c>
    </row>
    <row r="232" spans="3:48" ht="15" customHeight="1" x14ac:dyDescent="0.2">
      <c r="C232" s="53" t="str">
        <f>IF(A232="","",IFERROR(INDEX('UNIVERSO MAESTRO'!$C$6:$C$497,MATCH(A232,'UNIVERSO MAESTRO'!$A$6:$A$497,0)),"⚠ ID no encontrado"))</f>
        <v/>
      </c>
      <c r="D232" s="54" t="str">
        <f>IF(A232="","",IFERROR(INDEX('UNIVERSO MAESTRO'!$D$6:$D$497,MATCH(A232,'UNIVERSO MAESTRO'!$A$6:$A$497,0)),""))</f>
        <v/>
      </c>
      <c r="AL232" s="91">
        <f>IF(E232="Sí",1,IF(E232="Parcial",0.5,0))+IF(F232="Sí",1,IF(F232="Parcial",0.5,0))+IF(G232="Sí",1,IF(G232="Parcial",0.5,0))+IF(H232="Sí",1,IF(H232="Parcial",0.5,0))</f>
        <v>0</v>
      </c>
      <c r="AM232" s="92">
        <f>IF(I232="Sí",1,IF(I232="Parcial",0.5,0))+IF(J232="Sí",1,IF(J232="Parcial",0.5,0))+IF(K232="Sí",1,IF(K232="Parcial",0.5,0))</f>
        <v>0</v>
      </c>
      <c r="AN232" s="93">
        <f>IF(L232="Sí",1,IF(L232="Parcial",0.5,0))+IF(M232="Sí",1,IF(M232="Parcial",0.5,0))+IF(N232="Sí",1,IF(N232="Parcial",0.5,0))+IF(O232="Sí",1,IF(O232="Parcial",0.5,0))</f>
        <v>0</v>
      </c>
      <c r="AO232" s="94">
        <f>IF(P232="Sí",1,IF(P232="Parcial",0.5,0))+IF(Q232="Sí",1,IF(Q232="Parcial",0.5,0))+IF(R232="Sí",1,IF(R232="Parcial",0.5,0))+IF(S232="Sí",1,IF(S232="Parcial",0.5,0))+IF(T232="Sí",1,IF(T232="Parcial",0.5,0))+IF(U232="Sí",1,IF(U232="Parcial",0.5,0))</f>
        <v>0</v>
      </c>
      <c r="AP232" s="95">
        <f>IF(V232="Sí",1,IF(V232="Parcial",0.5,0))+IF(W232="Sí",1,IF(W232="Parcial",0.5,0))+IF(X232="Sí",1,IF(X232="Parcial",0.5,0))+IF(Y232="Sí",1,IF(Y232="Parcial",0.5,0))</f>
        <v>0</v>
      </c>
      <c r="AQ232" s="96">
        <f>IF(Z232="Sí",1,IF(Z232="Parcial",0.5,0))+IF(AA232="Sí",1,IF(AA232="Parcial",0.5,0))+IF(AB232="Sí",1,IF(AB232="Parcial",0.5,0))</f>
        <v>0</v>
      </c>
      <c r="AR232" s="97">
        <f>IF(AC232="Sí",1,IF(AC232="Parcial",0.5,0))+IF(AD232="Sí",1,IF(AD232="Parcial",0.5,0))+IF(AE232="Sí",1,IF(AE232="Parcial",0.5,0))</f>
        <v>0</v>
      </c>
      <c r="AS232" s="98">
        <f>IF(AF232="Sí",1,IF(AF232="Parcial",0.5,0))+IF(AG232="Sí",1,IF(AG232="Parcial",0.5,0))+IF(AH232="Sí",1,IF(AH232="Parcial",0.5,0))</f>
        <v>0</v>
      </c>
      <c r="AT232" s="99">
        <f>IF(AI232="Sí",1,IF(AI232="Parcial",0.5,0))+IF(AJ232="Sí",1,IF(AJ232="Parcial",0.5,0))+IF(AK232="Sí",1,IF(AK232="Parcial",0.5,0))</f>
        <v>0</v>
      </c>
      <c r="AU232" s="100">
        <f>SUM(AL232,AM232,AN232,AO232,AP232,AQ232,AR232,AS232,AT232)</f>
        <v>0</v>
      </c>
      <c r="AV232" s="54" t="str">
        <f>IF(A232="","",IF((IF(AL232&gt;=1,1,0)+IF(AM232&gt;=1,1,0)+IF(AN232&gt;=1,1,0)+IF(AO232&gt;=1,1,0)+IF(AP232&gt;=1,1,0)+IF(AQ232&gt;=1,1,0)+IF(AR232&gt;=1,1,0)+IF(AS232&gt;=1,1,0)+IF(AT232&gt;=1,1,0))&gt;=5,"Diversificado (5+ verticales)",IF((IF(AL232&gt;=1,1,0)+IF(AM232&gt;=1,1,0)+IF(AN232&gt;=1,1,0)+IF(AO232&gt;=1,1,0)+IF(AP232&gt;=1,1,0)+IF(AQ232&gt;=1,1,0)+IF(AR232&gt;=1,1,0)+IF(AS232&gt;=1,1,0)+IF(AT232&gt;=1,1,0))&gt;=3,"Multi-capacidad (3-4 verticales)",IF((IF(AL232&gt;=1,1,0)+IF(AM232&gt;=1,1,0)+IF(AN232&gt;=1,1,0)+IF(AO232&gt;=1,1,0)+IF(AP232&gt;=1,1,0)+IF(AQ232&gt;=1,1,0)+IF(AR232&gt;=1,1,0)+IF(AS232&gt;=1,1,0)+IF(AT232&gt;=1,1,0))&gt;=1,"Especialista (1-2 verticales)","Sin función mapeada"))))</f>
        <v/>
      </c>
    </row>
    <row r="233" spans="3:48" ht="15" customHeight="1" x14ac:dyDescent="0.2">
      <c r="C233" s="53" t="str">
        <f>IF(A233="","",IFERROR(INDEX('UNIVERSO MAESTRO'!$C$6:$C$497,MATCH(A233,'UNIVERSO MAESTRO'!$A$6:$A$497,0)),"⚠ ID no encontrado"))</f>
        <v/>
      </c>
      <c r="D233" s="54" t="str">
        <f>IF(A233="","",IFERROR(INDEX('UNIVERSO MAESTRO'!$D$6:$D$497,MATCH(A233,'UNIVERSO MAESTRO'!$A$6:$A$497,0)),""))</f>
        <v/>
      </c>
      <c r="AL233" s="91">
        <f>IF(E233="Sí",1,IF(E233="Parcial",0.5,0))+IF(F233="Sí",1,IF(F233="Parcial",0.5,0))+IF(G233="Sí",1,IF(G233="Parcial",0.5,0))+IF(H233="Sí",1,IF(H233="Parcial",0.5,0))</f>
        <v>0</v>
      </c>
      <c r="AM233" s="92">
        <f>IF(I233="Sí",1,IF(I233="Parcial",0.5,0))+IF(J233="Sí",1,IF(J233="Parcial",0.5,0))+IF(K233="Sí",1,IF(K233="Parcial",0.5,0))</f>
        <v>0</v>
      </c>
      <c r="AN233" s="93">
        <f>IF(L233="Sí",1,IF(L233="Parcial",0.5,0))+IF(M233="Sí",1,IF(M233="Parcial",0.5,0))+IF(N233="Sí",1,IF(N233="Parcial",0.5,0))+IF(O233="Sí",1,IF(O233="Parcial",0.5,0))</f>
        <v>0</v>
      </c>
      <c r="AO233" s="94">
        <f>IF(P233="Sí",1,IF(P233="Parcial",0.5,0))+IF(Q233="Sí",1,IF(Q233="Parcial",0.5,0))+IF(R233="Sí",1,IF(R233="Parcial",0.5,0))+IF(S233="Sí",1,IF(S233="Parcial",0.5,0))+IF(T233="Sí",1,IF(T233="Parcial",0.5,0))+IF(U233="Sí",1,IF(U233="Parcial",0.5,0))</f>
        <v>0</v>
      </c>
      <c r="AP233" s="95">
        <f>IF(V233="Sí",1,IF(V233="Parcial",0.5,0))+IF(W233="Sí",1,IF(W233="Parcial",0.5,0))+IF(X233="Sí",1,IF(X233="Parcial",0.5,0))+IF(Y233="Sí",1,IF(Y233="Parcial",0.5,0))</f>
        <v>0</v>
      </c>
      <c r="AQ233" s="96">
        <f>IF(Z233="Sí",1,IF(Z233="Parcial",0.5,0))+IF(AA233="Sí",1,IF(AA233="Parcial",0.5,0))+IF(AB233="Sí",1,IF(AB233="Parcial",0.5,0))</f>
        <v>0</v>
      </c>
      <c r="AR233" s="97">
        <f>IF(AC233="Sí",1,IF(AC233="Parcial",0.5,0))+IF(AD233="Sí",1,IF(AD233="Parcial",0.5,0))+IF(AE233="Sí",1,IF(AE233="Parcial",0.5,0))</f>
        <v>0</v>
      </c>
      <c r="AS233" s="98">
        <f>IF(AF233="Sí",1,IF(AF233="Parcial",0.5,0))+IF(AG233="Sí",1,IF(AG233="Parcial",0.5,0))+IF(AH233="Sí",1,IF(AH233="Parcial",0.5,0))</f>
        <v>0</v>
      </c>
      <c r="AT233" s="99">
        <f>IF(AI233="Sí",1,IF(AI233="Parcial",0.5,0))+IF(AJ233="Sí",1,IF(AJ233="Parcial",0.5,0))+IF(AK233="Sí",1,IF(AK233="Parcial",0.5,0))</f>
        <v>0</v>
      </c>
      <c r="AU233" s="100">
        <f>SUM(AL233,AM233,AN233,AO233,AP233,AQ233,AR233,AS233,AT233)</f>
        <v>0</v>
      </c>
      <c r="AV233" s="54" t="str">
        <f>IF(A233="","",IF((IF(AL233&gt;=1,1,0)+IF(AM233&gt;=1,1,0)+IF(AN233&gt;=1,1,0)+IF(AO233&gt;=1,1,0)+IF(AP233&gt;=1,1,0)+IF(AQ233&gt;=1,1,0)+IF(AR233&gt;=1,1,0)+IF(AS233&gt;=1,1,0)+IF(AT233&gt;=1,1,0))&gt;=5,"Diversificado (5+ verticales)",IF((IF(AL233&gt;=1,1,0)+IF(AM233&gt;=1,1,0)+IF(AN233&gt;=1,1,0)+IF(AO233&gt;=1,1,0)+IF(AP233&gt;=1,1,0)+IF(AQ233&gt;=1,1,0)+IF(AR233&gt;=1,1,0)+IF(AS233&gt;=1,1,0)+IF(AT233&gt;=1,1,0))&gt;=3,"Multi-capacidad (3-4 verticales)",IF((IF(AL233&gt;=1,1,0)+IF(AM233&gt;=1,1,0)+IF(AN233&gt;=1,1,0)+IF(AO233&gt;=1,1,0)+IF(AP233&gt;=1,1,0)+IF(AQ233&gt;=1,1,0)+IF(AR233&gt;=1,1,0)+IF(AS233&gt;=1,1,0)+IF(AT233&gt;=1,1,0))&gt;=1,"Especialista (1-2 verticales)","Sin función mapeada"))))</f>
        <v/>
      </c>
    </row>
    <row r="234" spans="3:48" ht="15" customHeight="1" x14ac:dyDescent="0.2">
      <c r="C234" s="53" t="str">
        <f>IF(A234="","",IFERROR(INDEX('UNIVERSO MAESTRO'!$C$6:$C$497,MATCH(A234,'UNIVERSO MAESTRO'!$A$6:$A$497,0)),"⚠ ID no encontrado"))</f>
        <v/>
      </c>
      <c r="D234" s="54" t="str">
        <f>IF(A234="","",IFERROR(INDEX('UNIVERSO MAESTRO'!$D$6:$D$497,MATCH(A234,'UNIVERSO MAESTRO'!$A$6:$A$497,0)),""))</f>
        <v/>
      </c>
      <c r="AL234" s="91">
        <f>IF(E234="Sí",1,IF(E234="Parcial",0.5,0))+IF(F234="Sí",1,IF(F234="Parcial",0.5,0))+IF(G234="Sí",1,IF(G234="Parcial",0.5,0))+IF(H234="Sí",1,IF(H234="Parcial",0.5,0))</f>
        <v>0</v>
      </c>
      <c r="AM234" s="92">
        <f>IF(I234="Sí",1,IF(I234="Parcial",0.5,0))+IF(J234="Sí",1,IF(J234="Parcial",0.5,0))+IF(K234="Sí",1,IF(K234="Parcial",0.5,0))</f>
        <v>0</v>
      </c>
      <c r="AN234" s="93">
        <f>IF(L234="Sí",1,IF(L234="Parcial",0.5,0))+IF(M234="Sí",1,IF(M234="Parcial",0.5,0))+IF(N234="Sí",1,IF(N234="Parcial",0.5,0))+IF(O234="Sí",1,IF(O234="Parcial",0.5,0))</f>
        <v>0</v>
      </c>
      <c r="AO234" s="94">
        <f>IF(P234="Sí",1,IF(P234="Parcial",0.5,0))+IF(Q234="Sí",1,IF(Q234="Parcial",0.5,0))+IF(R234="Sí",1,IF(R234="Parcial",0.5,0))+IF(S234="Sí",1,IF(S234="Parcial",0.5,0))+IF(T234="Sí",1,IF(T234="Parcial",0.5,0))+IF(U234="Sí",1,IF(U234="Parcial",0.5,0))</f>
        <v>0</v>
      </c>
      <c r="AP234" s="95">
        <f>IF(V234="Sí",1,IF(V234="Parcial",0.5,0))+IF(W234="Sí",1,IF(W234="Parcial",0.5,0))+IF(X234="Sí",1,IF(X234="Parcial",0.5,0))+IF(Y234="Sí",1,IF(Y234="Parcial",0.5,0))</f>
        <v>0</v>
      </c>
      <c r="AQ234" s="96">
        <f>IF(Z234="Sí",1,IF(Z234="Parcial",0.5,0))+IF(AA234="Sí",1,IF(AA234="Parcial",0.5,0))+IF(AB234="Sí",1,IF(AB234="Parcial",0.5,0))</f>
        <v>0</v>
      </c>
      <c r="AR234" s="97">
        <f>IF(AC234="Sí",1,IF(AC234="Parcial",0.5,0))+IF(AD234="Sí",1,IF(AD234="Parcial",0.5,0))+IF(AE234="Sí",1,IF(AE234="Parcial",0.5,0))</f>
        <v>0</v>
      </c>
      <c r="AS234" s="98">
        <f>IF(AF234="Sí",1,IF(AF234="Parcial",0.5,0))+IF(AG234="Sí",1,IF(AG234="Parcial",0.5,0))+IF(AH234="Sí",1,IF(AH234="Parcial",0.5,0))</f>
        <v>0</v>
      </c>
      <c r="AT234" s="99">
        <f>IF(AI234="Sí",1,IF(AI234="Parcial",0.5,0))+IF(AJ234="Sí",1,IF(AJ234="Parcial",0.5,0))+IF(AK234="Sí",1,IF(AK234="Parcial",0.5,0))</f>
        <v>0</v>
      </c>
      <c r="AU234" s="100">
        <f>SUM(AL234,AM234,AN234,AO234,AP234,AQ234,AR234,AS234,AT234)</f>
        <v>0</v>
      </c>
      <c r="AV234" s="54" t="str">
        <f>IF(A234="","",IF((IF(AL234&gt;=1,1,0)+IF(AM234&gt;=1,1,0)+IF(AN234&gt;=1,1,0)+IF(AO234&gt;=1,1,0)+IF(AP234&gt;=1,1,0)+IF(AQ234&gt;=1,1,0)+IF(AR234&gt;=1,1,0)+IF(AS234&gt;=1,1,0)+IF(AT234&gt;=1,1,0))&gt;=5,"Diversificado (5+ verticales)",IF((IF(AL234&gt;=1,1,0)+IF(AM234&gt;=1,1,0)+IF(AN234&gt;=1,1,0)+IF(AO234&gt;=1,1,0)+IF(AP234&gt;=1,1,0)+IF(AQ234&gt;=1,1,0)+IF(AR234&gt;=1,1,0)+IF(AS234&gt;=1,1,0)+IF(AT234&gt;=1,1,0))&gt;=3,"Multi-capacidad (3-4 verticales)",IF((IF(AL234&gt;=1,1,0)+IF(AM234&gt;=1,1,0)+IF(AN234&gt;=1,1,0)+IF(AO234&gt;=1,1,0)+IF(AP234&gt;=1,1,0)+IF(AQ234&gt;=1,1,0)+IF(AR234&gt;=1,1,0)+IF(AS234&gt;=1,1,0)+IF(AT234&gt;=1,1,0))&gt;=1,"Especialista (1-2 verticales)","Sin función mapeada"))))</f>
        <v/>
      </c>
    </row>
    <row r="235" spans="3:48" ht="15" customHeight="1" x14ac:dyDescent="0.2">
      <c r="C235" s="53" t="str">
        <f>IF(A235="","",IFERROR(INDEX('UNIVERSO MAESTRO'!$C$6:$C$497,MATCH(A235,'UNIVERSO MAESTRO'!$A$6:$A$497,0)),"⚠ ID no encontrado"))</f>
        <v/>
      </c>
      <c r="D235" s="54" t="str">
        <f>IF(A235="","",IFERROR(INDEX('UNIVERSO MAESTRO'!$D$6:$D$497,MATCH(A235,'UNIVERSO MAESTRO'!$A$6:$A$497,0)),""))</f>
        <v/>
      </c>
      <c r="AL235" s="91">
        <f>IF(E235="Sí",1,IF(E235="Parcial",0.5,0))+IF(F235="Sí",1,IF(F235="Parcial",0.5,0))+IF(G235="Sí",1,IF(G235="Parcial",0.5,0))+IF(H235="Sí",1,IF(H235="Parcial",0.5,0))</f>
        <v>0</v>
      </c>
      <c r="AM235" s="92">
        <f>IF(I235="Sí",1,IF(I235="Parcial",0.5,0))+IF(J235="Sí",1,IF(J235="Parcial",0.5,0))+IF(K235="Sí",1,IF(K235="Parcial",0.5,0))</f>
        <v>0</v>
      </c>
      <c r="AN235" s="93">
        <f>IF(L235="Sí",1,IF(L235="Parcial",0.5,0))+IF(M235="Sí",1,IF(M235="Parcial",0.5,0))+IF(N235="Sí",1,IF(N235="Parcial",0.5,0))+IF(O235="Sí",1,IF(O235="Parcial",0.5,0))</f>
        <v>0</v>
      </c>
      <c r="AO235" s="94">
        <f>IF(P235="Sí",1,IF(P235="Parcial",0.5,0))+IF(Q235="Sí",1,IF(Q235="Parcial",0.5,0))+IF(R235="Sí",1,IF(R235="Parcial",0.5,0))+IF(S235="Sí",1,IF(S235="Parcial",0.5,0))+IF(T235="Sí",1,IF(T235="Parcial",0.5,0))+IF(U235="Sí",1,IF(U235="Parcial",0.5,0))</f>
        <v>0</v>
      </c>
      <c r="AP235" s="95">
        <f>IF(V235="Sí",1,IF(V235="Parcial",0.5,0))+IF(W235="Sí",1,IF(W235="Parcial",0.5,0))+IF(X235="Sí",1,IF(X235="Parcial",0.5,0))+IF(Y235="Sí",1,IF(Y235="Parcial",0.5,0))</f>
        <v>0</v>
      </c>
      <c r="AQ235" s="96">
        <f>IF(Z235="Sí",1,IF(Z235="Parcial",0.5,0))+IF(AA235="Sí",1,IF(AA235="Parcial",0.5,0))+IF(AB235="Sí",1,IF(AB235="Parcial",0.5,0))</f>
        <v>0</v>
      </c>
      <c r="AR235" s="97">
        <f>IF(AC235="Sí",1,IF(AC235="Parcial",0.5,0))+IF(AD235="Sí",1,IF(AD235="Parcial",0.5,0))+IF(AE235="Sí",1,IF(AE235="Parcial",0.5,0))</f>
        <v>0</v>
      </c>
      <c r="AS235" s="98">
        <f>IF(AF235="Sí",1,IF(AF235="Parcial",0.5,0))+IF(AG235="Sí",1,IF(AG235="Parcial",0.5,0))+IF(AH235="Sí",1,IF(AH235="Parcial",0.5,0))</f>
        <v>0</v>
      </c>
      <c r="AT235" s="99">
        <f>IF(AI235="Sí",1,IF(AI235="Parcial",0.5,0))+IF(AJ235="Sí",1,IF(AJ235="Parcial",0.5,0))+IF(AK235="Sí",1,IF(AK235="Parcial",0.5,0))</f>
        <v>0</v>
      </c>
      <c r="AU235" s="100">
        <f>SUM(AL235,AM235,AN235,AO235,AP235,AQ235,AR235,AS235,AT235)</f>
        <v>0</v>
      </c>
      <c r="AV235" s="54" t="str">
        <f>IF(A235="","",IF((IF(AL235&gt;=1,1,0)+IF(AM235&gt;=1,1,0)+IF(AN235&gt;=1,1,0)+IF(AO235&gt;=1,1,0)+IF(AP235&gt;=1,1,0)+IF(AQ235&gt;=1,1,0)+IF(AR235&gt;=1,1,0)+IF(AS235&gt;=1,1,0)+IF(AT235&gt;=1,1,0))&gt;=5,"Diversificado (5+ verticales)",IF((IF(AL235&gt;=1,1,0)+IF(AM235&gt;=1,1,0)+IF(AN235&gt;=1,1,0)+IF(AO235&gt;=1,1,0)+IF(AP235&gt;=1,1,0)+IF(AQ235&gt;=1,1,0)+IF(AR235&gt;=1,1,0)+IF(AS235&gt;=1,1,0)+IF(AT235&gt;=1,1,0))&gt;=3,"Multi-capacidad (3-4 verticales)",IF((IF(AL235&gt;=1,1,0)+IF(AM235&gt;=1,1,0)+IF(AN235&gt;=1,1,0)+IF(AO235&gt;=1,1,0)+IF(AP235&gt;=1,1,0)+IF(AQ235&gt;=1,1,0)+IF(AR235&gt;=1,1,0)+IF(AS235&gt;=1,1,0)+IF(AT235&gt;=1,1,0))&gt;=1,"Especialista (1-2 verticales)","Sin función mapeada"))))</f>
        <v/>
      </c>
    </row>
    <row r="236" spans="3:48" ht="15" customHeight="1" x14ac:dyDescent="0.2">
      <c r="C236" s="53" t="str">
        <f>IF(A236="","",IFERROR(INDEX('UNIVERSO MAESTRO'!$C$6:$C$497,MATCH(A236,'UNIVERSO MAESTRO'!$A$6:$A$497,0)),"⚠ ID no encontrado"))</f>
        <v/>
      </c>
      <c r="D236" s="54" t="str">
        <f>IF(A236="","",IFERROR(INDEX('UNIVERSO MAESTRO'!$D$6:$D$497,MATCH(A236,'UNIVERSO MAESTRO'!$A$6:$A$497,0)),""))</f>
        <v/>
      </c>
      <c r="AL236" s="91">
        <f>IF(E236="Sí",1,IF(E236="Parcial",0.5,0))+IF(F236="Sí",1,IF(F236="Parcial",0.5,0))+IF(G236="Sí",1,IF(G236="Parcial",0.5,0))+IF(H236="Sí",1,IF(H236="Parcial",0.5,0))</f>
        <v>0</v>
      </c>
      <c r="AM236" s="92">
        <f>IF(I236="Sí",1,IF(I236="Parcial",0.5,0))+IF(J236="Sí",1,IF(J236="Parcial",0.5,0))+IF(K236="Sí",1,IF(K236="Parcial",0.5,0))</f>
        <v>0</v>
      </c>
      <c r="AN236" s="93">
        <f>IF(L236="Sí",1,IF(L236="Parcial",0.5,0))+IF(M236="Sí",1,IF(M236="Parcial",0.5,0))+IF(N236="Sí",1,IF(N236="Parcial",0.5,0))+IF(O236="Sí",1,IF(O236="Parcial",0.5,0))</f>
        <v>0</v>
      </c>
      <c r="AO236" s="94">
        <f>IF(P236="Sí",1,IF(P236="Parcial",0.5,0))+IF(Q236="Sí",1,IF(Q236="Parcial",0.5,0))+IF(R236="Sí",1,IF(R236="Parcial",0.5,0))+IF(S236="Sí",1,IF(S236="Parcial",0.5,0))+IF(T236="Sí",1,IF(T236="Parcial",0.5,0))+IF(U236="Sí",1,IF(U236="Parcial",0.5,0))</f>
        <v>0</v>
      </c>
      <c r="AP236" s="95">
        <f>IF(V236="Sí",1,IF(V236="Parcial",0.5,0))+IF(W236="Sí",1,IF(W236="Parcial",0.5,0))+IF(X236="Sí",1,IF(X236="Parcial",0.5,0))+IF(Y236="Sí",1,IF(Y236="Parcial",0.5,0))</f>
        <v>0</v>
      </c>
      <c r="AQ236" s="96">
        <f>IF(Z236="Sí",1,IF(Z236="Parcial",0.5,0))+IF(AA236="Sí",1,IF(AA236="Parcial",0.5,0))+IF(AB236="Sí",1,IF(AB236="Parcial",0.5,0))</f>
        <v>0</v>
      </c>
      <c r="AR236" s="97">
        <f>IF(AC236="Sí",1,IF(AC236="Parcial",0.5,0))+IF(AD236="Sí",1,IF(AD236="Parcial",0.5,0))+IF(AE236="Sí",1,IF(AE236="Parcial",0.5,0))</f>
        <v>0</v>
      </c>
      <c r="AS236" s="98">
        <f>IF(AF236="Sí",1,IF(AF236="Parcial",0.5,0))+IF(AG236="Sí",1,IF(AG236="Parcial",0.5,0))+IF(AH236="Sí",1,IF(AH236="Parcial",0.5,0))</f>
        <v>0</v>
      </c>
      <c r="AT236" s="99">
        <f>IF(AI236="Sí",1,IF(AI236="Parcial",0.5,0))+IF(AJ236="Sí",1,IF(AJ236="Parcial",0.5,0))+IF(AK236="Sí",1,IF(AK236="Parcial",0.5,0))</f>
        <v>0</v>
      </c>
      <c r="AU236" s="100">
        <f>SUM(AL236,AM236,AN236,AO236,AP236,AQ236,AR236,AS236,AT236)</f>
        <v>0</v>
      </c>
      <c r="AV236" s="54" t="str">
        <f>IF(A236="","",IF((IF(AL236&gt;=1,1,0)+IF(AM236&gt;=1,1,0)+IF(AN236&gt;=1,1,0)+IF(AO236&gt;=1,1,0)+IF(AP236&gt;=1,1,0)+IF(AQ236&gt;=1,1,0)+IF(AR236&gt;=1,1,0)+IF(AS236&gt;=1,1,0)+IF(AT236&gt;=1,1,0))&gt;=5,"Diversificado (5+ verticales)",IF((IF(AL236&gt;=1,1,0)+IF(AM236&gt;=1,1,0)+IF(AN236&gt;=1,1,0)+IF(AO236&gt;=1,1,0)+IF(AP236&gt;=1,1,0)+IF(AQ236&gt;=1,1,0)+IF(AR236&gt;=1,1,0)+IF(AS236&gt;=1,1,0)+IF(AT236&gt;=1,1,0))&gt;=3,"Multi-capacidad (3-4 verticales)",IF((IF(AL236&gt;=1,1,0)+IF(AM236&gt;=1,1,0)+IF(AN236&gt;=1,1,0)+IF(AO236&gt;=1,1,0)+IF(AP236&gt;=1,1,0)+IF(AQ236&gt;=1,1,0)+IF(AR236&gt;=1,1,0)+IF(AS236&gt;=1,1,0)+IF(AT236&gt;=1,1,0))&gt;=1,"Especialista (1-2 verticales)","Sin función mapeada"))))</f>
        <v/>
      </c>
    </row>
    <row r="237" spans="3:48" ht="15" customHeight="1" x14ac:dyDescent="0.2">
      <c r="C237" s="53" t="str">
        <f>IF(A237="","",IFERROR(INDEX('UNIVERSO MAESTRO'!$C$6:$C$497,MATCH(A237,'UNIVERSO MAESTRO'!$A$6:$A$497,0)),"⚠ ID no encontrado"))</f>
        <v/>
      </c>
      <c r="D237" s="54" t="str">
        <f>IF(A237="","",IFERROR(INDEX('UNIVERSO MAESTRO'!$D$6:$D$497,MATCH(A237,'UNIVERSO MAESTRO'!$A$6:$A$497,0)),""))</f>
        <v/>
      </c>
      <c r="AL237" s="91">
        <f>IF(E237="Sí",1,IF(E237="Parcial",0.5,0))+IF(F237="Sí",1,IF(F237="Parcial",0.5,0))+IF(G237="Sí",1,IF(G237="Parcial",0.5,0))+IF(H237="Sí",1,IF(H237="Parcial",0.5,0))</f>
        <v>0</v>
      </c>
      <c r="AM237" s="92">
        <f>IF(I237="Sí",1,IF(I237="Parcial",0.5,0))+IF(J237="Sí",1,IF(J237="Parcial",0.5,0))+IF(K237="Sí",1,IF(K237="Parcial",0.5,0))</f>
        <v>0</v>
      </c>
      <c r="AN237" s="93">
        <f>IF(L237="Sí",1,IF(L237="Parcial",0.5,0))+IF(M237="Sí",1,IF(M237="Parcial",0.5,0))+IF(N237="Sí",1,IF(N237="Parcial",0.5,0))+IF(O237="Sí",1,IF(O237="Parcial",0.5,0))</f>
        <v>0</v>
      </c>
      <c r="AO237" s="94">
        <f>IF(P237="Sí",1,IF(P237="Parcial",0.5,0))+IF(Q237="Sí",1,IF(Q237="Parcial",0.5,0))+IF(R237="Sí",1,IF(R237="Parcial",0.5,0))+IF(S237="Sí",1,IF(S237="Parcial",0.5,0))+IF(T237="Sí",1,IF(T237="Parcial",0.5,0))+IF(U237="Sí",1,IF(U237="Parcial",0.5,0))</f>
        <v>0</v>
      </c>
      <c r="AP237" s="95">
        <f>IF(V237="Sí",1,IF(V237="Parcial",0.5,0))+IF(W237="Sí",1,IF(W237="Parcial",0.5,0))+IF(X237="Sí",1,IF(X237="Parcial",0.5,0))+IF(Y237="Sí",1,IF(Y237="Parcial",0.5,0))</f>
        <v>0</v>
      </c>
      <c r="AQ237" s="96">
        <f>IF(Z237="Sí",1,IF(Z237="Parcial",0.5,0))+IF(AA237="Sí",1,IF(AA237="Parcial",0.5,0))+IF(AB237="Sí",1,IF(AB237="Parcial",0.5,0))</f>
        <v>0</v>
      </c>
      <c r="AR237" s="97">
        <f>IF(AC237="Sí",1,IF(AC237="Parcial",0.5,0))+IF(AD237="Sí",1,IF(AD237="Parcial",0.5,0))+IF(AE237="Sí",1,IF(AE237="Parcial",0.5,0))</f>
        <v>0</v>
      </c>
      <c r="AS237" s="98">
        <f>IF(AF237="Sí",1,IF(AF237="Parcial",0.5,0))+IF(AG237="Sí",1,IF(AG237="Parcial",0.5,0))+IF(AH237="Sí",1,IF(AH237="Parcial",0.5,0))</f>
        <v>0</v>
      </c>
      <c r="AT237" s="99">
        <f>IF(AI237="Sí",1,IF(AI237="Parcial",0.5,0))+IF(AJ237="Sí",1,IF(AJ237="Parcial",0.5,0))+IF(AK237="Sí",1,IF(AK237="Parcial",0.5,0))</f>
        <v>0</v>
      </c>
      <c r="AU237" s="100">
        <f>SUM(AL237,AM237,AN237,AO237,AP237,AQ237,AR237,AS237,AT237)</f>
        <v>0</v>
      </c>
      <c r="AV237" s="54" t="str">
        <f>IF(A237="","",IF((IF(AL237&gt;=1,1,0)+IF(AM237&gt;=1,1,0)+IF(AN237&gt;=1,1,0)+IF(AO237&gt;=1,1,0)+IF(AP237&gt;=1,1,0)+IF(AQ237&gt;=1,1,0)+IF(AR237&gt;=1,1,0)+IF(AS237&gt;=1,1,0)+IF(AT237&gt;=1,1,0))&gt;=5,"Diversificado (5+ verticales)",IF((IF(AL237&gt;=1,1,0)+IF(AM237&gt;=1,1,0)+IF(AN237&gt;=1,1,0)+IF(AO237&gt;=1,1,0)+IF(AP237&gt;=1,1,0)+IF(AQ237&gt;=1,1,0)+IF(AR237&gt;=1,1,0)+IF(AS237&gt;=1,1,0)+IF(AT237&gt;=1,1,0))&gt;=3,"Multi-capacidad (3-4 verticales)",IF((IF(AL237&gt;=1,1,0)+IF(AM237&gt;=1,1,0)+IF(AN237&gt;=1,1,0)+IF(AO237&gt;=1,1,0)+IF(AP237&gt;=1,1,0)+IF(AQ237&gt;=1,1,0)+IF(AR237&gt;=1,1,0)+IF(AS237&gt;=1,1,0)+IF(AT237&gt;=1,1,0))&gt;=1,"Especialista (1-2 verticales)","Sin función mapeada"))))</f>
        <v/>
      </c>
    </row>
    <row r="238" spans="3:48" ht="15" customHeight="1" x14ac:dyDescent="0.2">
      <c r="C238" s="53" t="str">
        <f>IF(A238="","",IFERROR(INDEX('UNIVERSO MAESTRO'!$C$6:$C$497,MATCH(A238,'UNIVERSO MAESTRO'!$A$6:$A$497,0)),"⚠ ID no encontrado"))</f>
        <v/>
      </c>
      <c r="D238" s="54" t="str">
        <f>IF(A238="","",IFERROR(INDEX('UNIVERSO MAESTRO'!$D$6:$D$497,MATCH(A238,'UNIVERSO MAESTRO'!$A$6:$A$497,0)),""))</f>
        <v/>
      </c>
      <c r="AL238" s="91">
        <f>IF(E238="Sí",1,IF(E238="Parcial",0.5,0))+IF(F238="Sí",1,IF(F238="Parcial",0.5,0))+IF(G238="Sí",1,IF(G238="Parcial",0.5,0))+IF(H238="Sí",1,IF(H238="Parcial",0.5,0))</f>
        <v>0</v>
      </c>
      <c r="AM238" s="92">
        <f>IF(I238="Sí",1,IF(I238="Parcial",0.5,0))+IF(J238="Sí",1,IF(J238="Parcial",0.5,0))+IF(K238="Sí",1,IF(K238="Parcial",0.5,0))</f>
        <v>0</v>
      </c>
      <c r="AN238" s="93">
        <f>IF(L238="Sí",1,IF(L238="Parcial",0.5,0))+IF(M238="Sí",1,IF(M238="Parcial",0.5,0))+IF(N238="Sí",1,IF(N238="Parcial",0.5,0))+IF(O238="Sí",1,IF(O238="Parcial",0.5,0))</f>
        <v>0</v>
      </c>
      <c r="AO238" s="94">
        <f>IF(P238="Sí",1,IF(P238="Parcial",0.5,0))+IF(Q238="Sí",1,IF(Q238="Parcial",0.5,0))+IF(R238="Sí",1,IF(R238="Parcial",0.5,0))+IF(S238="Sí",1,IF(S238="Parcial",0.5,0))+IF(T238="Sí",1,IF(T238="Parcial",0.5,0))+IF(U238="Sí",1,IF(U238="Parcial",0.5,0))</f>
        <v>0</v>
      </c>
      <c r="AP238" s="95">
        <f>IF(V238="Sí",1,IF(V238="Parcial",0.5,0))+IF(W238="Sí",1,IF(W238="Parcial",0.5,0))+IF(X238="Sí",1,IF(X238="Parcial",0.5,0))+IF(Y238="Sí",1,IF(Y238="Parcial",0.5,0))</f>
        <v>0</v>
      </c>
      <c r="AQ238" s="96">
        <f>IF(Z238="Sí",1,IF(Z238="Parcial",0.5,0))+IF(AA238="Sí",1,IF(AA238="Parcial",0.5,0))+IF(AB238="Sí",1,IF(AB238="Parcial",0.5,0))</f>
        <v>0</v>
      </c>
      <c r="AR238" s="97">
        <f>IF(AC238="Sí",1,IF(AC238="Parcial",0.5,0))+IF(AD238="Sí",1,IF(AD238="Parcial",0.5,0))+IF(AE238="Sí",1,IF(AE238="Parcial",0.5,0))</f>
        <v>0</v>
      </c>
      <c r="AS238" s="98">
        <f>IF(AF238="Sí",1,IF(AF238="Parcial",0.5,0))+IF(AG238="Sí",1,IF(AG238="Parcial",0.5,0))+IF(AH238="Sí",1,IF(AH238="Parcial",0.5,0))</f>
        <v>0</v>
      </c>
      <c r="AT238" s="99">
        <f>IF(AI238="Sí",1,IF(AI238="Parcial",0.5,0))+IF(AJ238="Sí",1,IF(AJ238="Parcial",0.5,0))+IF(AK238="Sí",1,IF(AK238="Parcial",0.5,0))</f>
        <v>0</v>
      </c>
      <c r="AU238" s="100">
        <f>SUM(AL238,AM238,AN238,AO238,AP238,AQ238,AR238,AS238,AT238)</f>
        <v>0</v>
      </c>
      <c r="AV238" s="54" t="str">
        <f>IF(A238="","",IF((IF(AL238&gt;=1,1,0)+IF(AM238&gt;=1,1,0)+IF(AN238&gt;=1,1,0)+IF(AO238&gt;=1,1,0)+IF(AP238&gt;=1,1,0)+IF(AQ238&gt;=1,1,0)+IF(AR238&gt;=1,1,0)+IF(AS238&gt;=1,1,0)+IF(AT238&gt;=1,1,0))&gt;=5,"Diversificado (5+ verticales)",IF((IF(AL238&gt;=1,1,0)+IF(AM238&gt;=1,1,0)+IF(AN238&gt;=1,1,0)+IF(AO238&gt;=1,1,0)+IF(AP238&gt;=1,1,0)+IF(AQ238&gt;=1,1,0)+IF(AR238&gt;=1,1,0)+IF(AS238&gt;=1,1,0)+IF(AT238&gt;=1,1,0))&gt;=3,"Multi-capacidad (3-4 verticales)",IF((IF(AL238&gt;=1,1,0)+IF(AM238&gt;=1,1,0)+IF(AN238&gt;=1,1,0)+IF(AO238&gt;=1,1,0)+IF(AP238&gt;=1,1,0)+IF(AQ238&gt;=1,1,0)+IF(AR238&gt;=1,1,0)+IF(AS238&gt;=1,1,0)+IF(AT238&gt;=1,1,0))&gt;=1,"Especialista (1-2 verticales)","Sin función mapeada"))))</f>
        <v/>
      </c>
    </row>
    <row r="239" spans="3:48" ht="15" customHeight="1" x14ac:dyDescent="0.2">
      <c r="C239" s="53" t="str">
        <f>IF(A239="","",IFERROR(INDEX('UNIVERSO MAESTRO'!$C$6:$C$497,MATCH(A239,'UNIVERSO MAESTRO'!$A$6:$A$497,0)),"⚠ ID no encontrado"))</f>
        <v/>
      </c>
      <c r="D239" s="54" t="str">
        <f>IF(A239="","",IFERROR(INDEX('UNIVERSO MAESTRO'!$D$6:$D$497,MATCH(A239,'UNIVERSO MAESTRO'!$A$6:$A$497,0)),""))</f>
        <v/>
      </c>
      <c r="AL239" s="91">
        <f>IF(E239="Sí",1,IF(E239="Parcial",0.5,0))+IF(F239="Sí",1,IF(F239="Parcial",0.5,0))+IF(G239="Sí",1,IF(G239="Parcial",0.5,0))+IF(H239="Sí",1,IF(H239="Parcial",0.5,0))</f>
        <v>0</v>
      </c>
      <c r="AM239" s="92">
        <f>IF(I239="Sí",1,IF(I239="Parcial",0.5,0))+IF(J239="Sí",1,IF(J239="Parcial",0.5,0))+IF(K239="Sí",1,IF(K239="Parcial",0.5,0))</f>
        <v>0</v>
      </c>
      <c r="AN239" s="93">
        <f>IF(L239="Sí",1,IF(L239="Parcial",0.5,0))+IF(M239="Sí",1,IF(M239="Parcial",0.5,0))+IF(N239="Sí",1,IF(N239="Parcial",0.5,0))+IF(O239="Sí",1,IF(O239="Parcial",0.5,0))</f>
        <v>0</v>
      </c>
      <c r="AO239" s="94">
        <f>IF(P239="Sí",1,IF(P239="Parcial",0.5,0))+IF(Q239="Sí",1,IF(Q239="Parcial",0.5,0))+IF(R239="Sí",1,IF(R239="Parcial",0.5,0))+IF(S239="Sí",1,IF(S239="Parcial",0.5,0))+IF(T239="Sí",1,IF(T239="Parcial",0.5,0))+IF(U239="Sí",1,IF(U239="Parcial",0.5,0))</f>
        <v>0</v>
      </c>
      <c r="AP239" s="95">
        <f>IF(V239="Sí",1,IF(V239="Parcial",0.5,0))+IF(W239="Sí",1,IF(W239="Parcial",0.5,0))+IF(X239="Sí",1,IF(X239="Parcial",0.5,0))+IF(Y239="Sí",1,IF(Y239="Parcial",0.5,0))</f>
        <v>0</v>
      </c>
      <c r="AQ239" s="96">
        <f>IF(Z239="Sí",1,IF(Z239="Parcial",0.5,0))+IF(AA239="Sí",1,IF(AA239="Parcial",0.5,0))+IF(AB239="Sí",1,IF(AB239="Parcial",0.5,0))</f>
        <v>0</v>
      </c>
      <c r="AR239" s="97">
        <f>IF(AC239="Sí",1,IF(AC239="Parcial",0.5,0))+IF(AD239="Sí",1,IF(AD239="Parcial",0.5,0))+IF(AE239="Sí",1,IF(AE239="Parcial",0.5,0))</f>
        <v>0</v>
      </c>
      <c r="AS239" s="98">
        <f>IF(AF239="Sí",1,IF(AF239="Parcial",0.5,0))+IF(AG239="Sí",1,IF(AG239="Parcial",0.5,0))+IF(AH239="Sí",1,IF(AH239="Parcial",0.5,0))</f>
        <v>0</v>
      </c>
      <c r="AT239" s="99">
        <f>IF(AI239="Sí",1,IF(AI239="Parcial",0.5,0))+IF(AJ239="Sí",1,IF(AJ239="Parcial",0.5,0))+IF(AK239="Sí",1,IF(AK239="Parcial",0.5,0))</f>
        <v>0</v>
      </c>
      <c r="AU239" s="100">
        <f>SUM(AL239,AM239,AN239,AO239,AP239,AQ239,AR239,AS239,AT239)</f>
        <v>0</v>
      </c>
      <c r="AV239" s="54" t="str">
        <f>IF(A239="","",IF((IF(AL239&gt;=1,1,0)+IF(AM239&gt;=1,1,0)+IF(AN239&gt;=1,1,0)+IF(AO239&gt;=1,1,0)+IF(AP239&gt;=1,1,0)+IF(AQ239&gt;=1,1,0)+IF(AR239&gt;=1,1,0)+IF(AS239&gt;=1,1,0)+IF(AT239&gt;=1,1,0))&gt;=5,"Diversificado (5+ verticales)",IF((IF(AL239&gt;=1,1,0)+IF(AM239&gt;=1,1,0)+IF(AN239&gt;=1,1,0)+IF(AO239&gt;=1,1,0)+IF(AP239&gt;=1,1,0)+IF(AQ239&gt;=1,1,0)+IF(AR239&gt;=1,1,0)+IF(AS239&gt;=1,1,0)+IF(AT239&gt;=1,1,0))&gt;=3,"Multi-capacidad (3-4 verticales)",IF((IF(AL239&gt;=1,1,0)+IF(AM239&gt;=1,1,0)+IF(AN239&gt;=1,1,0)+IF(AO239&gt;=1,1,0)+IF(AP239&gt;=1,1,0)+IF(AQ239&gt;=1,1,0)+IF(AR239&gt;=1,1,0)+IF(AS239&gt;=1,1,0)+IF(AT239&gt;=1,1,0))&gt;=1,"Especialista (1-2 verticales)","Sin función mapeada"))))</f>
        <v/>
      </c>
    </row>
    <row r="240" spans="3:48" ht="15" customHeight="1" x14ac:dyDescent="0.2">
      <c r="C240" s="53" t="str">
        <f>IF(A240="","",IFERROR(INDEX('UNIVERSO MAESTRO'!$C$6:$C$497,MATCH(A240,'UNIVERSO MAESTRO'!$A$6:$A$497,0)),"⚠ ID no encontrado"))</f>
        <v/>
      </c>
      <c r="D240" s="54" t="str">
        <f>IF(A240="","",IFERROR(INDEX('UNIVERSO MAESTRO'!$D$6:$D$497,MATCH(A240,'UNIVERSO MAESTRO'!$A$6:$A$497,0)),""))</f>
        <v/>
      </c>
      <c r="AL240" s="91">
        <f>IF(E240="Sí",1,IF(E240="Parcial",0.5,0))+IF(F240="Sí",1,IF(F240="Parcial",0.5,0))+IF(G240="Sí",1,IF(G240="Parcial",0.5,0))+IF(H240="Sí",1,IF(H240="Parcial",0.5,0))</f>
        <v>0</v>
      </c>
      <c r="AM240" s="92">
        <f>IF(I240="Sí",1,IF(I240="Parcial",0.5,0))+IF(J240="Sí",1,IF(J240="Parcial",0.5,0))+IF(K240="Sí",1,IF(K240="Parcial",0.5,0))</f>
        <v>0</v>
      </c>
      <c r="AN240" s="93">
        <f>IF(L240="Sí",1,IF(L240="Parcial",0.5,0))+IF(M240="Sí",1,IF(M240="Parcial",0.5,0))+IF(N240="Sí",1,IF(N240="Parcial",0.5,0))+IF(O240="Sí",1,IF(O240="Parcial",0.5,0))</f>
        <v>0</v>
      </c>
      <c r="AO240" s="94">
        <f>IF(P240="Sí",1,IF(P240="Parcial",0.5,0))+IF(Q240="Sí",1,IF(Q240="Parcial",0.5,0))+IF(R240="Sí",1,IF(R240="Parcial",0.5,0))+IF(S240="Sí",1,IF(S240="Parcial",0.5,0))+IF(T240="Sí",1,IF(T240="Parcial",0.5,0))+IF(U240="Sí",1,IF(U240="Parcial",0.5,0))</f>
        <v>0</v>
      </c>
      <c r="AP240" s="95">
        <f>IF(V240="Sí",1,IF(V240="Parcial",0.5,0))+IF(W240="Sí",1,IF(W240="Parcial",0.5,0))+IF(X240="Sí",1,IF(X240="Parcial",0.5,0))+IF(Y240="Sí",1,IF(Y240="Parcial",0.5,0))</f>
        <v>0</v>
      </c>
      <c r="AQ240" s="96">
        <f>IF(Z240="Sí",1,IF(Z240="Parcial",0.5,0))+IF(AA240="Sí",1,IF(AA240="Parcial",0.5,0))+IF(AB240="Sí",1,IF(AB240="Parcial",0.5,0))</f>
        <v>0</v>
      </c>
      <c r="AR240" s="97">
        <f>IF(AC240="Sí",1,IF(AC240="Parcial",0.5,0))+IF(AD240="Sí",1,IF(AD240="Parcial",0.5,0))+IF(AE240="Sí",1,IF(AE240="Parcial",0.5,0))</f>
        <v>0</v>
      </c>
      <c r="AS240" s="98">
        <f>IF(AF240="Sí",1,IF(AF240="Parcial",0.5,0))+IF(AG240="Sí",1,IF(AG240="Parcial",0.5,0))+IF(AH240="Sí",1,IF(AH240="Parcial",0.5,0))</f>
        <v>0</v>
      </c>
      <c r="AT240" s="99">
        <f>IF(AI240="Sí",1,IF(AI240="Parcial",0.5,0))+IF(AJ240="Sí",1,IF(AJ240="Parcial",0.5,0))+IF(AK240="Sí",1,IF(AK240="Parcial",0.5,0))</f>
        <v>0</v>
      </c>
      <c r="AU240" s="100">
        <f>SUM(AL240,AM240,AN240,AO240,AP240,AQ240,AR240,AS240,AT240)</f>
        <v>0</v>
      </c>
      <c r="AV240" s="54" t="str">
        <f>IF(A240="","",IF((IF(AL240&gt;=1,1,0)+IF(AM240&gt;=1,1,0)+IF(AN240&gt;=1,1,0)+IF(AO240&gt;=1,1,0)+IF(AP240&gt;=1,1,0)+IF(AQ240&gt;=1,1,0)+IF(AR240&gt;=1,1,0)+IF(AS240&gt;=1,1,0)+IF(AT240&gt;=1,1,0))&gt;=5,"Diversificado (5+ verticales)",IF((IF(AL240&gt;=1,1,0)+IF(AM240&gt;=1,1,0)+IF(AN240&gt;=1,1,0)+IF(AO240&gt;=1,1,0)+IF(AP240&gt;=1,1,0)+IF(AQ240&gt;=1,1,0)+IF(AR240&gt;=1,1,0)+IF(AS240&gt;=1,1,0)+IF(AT240&gt;=1,1,0))&gt;=3,"Multi-capacidad (3-4 verticales)",IF((IF(AL240&gt;=1,1,0)+IF(AM240&gt;=1,1,0)+IF(AN240&gt;=1,1,0)+IF(AO240&gt;=1,1,0)+IF(AP240&gt;=1,1,0)+IF(AQ240&gt;=1,1,0)+IF(AR240&gt;=1,1,0)+IF(AS240&gt;=1,1,0)+IF(AT240&gt;=1,1,0))&gt;=1,"Especialista (1-2 verticales)","Sin función mapeada"))))</f>
        <v/>
      </c>
    </row>
    <row r="241" spans="3:48" ht="15" customHeight="1" x14ac:dyDescent="0.2">
      <c r="C241" s="53" t="str">
        <f>IF(A241="","",IFERROR(INDEX('UNIVERSO MAESTRO'!$C$6:$C$497,MATCH(A241,'UNIVERSO MAESTRO'!$A$6:$A$497,0)),"⚠ ID no encontrado"))</f>
        <v/>
      </c>
      <c r="D241" s="54" t="str">
        <f>IF(A241="","",IFERROR(INDEX('UNIVERSO MAESTRO'!$D$6:$D$497,MATCH(A241,'UNIVERSO MAESTRO'!$A$6:$A$497,0)),""))</f>
        <v/>
      </c>
      <c r="AL241" s="91">
        <f>IF(E241="Sí",1,IF(E241="Parcial",0.5,0))+IF(F241="Sí",1,IF(F241="Parcial",0.5,0))+IF(G241="Sí",1,IF(G241="Parcial",0.5,0))+IF(H241="Sí",1,IF(H241="Parcial",0.5,0))</f>
        <v>0</v>
      </c>
      <c r="AM241" s="92">
        <f>IF(I241="Sí",1,IF(I241="Parcial",0.5,0))+IF(J241="Sí",1,IF(J241="Parcial",0.5,0))+IF(K241="Sí",1,IF(K241="Parcial",0.5,0))</f>
        <v>0</v>
      </c>
      <c r="AN241" s="93">
        <f>IF(L241="Sí",1,IF(L241="Parcial",0.5,0))+IF(M241="Sí",1,IF(M241="Parcial",0.5,0))+IF(N241="Sí",1,IF(N241="Parcial",0.5,0))+IF(O241="Sí",1,IF(O241="Parcial",0.5,0))</f>
        <v>0</v>
      </c>
      <c r="AO241" s="94">
        <f>IF(P241="Sí",1,IF(P241="Parcial",0.5,0))+IF(Q241="Sí",1,IF(Q241="Parcial",0.5,0))+IF(R241="Sí",1,IF(R241="Parcial",0.5,0))+IF(S241="Sí",1,IF(S241="Parcial",0.5,0))+IF(T241="Sí",1,IF(T241="Parcial",0.5,0))+IF(U241="Sí",1,IF(U241="Parcial",0.5,0))</f>
        <v>0</v>
      </c>
      <c r="AP241" s="95">
        <f>IF(V241="Sí",1,IF(V241="Parcial",0.5,0))+IF(W241="Sí",1,IF(W241="Parcial",0.5,0))+IF(X241="Sí",1,IF(X241="Parcial",0.5,0))+IF(Y241="Sí",1,IF(Y241="Parcial",0.5,0))</f>
        <v>0</v>
      </c>
      <c r="AQ241" s="96">
        <f>IF(Z241="Sí",1,IF(Z241="Parcial",0.5,0))+IF(AA241="Sí",1,IF(AA241="Parcial",0.5,0))+IF(AB241="Sí",1,IF(AB241="Parcial",0.5,0))</f>
        <v>0</v>
      </c>
      <c r="AR241" s="97">
        <f>IF(AC241="Sí",1,IF(AC241="Parcial",0.5,0))+IF(AD241="Sí",1,IF(AD241="Parcial",0.5,0))+IF(AE241="Sí",1,IF(AE241="Parcial",0.5,0))</f>
        <v>0</v>
      </c>
      <c r="AS241" s="98">
        <f>IF(AF241="Sí",1,IF(AF241="Parcial",0.5,0))+IF(AG241="Sí",1,IF(AG241="Parcial",0.5,0))+IF(AH241="Sí",1,IF(AH241="Parcial",0.5,0))</f>
        <v>0</v>
      </c>
      <c r="AT241" s="99">
        <f>IF(AI241="Sí",1,IF(AI241="Parcial",0.5,0))+IF(AJ241="Sí",1,IF(AJ241="Parcial",0.5,0))+IF(AK241="Sí",1,IF(AK241="Parcial",0.5,0))</f>
        <v>0</v>
      </c>
      <c r="AU241" s="100">
        <f>SUM(AL241,AM241,AN241,AO241,AP241,AQ241,AR241,AS241,AT241)</f>
        <v>0</v>
      </c>
      <c r="AV241" s="54" t="str">
        <f>IF(A241="","",IF((IF(AL241&gt;=1,1,0)+IF(AM241&gt;=1,1,0)+IF(AN241&gt;=1,1,0)+IF(AO241&gt;=1,1,0)+IF(AP241&gt;=1,1,0)+IF(AQ241&gt;=1,1,0)+IF(AR241&gt;=1,1,0)+IF(AS241&gt;=1,1,0)+IF(AT241&gt;=1,1,0))&gt;=5,"Diversificado (5+ verticales)",IF((IF(AL241&gt;=1,1,0)+IF(AM241&gt;=1,1,0)+IF(AN241&gt;=1,1,0)+IF(AO241&gt;=1,1,0)+IF(AP241&gt;=1,1,0)+IF(AQ241&gt;=1,1,0)+IF(AR241&gt;=1,1,0)+IF(AS241&gt;=1,1,0)+IF(AT241&gt;=1,1,0))&gt;=3,"Multi-capacidad (3-4 verticales)",IF((IF(AL241&gt;=1,1,0)+IF(AM241&gt;=1,1,0)+IF(AN241&gt;=1,1,0)+IF(AO241&gt;=1,1,0)+IF(AP241&gt;=1,1,0)+IF(AQ241&gt;=1,1,0)+IF(AR241&gt;=1,1,0)+IF(AS241&gt;=1,1,0)+IF(AT241&gt;=1,1,0))&gt;=1,"Especialista (1-2 verticales)","Sin función mapeada"))))</f>
        <v/>
      </c>
    </row>
    <row r="242" spans="3:48" ht="15" customHeight="1" x14ac:dyDescent="0.2">
      <c r="C242" s="53" t="str">
        <f>IF(A242="","",IFERROR(INDEX('UNIVERSO MAESTRO'!$C$6:$C$497,MATCH(A242,'UNIVERSO MAESTRO'!$A$6:$A$497,0)),"⚠ ID no encontrado"))</f>
        <v/>
      </c>
      <c r="D242" s="54" t="str">
        <f>IF(A242="","",IFERROR(INDEX('UNIVERSO MAESTRO'!$D$6:$D$497,MATCH(A242,'UNIVERSO MAESTRO'!$A$6:$A$497,0)),""))</f>
        <v/>
      </c>
      <c r="AL242" s="91">
        <f>IF(E242="Sí",1,IF(E242="Parcial",0.5,0))+IF(F242="Sí",1,IF(F242="Parcial",0.5,0))+IF(G242="Sí",1,IF(G242="Parcial",0.5,0))+IF(H242="Sí",1,IF(H242="Parcial",0.5,0))</f>
        <v>0</v>
      </c>
      <c r="AM242" s="92">
        <f>IF(I242="Sí",1,IF(I242="Parcial",0.5,0))+IF(J242="Sí",1,IF(J242="Parcial",0.5,0))+IF(K242="Sí",1,IF(K242="Parcial",0.5,0))</f>
        <v>0</v>
      </c>
      <c r="AN242" s="93">
        <f>IF(L242="Sí",1,IF(L242="Parcial",0.5,0))+IF(M242="Sí",1,IF(M242="Parcial",0.5,0))+IF(N242="Sí",1,IF(N242="Parcial",0.5,0))+IF(O242="Sí",1,IF(O242="Parcial",0.5,0))</f>
        <v>0</v>
      </c>
      <c r="AO242" s="94">
        <f>IF(P242="Sí",1,IF(P242="Parcial",0.5,0))+IF(Q242="Sí",1,IF(Q242="Parcial",0.5,0))+IF(R242="Sí",1,IF(R242="Parcial",0.5,0))+IF(S242="Sí",1,IF(S242="Parcial",0.5,0))+IF(T242="Sí",1,IF(T242="Parcial",0.5,0))+IF(U242="Sí",1,IF(U242="Parcial",0.5,0))</f>
        <v>0</v>
      </c>
      <c r="AP242" s="95">
        <f>IF(V242="Sí",1,IF(V242="Parcial",0.5,0))+IF(W242="Sí",1,IF(W242="Parcial",0.5,0))+IF(X242="Sí",1,IF(X242="Parcial",0.5,0))+IF(Y242="Sí",1,IF(Y242="Parcial",0.5,0))</f>
        <v>0</v>
      </c>
      <c r="AQ242" s="96">
        <f>IF(Z242="Sí",1,IF(Z242="Parcial",0.5,0))+IF(AA242="Sí",1,IF(AA242="Parcial",0.5,0))+IF(AB242="Sí",1,IF(AB242="Parcial",0.5,0))</f>
        <v>0</v>
      </c>
      <c r="AR242" s="97">
        <f>IF(AC242="Sí",1,IF(AC242="Parcial",0.5,0))+IF(AD242="Sí",1,IF(AD242="Parcial",0.5,0))+IF(AE242="Sí",1,IF(AE242="Parcial",0.5,0))</f>
        <v>0</v>
      </c>
      <c r="AS242" s="98">
        <f>IF(AF242="Sí",1,IF(AF242="Parcial",0.5,0))+IF(AG242="Sí",1,IF(AG242="Parcial",0.5,0))+IF(AH242="Sí",1,IF(AH242="Parcial",0.5,0))</f>
        <v>0</v>
      </c>
      <c r="AT242" s="99">
        <f>IF(AI242="Sí",1,IF(AI242="Parcial",0.5,0))+IF(AJ242="Sí",1,IF(AJ242="Parcial",0.5,0))+IF(AK242="Sí",1,IF(AK242="Parcial",0.5,0))</f>
        <v>0</v>
      </c>
      <c r="AU242" s="100">
        <f>SUM(AL242,AM242,AN242,AO242,AP242,AQ242,AR242,AS242,AT242)</f>
        <v>0</v>
      </c>
      <c r="AV242" s="54" t="str">
        <f>IF(A242="","",IF((IF(AL242&gt;=1,1,0)+IF(AM242&gt;=1,1,0)+IF(AN242&gt;=1,1,0)+IF(AO242&gt;=1,1,0)+IF(AP242&gt;=1,1,0)+IF(AQ242&gt;=1,1,0)+IF(AR242&gt;=1,1,0)+IF(AS242&gt;=1,1,0)+IF(AT242&gt;=1,1,0))&gt;=5,"Diversificado (5+ verticales)",IF((IF(AL242&gt;=1,1,0)+IF(AM242&gt;=1,1,0)+IF(AN242&gt;=1,1,0)+IF(AO242&gt;=1,1,0)+IF(AP242&gt;=1,1,0)+IF(AQ242&gt;=1,1,0)+IF(AR242&gt;=1,1,0)+IF(AS242&gt;=1,1,0)+IF(AT242&gt;=1,1,0))&gt;=3,"Multi-capacidad (3-4 verticales)",IF((IF(AL242&gt;=1,1,0)+IF(AM242&gt;=1,1,0)+IF(AN242&gt;=1,1,0)+IF(AO242&gt;=1,1,0)+IF(AP242&gt;=1,1,0)+IF(AQ242&gt;=1,1,0)+IF(AR242&gt;=1,1,0)+IF(AS242&gt;=1,1,0)+IF(AT242&gt;=1,1,0))&gt;=1,"Especialista (1-2 verticales)","Sin función mapeada"))))</f>
        <v/>
      </c>
    </row>
    <row r="243" spans="3:48" ht="15" customHeight="1" x14ac:dyDescent="0.2">
      <c r="C243" s="53" t="str">
        <f>IF(A243="","",IFERROR(INDEX('UNIVERSO MAESTRO'!$C$6:$C$497,MATCH(A243,'UNIVERSO MAESTRO'!$A$6:$A$497,0)),"⚠ ID no encontrado"))</f>
        <v/>
      </c>
      <c r="D243" s="54" t="str">
        <f>IF(A243="","",IFERROR(INDEX('UNIVERSO MAESTRO'!$D$6:$D$497,MATCH(A243,'UNIVERSO MAESTRO'!$A$6:$A$497,0)),""))</f>
        <v/>
      </c>
      <c r="AL243" s="91">
        <f>IF(E243="Sí",1,IF(E243="Parcial",0.5,0))+IF(F243="Sí",1,IF(F243="Parcial",0.5,0))+IF(G243="Sí",1,IF(G243="Parcial",0.5,0))+IF(H243="Sí",1,IF(H243="Parcial",0.5,0))</f>
        <v>0</v>
      </c>
      <c r="AM243" s="92">
        <f>IF(I243="Sí",1,IF(I243="Parcial",0.5,0))+IF(J243="Sí",1,IF(J243="Parcial",0.5,0))+IF(K243="Sí",1,IF(K243="Parcial",0.5,0))</f>
        <v>0</v>
      </c>
      <c r="AN243" s="93">
        <f>IF(L243="Sí",1,IF(L243="Parcial",0.5,0))+IF(M243="Sí",1,IF(M243="Parcial",0.5,0))+IF(N243="Sí",1,IF(N243="Parcial",0.5,0))+IF(O243="Sí",1,IF(O243="Parcial",0.5,0))</f>
        <v>0</v>
      </c>
      <c r="AO243" s="94">
        <f>IF(P243="Sí",1,IF(P243="Parcial",0.5,0))+IF(Q243="Sí",1,IF(Q243="Parcial",0.5,0))+IF(R243="Sí",1,IF(R243="Parcial",0.5,0))+IF(S243="Sí",1,IF(S243="Parcial",0.5,0))+IF(T243="Sí",1,IF(T243="Parcial",0.5,0))+IF(U243="Sí",1,IF(U243="Parcial",0.5,0))</f>
        <v>0</v>
      </c>
      <c r="AP243" s="95">
        <f>IF(V243="Sí",1,IF(V243="Parcial",0.5,0))+IF(W243="Sí",1,IF(W243="Parcial",0.5,0))+IF(X243="Sí",1,IF(X243="Parcial",0.5,0))+IF(Y243="Sí",1,IF(Y243="Parcial",0.5,0))</f>
        <v>0</v>
      </c>
      <c r="AQ243" s="96">
        <f>IF(Z243="Sí",1,IF(Z243="Parcial",0.5,0))+IF(AA243="Sí",1,IF(AA243="Parcial",0.5,0))+IF(AB243="Sí",1,IF(AB243="Parcial",0.5,0))</f>
        <v>0</v>
      </c>
      <c r="AR243" s="97">
        <f>IF(AC243="Sí",1,IF(AC243="Parcial",0.5,0))+IF(AD243="Sí",1,IF(AD243="Parcial",0.5,0))+IF(AE243="Sí",1,IF(AE243="Parcial",0.5,0))</f>
        <v>0</v>
      </c>
      <c r="AS243" s="98">
        <f>IF(AF243="Sí",1,IF(AF243="Parcial",0.5,0))+IF(AG243="Sí",1,IF(AG243="Parcial",0.5,0))+IF(AH243="Sí",1,IF(AH243="Parcial",0.5,0))</f>
        <v>0</v>
      </c>
      <c r="AT243" s="99">
        <f>IF(AI243="Sí",1,IF(AI243="Parcial",0.5,0))+IF(AJ243="Sí",1,IF(AJ243="Parcial",0.5,0))+IF(AK243="Sí",1,IF(AK243="Parcial",0.5,0))</f>
        <v>0</v>
      </c>
      <c r="AU243" s="100">
        <f>SUM(AL243,AM243,AN243,AO243,AP243,AQ243,AR243,AS243,AT243)</f>
        <v>0</v>
      </c>
      <c r="AV243" s="54" t="str">
        <f>IF(A243="","",IF((IF(AL243&gt;=1,1,0)+IF(AM243&gt;=1,1,0)+IF(AN243&gt;=1,1,0)+IF(AO243&gt;=1,1,0)+IF(AP243&gt;=1,1,0)+IF(AQ243&gt;=1,1,0)+IF(AR243&gt;=1,1,0)+IF(AS243&gt;=1,1,0)+IF(AT243&gt;=1,1,0))&gt;=5,"Diversificado (5+ verticales)",IF((IF(AL243&gt;=1,1,0)+IF(AM243&gt;=1,1,0)+IF(AN243&gt;=1,1,0)+IF(AO243&gt;=1,1,0)+IF(AP243&gt;=1,1,0)+IF(AQ243&gt;=1,1,0)+IF(AR243&gt;=1,1,0)+IF(AS243&gt;=1,1,0)+IF(AT243&gt;=1,1,0))&gt;=3,"Multi-capacidad (3-4 verticales)",IF((IF(AL243&gt;=1,1,0)+IF(AM243&gt;=1,1,0)+IF(AN243&gt;=1,1,0)+IF(AO243&gt;=1,1,0)+IF(AP243&gt;=1,1,0)+IF(AQ243&gt;=1,1,0)+IF(AR243&gt;=1,1,0)+IF(AS243&gt;=1,1,0)+IF(AT243&gt;=1,1,0))&gt;=1,"Especialista (1-2 verticales)","Sin función mapeada"))))</f>
        <v/>
      </c>
    </row>
    <row r="244" spans="3:48" ht="15" customHeight="1" x14ac:dyDescent="0.2">
      <c r="C244" s="53" t="str">
        <f>IF(A244="","",IFERROR(INDEX('UNIVERSO MAESTRO'!$C$6:$C$497,MATCH(A244,'UNIVERSO MAESTRO'!$A$6:$A$497,0)),"⚠ ID no encontrado"))</f>
        <v/>
      </c>
      <c r="D244" s="54" t="str">
        <f>IF(A244="","",IFERROR(INDEX('UNIVERSO MAESTRO'!$D$6:$D$497,MATCH(A244,'UNIVERSO MAESTRO'!$A$6:$A$497,0)),""))</f>
        <v/>
      </c>
      <c r="AL244" s="91">
        <f>IF(E244="Sí",1,IF(E244="Parcial",0.5,0))+IF(F244="Sí",1,IF(F244="Parcial",0.5,0))+IF(G244="Sí",1,IF(G244="Parcial",0.5,0))+IF(H244="Sí",1,IF(H244="Parcial",0.5,0))</f>
        <v>0</v>
      </c>
      <c r="AM244" s="92">
        <f>IF(I244="Sí",1,IF(I244="Parcial",0.5,0))+IF(J244="Sí",1,IF(J244="Parcial",0.5,0))+IF(K244="Sí",1,IF(K244="Parcial",0.5,0))</f>
        <v>0</v>
      </c>
      <c r="AN244" s="93">
        <f>IF(L244="Sí",1,IF(L244="Parcial",0.5,0))+IF(M244="Sí",1,IF(M244="Parcial",0.5,0))+IF(N244="Sí",1,IF(N244="Parcial",0.5,0))+IF(O244="Sí",1,IF(O244="Parcial",0.5,0))</f>
        <v>0</v>
      </c>
      <c r="AO244" s="94">
        <f>IF(P244="Sí",1,IF(P244="Parcial",0.5,0))+IF(Q244="Sí",1,IF(Q244="Parcial",0.5,0))+IF(R244="Sí",1,IF(R244="Parcial",0.5,0))+IF(S244="Sí",1,IF(S244="Parcial",0.5,0))+IF(T244="Sí",1,IF(T244="Parcial",0.5,0))+IF(U244="Sí",1,IF(U244="Parcial",0.5,0))</f>
        <v>0</v>
      </c>
      <c r="AP244" s="95">
        <f>IF(V244="Sí",1,IF(V244="Parcial",0.5,0))+IF(W244="Sí",1,IF(W244="Parcial",0.5,0))+IF(X244="Sí",1,IF(X244="Parcial",0.5,0))+IF(Y244="Sí",1,IF(Y244="Parcial",0.5,0))</f>
        <v>0</v>
      </c>
      <c r="AQ244" s="96">
        <f>IF(Z244="Sí",1,IF(Z244="Parcial",0.5,0))+IF(AA244="Sí",1,IF(AA244="Parcial",0.5,0))+IF(AB244="Sí",1,IF(AB244="Parcial",0.5,0))</f>
        <v>0</v>
      </c>
      <c r="AR244" s="97">
        <f>IF(AC244="Sí",1,IF(AC244="Parcial",0.5,0))+IF(AD244="Sí",1,IF(AD244="Parcial",0.5,0))+IF(AE244="Sí",1,IF(AE244="Parcial",0.5,0))</f>
        <v>0</v>
      </c>
      <c r="AS244" s="98">
        <f>IF(AF244="Sí",1,IF(AF244="Parcial",0.5,0))+IF(AG244="Sí",1,IF(AG244="Parcial",0.5,0))+IF(AH244="Sí",1,IF(AH244="Parcial",0.5,0))</f>
        <v>0</v>
      </c>
      <c r="AT244" s="99">
        <f>IF(AI244="Sí",1,IF(AI244="Parcial",0.5,0))+IF(AJ244="Sí",1,IF(AJ244="Parcial",0.5,0))+IF(AK244="Sí",1,IF(AK244="Parcial",0.5,0))</f>
        <v>0</v>
      </c>
      <c r="AU244" s="100">
        <f>SUM(AL244,AM244,AN244,AO244,AP244,AQ244,AR244,AS244,AT244)</f>
        <v>0</v>
      </c>
      <c r="AV244" s="54" t="str">
        <f>IF(A244="","",IF((IF(AL244&gt;=1,1,0)+IF(AM244&gt;=1,1,0)+IF(AN244&gt;=1,1,0)+IF(AO244&gt;=1,1,0)+IF(AP244&gt;=1,1,0)+IF(AQ244&gt;=1,1,0)+IF(AR244&gt;=1,1,0)+IF(AS244&gt;=1,1,0)+IF(AT244&gt;=1,1,0))&gt;=5,"Diversificado (5+ verticales)",IF((IF(AL244&gt;=1,1,0)+IF(AM244&gt;=1,1,0)+IF(AN244&gt;=1,1,0)+IF(AO244&gt;=1,1,0)+IF(AP244&gt;=1,1,0)+IF(AQ244&gt;=1,1,0)+IF(AR244&gt;=1,1,0)+IF(AS244&gt;=1,1,0)+IF(AT244&gt;=1,1,0))&gt;=3,"Multi-capacidad (3-4 verticales)",IF((IF(AL244&gt;=1,1,0)+IF(AM244&gt;=1,1,0)+IF(AN244&gt;=1,1,0)+IF(AO244&gt;=1,1,0)+IF(AP244&gt;=1,1,0)+IF(AQ244&gt;=1,1,0)+IF(AR244&gt;=1,1,0)+IF(AS244&gt;=1,1,0)+IF(AT244&gt;=1,1,0))&gt;=1,"Especialista (1-2 verticales)","Sin función mapeada"))))</f>
        <v/>
      </c>
    </row>
    <row r="245" spans="3:48" ht="15" customHeight="1" x14ac:dyDescent="0.2">
      <c r="C245" s="53" t="str">
        <f>IF(A245="","",IFERROR(INDEX('UNIVERSO MAESTRO'!$C$6:$C$497,MATCH(A245,'UNIVERSO MAESTRO'!$A$6:$A$497,0)),"⚠ ID no encontrado"))</f>
        <v/>
      </c>
      <c r="D245" s="54" t="str">
        <f>IF(A245="","",IFERROR(INDEX('UNIVERSO MAESTRO'!$D$6:$D$497,MATCH(A245,'UNIVERSO MAESTRO'!$A$6:$A$497,0)),""))</f>
        <v/>
      </c>
      <c r="AL245" s="91">
        <f>IF(E245="Sí",1,IF(E245="Parcial",0.5,0))+IF(F245="Sí",1,IF(F245="Parcial",0.5,0))+IF(G245="Sí",1,IF(G245="Parcial",0.5,0))+IF(H245="Sí",1,IF(H245="Parcial",0.5,0))</f>
        <v>0</v>
      </c>
      <c r="AM245" s="92">
        <f>IF(I245="Sí",1,IF(I245="Parcial",0.5,0))+IF(J245="Sí",1,IF(J245="Parcial",0.5,0))+IF(K245="Sí",1,IF(K245="Parcial",0.5,0))</f>
        <v>0</v>
      </c>
      <c r="AN245" s="93">
        <f>IF(L245="Sí",1,IF(L245="Parcial",0.5,0))+IF(M245="Sí",1,IF(M245="Parcial",0.5,0))+IF(N245="Sí",1,IF(N245="Parcial",0.5,0))+IF(O245="Sí",1,IF(O245="Parcial",0.5,0))</f>
        <v>0</v>
      </c>
      <c r="AO245" s="94">
        <f>IF(P245="Sí",1,IF(P245="Parcial",0.5,0))+IF(Q245="Sí",1,IF(Q245="Parcial",0.5,0))+IF(R245="Sí",1,IF(R245="Parcial",0.5,0))+IF(S245="Sí",1,IF(S245="Parcial",0.5,0))+IF(T245="Sí",1,IF(T245="Parcial",0.5,0))+IF(U245="Sí",1,IF(U245="Parcial",0.5,0))</f>
        <v>0</v>
      </c>
      <c r="AP245" s="95">
        <f>IF(V245="Sí",1,IF(V245="Parcial",0.5,0))+IF(W245="Sí",1,IF(W245="Parcial",0.5,0))+IF(X245="Sí",1,IF(X245="Parcial",0.5,0))+IF(Y245="Sí",1,IF(Y245="Parcial",0.5,0))</f>
        <v>0</v>
      </c>
      <c r="AQ245" s="96">
        <f>IF(Z245="Sí",1,IF(Z245="Parcial",0.5,0))+IF(AA245="Sí",1,IF(AA245="Parcial",0.5,0))+IF(AB245="Sí",1,IF(AB245="Parcial",0.5,0))</f>
        <v>0</v>
      </c>
      <c r="AR245" s="97">
        <f>IF(AC245="Sí",1,IF(AC245="Parcial",0.5,0))+IF(AD245="Sí",1,IF(AD245="Parcial",0.5,0))+IF(AE245="Sí",1,IF(AE245="Parcial",0.5,0))</f>
        <v>0</v>
      </c>
      <c r="AS245" s="98">
        <f>IF(AF245="Sí",1,IF(AF245="Parcial",0.5,0))+IF(AG245="Sí",1,IF(AG245="Parcial",0.5,0))+IF(AH245="Sí",1,IF(AH245="Parcial",0.5,0))</f>
        <v>0</v>
      </c>
      <c r="AT245" s="99">
        <f>IF(AI245="Sí",1,IF(AI245="Parcial",0.5,0))+IF(AJ245="Sí",1,IF(AJ245="Parcial",0.5,0))+IF(AK245="Sí",1,IF(AK245="Parcial",0.5,0))</f>
        <v>0</v>
      </c>
      <c r="AU245" s="100">
        <f>SUM(AL245,AM245,AN245,AO245,AP245,AQ245,AR245,AS245,AT245)</f>
        <v>0</v>
      </c>
      <c r="AV245" s="54" t="str">
        <f>IF(A245="","",IF((IF(AL245&gt;=1,1,0)+IF(AM245&gt;=1,1,0)+IF(AN245&gt;=1,1,0)+IF(AO245&gt;=1,1,0)+IF(AP245&gt;=1,1,0)+IF(AQ245&gt;=1,1,0)+IF(AR245&gt;=1,1,0)+IF(AS245&gt;=1,1,0)+IF(AT245&gt;=1,1,0))&gt;=5,"Diversificado (5+ verticales)",IF((IF(AL245&gt;=1,1,0)+IF(AM245&gt;=1,1,0)+IF(AN245&gt;=1,1,0)+IF(AO245&gt;=1,1,0)+IF(AP245&gt;=1,1,0)+IF(AQ245&gt;=1,1,0)+IF(AR245&gt;=1,1,0)+IF(AS245&gt;=1,1,0)+IF(AT245&gt;=1,1,0))&gt;=3,"Multi-capacidad (3-4 verticales)",IF((IF(AL245&gt;=1,1,0)+IF(AM245&gt;=1,1,0)+IF(AN245&gt;=1,1,0)+IF(AO245&gt;=1,1,0)+IF(AP245&gt;=1,1,0)+IF(AQ245&gt;=1,1,0)+IF(AR245&gt;=1,1,0)+IF(AS245&gt;=1,1,0)+IF(AT245&gt;=1,1,0))&gt;=1,"Especialista (1-2 verticales)","Sin función mapeada"))))</f>
        <v/>
      </c>
    </row>
    <row r="246" spans="3:48" ht="15" customHeight="1" x14ac:dyDescent="0.2">
      <c r="C246" s="53" t="str">
        <f>IF(A246="","",IFERROR(INDEX('UNIVERSO MAESTRO'!$C$6:$C$497,MATCH(A246,'UNIVERSO MAESTRO'!$A$6:$A$497,0)),"⚠ ID no encontrado"))</f>
        <v/>
      </c>
      <c r="D246" s="54" t="str">
        <f>IF(A246="","",IFERROR(INDEX('UNIVERSO MAESTRO'!$D$6:$D$497,MATCH(A246,'UNIVERSO MAESTRO'!$A$6:$A$497,0)),""))</f>
        <v/>
      </c>
      <c r="AL246" s="91">
        <f>IF(E246="Sí",1,IF(E246="Parcial",0.5,0))+IF(F246="Sí",1,IF(F246="Parcial",0.5,0))+IF(G246="Sí",1,IF(G246="Parcial",0.5,0))+IF(H246="Sí",1,IF(H246="Parcial",0.5,0))</f>
        <v>0</v>
      </c>
      <c r="AM246" s="92">
        <f>IF(I246="Sí",1,IF(I246="Parcial",0.5,0))+IF(J246="Sí",1,IF(J246="Parcial",0.5,0))+IF(K246="Sí",1,IF(K246="Parcial",0.5,0))</f>
        <v>0</v>
      </c>
      <c r="AN246" s="93">
        <f>IF(L246="Sí",1,IF(L246="Parcial",0.5,0))+IF(M246="Sí",1,IF(M246="Parcial",0.5,0))+IF(N246="Sí",1,IF(N246="Parcial",0.5,0))+IF(O246="Sí",1,IF(O246="Parcial",0.5,0))</f>
        <v>0</v>
      </c>
      <c r="AO246" s="94">
        <f>IF(P246="Sí",1,IF(P246="Parcial",0.5,0))+IF(Q246="Sí",1,IF(Q246="Parcial",0.5,0))+IF(R246="Sí",1,IF(R246="Parcial",0.5,0))+IF(S246="Sí",1,IF(S246="Parcial",0.5,0))+IF(T246="Sí",1,IF(T246="Parcial",0.5,0))+IF(U246="Sí",1,IF(U246="Parcial",0.5,0))</f>
        <v>0</v>
      </c>
      <c r="AP246" s="95">
        <f>IF(V246="Sí",1,IF(V246="Parcial",0.5,0))+IF(W246="Sí",1,IF(W246="Parcial",0.5,0))+IF(X246="Sí",1,IF(X246="Parcial",0.5,0))+IF(Y246="Sí",1,IF(Y246="Parcial",0.5,0))</f>
        <v>0</v>
      </c>
      <c r="AQ246" s="96">
        <f>IF(Z246="Sí",1,IF(Z246="Parcial",0.5,0))+IF(AA246="Sí",1,IF(AA246="Parcial",0.5,0))+IF(AB246="Sí",1,IF(AB246="Parcial",0.5,0))</f>
        <v>0</v>
      </c>
      <c r="AR246" s="97">
        <f>IF(AC246="Sí",1,IF(AC246="Parcial",0.5,0))+IF(AD246="Sí",1,IF(AD246="Parcial",0.5,0))+IF(AE246="Sí",1,IF(AE246="Parcial",0.5,0))</f>
        <v>0</v>
      </c>
      <c r="AS246" s="98">
        <f>IF(AF246="Sí",1,IF(AF246="Parcial",0.5,0))+IF(AG246="Sí",1,IF(AG246="Parcial",0.5,0))+IF(AH246="Sí",1,IF(AH246="Parcial",0.5,0))</f>
        <v>0</v>
      </c>
      <c r="AT246" s="99">
        <f>IF(AI246="Sí",1,IF(AI246="Parcial",0.5,0))+IF(AJ246="Sí",1,IF(AJ246="Parcial",0.5,0))+IF(AK246="Sí",1,IF(AK246="Parcial",0.5,0))</f>
        <v>0</v>
      </c>
      <c r="AU246" s="100">
        <f>SUM(AL246,AM246,AN246,AO246,AP246,AQ246,AR246,AS246,AT246)</f>
        <v>0</v>
      </c>
      <c r="AV246" s="54" t="str">
        <f>IF(A246="","",IF((IF(AL246&gt;=1,1,0)+IF(AM246&gt;=1,1,0)+IF(AN246&gt;=1,1,0)+IF(AO246&gt;=1,1,0)+IF(AP246&gt;=1,1,0)+IF(AQ246&gt;=1,1,0)+IF(AR246&gt;=1,1,0)+IF(AS246&gt;=1,1,0)+IF(AT246&gt;=1,1,0))&gt;=5,"Diversificado (5+ verticales)",IF((IF(AL246&gt;=1,1,0)+IF(AM246&gt;=1,1,0)+IF(AN246&gt;=1,1,0)+IF(AO246&gt;=1,1,0)+IF(AP246&gt;=1,1,0)+IF(AQ246&gt;=1,1,0)+IF(AR246&gt;=1,1,0)+IF(AS246&gt;=1,1,0)+IF(AT246&gt;=1,1,0))&gt;=3,"Multi-capacidad (3-4 verticales)",IF((IF(AL246&gt;=1,1,0)+IF(AM246&gt;=1,1,0)+IF(AN246&gt;=1,1,0)+IF(AO246&gt;=1,1,0)+IF(AP246&gt;=1,1,0)+IF(AQ246&gt;=1,1,0)+IF(AR246&gt;=1,1,0)+IF(AS246&gt;=1,1,0)+IF(AT246&gt;=1,1,0))&gt;=1,"Especialista (1-2 verticales)","Sin función mapeada"))))</f>
        <v/>
      </c>
    </row>
    <row r="247" spans="3:48" ht="15" customHeight="1" x14ac:dyDescent="0.2">
      <c r="C247" s="53" t="str">
        <f>IF(A247="","",IFERROR(INDEX('UNIVERSO MAESTRO'!$C$6:$C$497,MATCH(A247,'UNIVERSO MAESTRO'!$A$6:$A$497,0)),"⚠ ID no encontrado"))</f>
        <v/>
      </c>
      <c r="D247" s="54" t="str">
        <f>IF(A247="","",IFERROR(INDEX('UNIVERSO MAESTRO'!$D$6:$D$497,MATCH(A247,'UNIVERSO MAESTRO'!$A$6:$A$497,0)),""))</f>
        <v/>
      </c>
      <c r="AL247" s="91">
        <f>IF(E247="Sí",1,IF(E247="Parcial",0.5,0))+IF(F247="Sí",1,IF(F247="Parcial",0.5,0))+IF(G247="Sí",1,IF(G247="Parcial",0.5,0))+IF(H247="Sí",1,IF(H247="Parcial",0.5,0))</f>
        <v>0</v>
      </c>
      <c r="AM247" s="92">
        <f>IF(I247="Sí",1,IF(I247="Parcial",0.5,0))+IF(J247="Sí",1,IF(J247="Parcial",0.5,0))+IF(K247="Sí",1,IF(K247="Parcial",0.5,0))</f>
        <v>0</v>
      </c>
      <c r="AN247" s="93">
        <f>IF(L247="Sí",1,IF(L247="Parcial",0.5,0))+IF(M247="Sí",1,IF(M247="Parcial",0.5,0))+IF(N247="Sí",1,IF(N247="Parcial",0.5,0))+IF(O247="Sí",1,IF(O247="Parcial",0.5,0))</f>
        <v>0</v>
      </c>
      <c r="AO247" s="94">
        <f>IF(P247="Sí",1,IF(P247="Parcial",0.5,0))+IF(Q247="Sí",1,IF(Q247="Parcial",0.5,0))+IF(R247="Sí",1,IF(R247="Parcial",0.5,0))+IF(S247="Sí",1,IF(S247="Parcial",0.5,0))+IF(T247="Sí",1,IF(T247="Parcial",0.5,0))+IF(U247="Sí",1,IF(U247="Parcial",0.5,0))</f>
        <v>0</v>
      </c>
      <c r="AP247" s="95">
        <f>IF(V247="Sí",1,IF(V247="Parcial",0.5,0))+IF(W247="Sí",1,IF(W247="Parcial",0.5,0))+IF(X247="Sí",1,IF(X247="Parcial",0.5,0))+IF(Y247="Sí",1,IF(Y247="Parcial",0.5,0))</f>
        <v>0</v>
      </c>
      <c r="AQ247" s="96">
        <f>IF(Z247="Sí",1,IF(Z247="Parcial",0.5,0))+IF(AA247="Sí",1,IF(AA247="Parcial",0.5,0))+IF(AB247="Sí",1,IF(AB247="Parcial",0.5,0))</f>
        <v>0</v>
      </c>
      <c r="AR247" s="97">
        <f>IF(AC247="Sí",1,IF(AC247="Parcial",0.5,0))+IF(AD247="Sí",1,IF(AD247="Parcial",0.5,0))+IF(AE247="Sí",1,IF(AE247="Parcial",0.5,0))</f>
        <v>0</v>
      </c>
      <c r="AS247" s="98">
        <f>IF(AF247="Sí",1,IF(AF247="Parcial",0.5,0))+IF(AG247="Sí",1,IF(AG247="Parcial",0.5,0))+IF(AH247="Sí",1,IF(AH247="Parcial",0.5,0))</f>
        <v>0</v>
      </c>
      <c r="AT247" s="99">
        <f>IF(AI247="Sí",1,IF(AI247="Parcial",0.5,0))+IF(AJ247="Sí",1,IF(AJ247="Parcial",0.5,0))+IF(AK247="Sí",1,IF(AK247="Parcial",0.5,0))</f>
        <v>0</v>
      </c>
      <c r="AU247" s="100">
        <f>SUM(AL247,AM247,AN247,AO247,AP247,AQ247,AR247,AS247,AT247)</f>
        <v>0</v>
      </c>
      <c r="AV247" s="54" t="str">
        <f>IF(A247="","",IF((IF(AL247&gt;=1,1,0)+IF(AM247&gt;=1,1,0)+IF(AN247&gt;=1,1,0)+IF(AO247&gt;=1,1,0)+IF(AP247&gt;=1,1,0)+IF(AQ247&gt;=1,1,0)+IF(AR247&gt;=1,1,0)+IF(AS247&gt;=1,1,0)+IF(AT247&gt;=1,1,0))&gt;=5,"Diversificado (5+ verticales)",IF((IF(AL247&gt;=1,1,0)+IF(AM247&gt;=1,1,0)+IF(AN247&gt;=1,1,0)+IF(AO247&gt;=1,1,0)+IF(AP247&gt;=1,1,0)+IF(AQ247&gt;=1,1,0)+IF(AR247&gt;=1,1,0)+IF(AS247&gt;=1,1,0)+IF(AT247&gt;=1,1,0))&gt;=3,"Multi-capacidad (3-4 verticales)",IF((IF(AL247&gt;=1,1,0)+IF(AM247&gt;=1,1,0)+IF(AN247&gt;=1,1,0)+IF(AO247&gt;=1,1,0)+IF(AP247&gt;=1,1,0)+IF(AQ247&gt;=1,1,0)+IF(AR247&gt;=1,1,0)+IF(AS247&gt;=1,1,0)+IF(AT247&gt;=1,1,0))&gt;=1,"Especialista (1-2 verticales)","Sin función mapeada"))))</f>
        <v/>
      </c>
    </row>
  </sheetData>
  <autoFilter ref="A7:AX7" xr:uid="{00000000-0001-0000-0500-000000000000}">
    <sortState xmlns:xlrd2="http://schemas.microsoft.com/office/spreadsheetml/2017/richdata2" ref="A8:AX247">
      <sortCondition descending="1" ref="AX7:AX247"/>
    </sortState>
  </autoFilter>
  <mergeCells count="12">
    <mergeCell ref="B1:AV1"/>
    <mergeCell ref="B2:AV2"/>
    <mergeCell ref="A3:AV3"/>
    <mergeCell ref="E5:H5"/>
    <mergeCell ref="I5:K5"/>
    <mergeCell ref="L5:O5"/>
    <mergeCell ref="P5:U5"/>
    <mergeCell ref="V5:Y5"/>
    <mergeCell ref="Z5:AB5"/>
    <mergeCell ref="AC5:AE5"/>
    <mergeCell ref="AF5:AH5"/>
    <mergeCell ref="AI5:AK5"/>
  </mergeCells>
  <dataValidations count="1">
    <dataValidation type="list" allowBlank="1" sqref="E8:AK247" xr:uid="{00000000-0002-0000-0500-000000000000}">
      <formula1>L_SPN</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9"/>
  <sheetViews>
    <sheetView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83203125" defaultRowHeight="15" x14ac:dyDescent="0.2"/>
  <cols>
    <col min="1" max="1" width="32" customWidth="1"/>
    <col min="2" max="2" width="90" customWidth="1"/>
  </cols>
  <sheetData>
    <row r="1" spans="1:2" ht="31.5" customHeight="1" x14ac:dyDescent="0.2">
      <c r="A1" s="43" t="s">
        <v>178</v>
      </c>
      <c r="B1" s="44" t="s">
        <v>113</v>
      </c>
    </row>
    <row r="2" spans="1:2" ht="21.75" customHeight="1" x14ac:dyDescent="0.2">
      <c r="A2" s="45" t="s">
        <v>179</v>
      </c>
      <c r="B2" s="46" t="s">
        <v>3341</v>
      </c>
    </row>
    <row r="3" spans="1:2" ht="18" customHeight="1" x14ac:dyDescent="0.2">
      <c r="A3" s="152" t="s">
        <v>181</v>
      </c>
      <c r="B3" s="152"/>
    </row>
    <row r="4" spans="1:2" ht="6" customHeight="1" x14ac:dyDescent="0.2"/>
    <row r="5" spans="1:2" ht="36" customHeight="1" x14ac:dyDescent="0.2">
      <c r="A5" s="204" t="s">
        <v>3342</v>
      </c>
      <c r="B5" s="204"/>
    </row>
    <row r="7" spans="1:2" ht="27.75" customHeight="1" x14ac:dyDescent="0.2">
      <c r="A7" s="218" t="s">
        <v>3343</v>
      </c>
      <c r="B7" s="218"/>
    </row>
    <row r="8" spans="1:2" ht="19.5" customHeight="1" x14ac:dyDescent="0.2">
      <c r="A8" s="101" t="s">
        <v>3344</v>
      </c>
      <c r="B8" s="102" t="s">
        <v>3345</v>
      </c>
    </row>
    <row r="9" spans="1:2" ht="31.5" customHeight="1" x14ac:dyDescent="0.2">
      <c r="A9" s="101" t="s">
        <v>3346</v>
      </c>
      <c r="B9" s="102" t="s">
        <v>3347</v>
      </c>
    </row>
    <row r="10" spans="1:2" ht="19.5" customHeight="1" x14ac:dyDescent="0.2">
      <c r="A10" s="101" t="s">
        <v>3348</v>
      </c>
      <c r="B10" s="102" t="s">
        <v>3349</v>
      </c>
    </row>
    <row r="11" spans="1:2" ht="19.5" customHeight="1" x14ac:dyDescent="0.2">
      <c r="A11" s="101" t="s">
        <v>3350</v>
      </c>
      <c r="B11" s="102" t="s">
        <v>3351</v>
      </c>
    </row>
    <row r="12" spans="1:2" ht="63.75" customHeight="1" x14ac:dyDescent="0.2">
      <c r="A12" s="101" t="s">
        <v>3352</v>
      </c>
      <c r="B12" s="102" t="s">
        <v>3353</v>
      </c>
    </row>
    <row r="13" spans="1:2" ht="79.5" customHeight="1" x14ac:dyDescent="0.2">
      <c r="A13" s="101" t="s">
        <v>3354</v>
      </c>
      <c r="B13" s="102" t="s">
        <v>3355</v>
      </c>
    </row>
    <row r="14" spans="1:2" ht="48" customHeight="1" x14ac:dyDescent="0.2">
      <c r="A14" s="101" t="s">
        <v>3356</v>
      </c>
      <c r="B14" s="102" t="s">
        <v>3357</v>
      </c>
    </row>
    <row r="15" spans="1:2" ht="12" customHeight="1" x14ac:dyDescent="0.2"/>
    <row r="16" spans="1:2" ht="27.75" customHeight="1" x14ac:dyDescent="0.2">
      <c r="A16" s="219" t="s">
        <v>3358</v>
      </c>
      <c r="B16" s="219"/>
    </row>
    <row r="17" spans="1:2" ht="19.5" customHeight="1" x14ac:dyDescent="0.2">
      <c r="A17" s="103" t="s">
        <v>3344</v>
      </c>
      <c r="B17" s="102" t="s">
        <v>3359</v>
      </c>
    </row>
    <row r="18" spans="1:2" ht="19.5" customHeight="1" x14ac:dyDescent="0.2">
      <c r="A18" s="103" t="s">
        <v>3346</v>
      </c>
      <c r="B18" s="102" t="s">
        <v>3360</v>
      </c>
    </row>
    <row r="19" spans="1:2" ht="31.5" customHeight="1" x14ac:dyDescent="0.2">
      <c r="A19" s="103" t="s">
        <v>3348</v>
      </c>
      <c r="B19" s="102" t="s">
        <v>3361</v>
      </c>
    </row>
    <row r="20" spans="1:2" ht="31.5" customHeight="1" x14ac:dyDescent="0.2">
      <c r="A20" s="103" t="s">
        <v>3350</v>
      </c>
      <c r="B20" s="102" t="s">
        <v>3362</v>
      </c>
    </row>
    <row r="21" spans="1:2" ht="48" customHeight="1" x14ac:dyDescent="0.2">
      <c r="A21" s="103" t="s">
        <v>3352</v>
      </c>
      <c r="B21" s="102" t="s">
        <v>3363</v>
      </c>
    </row>
    <row r="22" spans="1:2" ht="79.5" customHeight="1" x14ac:dyDescent="0.2">
      <c r="A22" s="103" t="s">
        <v>3354</v>
      </c>
      <c r="B22" s="102" t="s">
        <v>3364</v>
      </c>
    </row>
    <row r="23" spans="1:2" ht="48" customHeight="1" x14ac:dyDescent="0.2">
      <c r="A23" s="103" t="s">
        <v>3356</v>
      </c>
      <c r="B23" s="102" t="s">
        <v>3365</v>
      </c>
    </row>
    <row r="24" spans="1:2" ht="12" customHeight="1" x14ac:dyDescent="0.2"/>
    <row r="25" spans="1:2" ht="27.75" customHeight="1" x14ac:dyDescent="0.2">
      <c r="A25" s="220" t="s">
        <v>3366</v>
      </c>
      <c r="B25" s="220"/>
    </row>
    <row r="26" spans="1:2" ht="19.5" customHeight="1" x14ac:dyDescent="0.2">
      <c r="A26" s="104" t="s">
        <v>3344</v>
      </c>
      <c r="B26" s="102" t="s">
        <v>3367</v>
      </c>
    </row>
    <row r="27" spans="1:2" ht="31.5" customHeight="1" x14ac:dyDescent="0.2">
      <c r="A27" s="104" t="s">
        <v>3346</v>
      </c>
      <c r="B27" s="102" t="s">
        <v>3368</v>
      </c>
    </row>
    <row r="28" spans="1:2" ht="31.5" customHeight="1" x14ac:dyDescent="0.2">
      <c r="A28" s="104" t="s">
        <v>3348</v>
      </c>
      <c r="B28" s="102" t="s">
        <v>3369</v>
      </c>
    </row>
    <row r="29" spans="1:2" ht="19.5" customHeight="1" x14ac:dyDescent="0.2">
      <c r="A29" s="104" t="s">
        <v>3350</v>
      </c>
      <c r="B29" s="102" t="s">
        <v>3370</v>
      </c>
    </row>
    <row r="30" spans="1:2" ht="63.75" customHeight="1" x14ac:dyDescent="0.2">
      <c r="A30" s="104" t="s">
        <v>3352</v>
      </c>
      <c r="B30" s="102" t="s">
        <v>3371</v>
      </c>
    </row>
    <row r="31" spans="1:2" ht="79.5" customHeight="1" x14ac:dyDescent="0.2">
      <c r="A31" s="104" t="s">
        <v>3354</v>
      </c>
      <c r="B31" s="102" t="s">
        <v>3372</v>
      </c>
    </row>
    <row r="32" spans="1:2" ht="48" customHeight="1" x14ac:dyDescent="0.2">
      <c r="A32" s="104" t="s">
        <v>3356</v>
      </c>
      <c r="B32" s="102" t="s">
        <v>3373</v>
      </c>
    </row>
    <row r="33" spans="1:2" ht="12" customHeight="1" x14ac:dyDescent="0.2"/>
    <row r="34" spans="1:2" ht="27.75" customHeight="1" x14ac:dyDescent="0.2">
      <c r="A34" s="214" t="s">
        <v>3374</v>
      </c>
      <c r="B34" s="214"/>
    </row>
    <row r="35" spans="1:2" ht="19.5" customHeight="1" x14ac:dyDescent="0.2">
      <c r="A35" s="105" t="s">
        <v>3344</v>
      </c>
      <c r="B35" s="102" t="s">
        <v>3375</v>
      </c>
    </row>
    <row r="36" spans="1:2" ht="31.5" customHeight="1" x14ac:dyDescent="0.2">
      <c r="A36" s="105" t="s">
        <v>3346</v>
      </c>
      <c r="B36" s="102" t="s">
        <v>3376</v>
      </c>
    </row>
    <row r="37" spans="1:2" ht="19.5" customHeight="1" x14ac:dyDescent="0.2">
      <c r="A37" s="105" t="s">
        <v>3348</v>
      </c>
      <c r="B37" s="102" t="s">
        <v>3377</v>
      </c>
    </row>
    <row r="38" spans="1:2" ht="31.5" customHeight="1" x14ac:dyDescent="0.2">
      <c r="A38" s="105" t="s">
        <v>3350</v>
      </c>
      <c r="B38" s="102" t="s">
        <v>3378</v>
      </c>
    </row>
    <row r="39" spans="1:2" ht="79.5" customHeight="1" x14ac:dyDescent="0.2">
      <c r="A39" s="105" t="s">
        <v>3352</v>
      </c>
      <c r="B39" s="102" t="s">
        <v>3379</v>
      </c>
    </row>
    <row r="40" spans="1:2" ht="63.75" customHeight="1" x14ac:dyDescent="0.2">
      <c r="A40" s="105" t="s">
        <v>3354</v>
      </c>
      <c r="B40" s="102" t="s">
        <v>3380</v>
      </c>
    </row>
    <row r="41" spans="1:2" ht="63.75" customHeight="1" x14ac:dyDescent="0.2">
      <c r="A41" s="105" t="s">
        <v>3356</v>
      </c>
      <c r="B41" s="102" t="s">
        <v>3381</v>
      </c>
    </row>
    <row r="42" spans="1:2" ht="12" customHeight="1" x14ac:dyDescent="0.2"/>
    <row r="43" spans="1:2" ht="27.75" customHeight="1" x14ac:dyDescent="0.2">
      <c r="A43" s="215" t="s">
        <v>3382</v>
      </c>
      <c r="B43" s="215"/>
    </row>
    <row r="44" spans="1:2" ht="19.5" customHeight="1" x14ac:dyDescent="0.2">
      <c r="A44" s="106" t="s">
        <v>3344</v>
      </c>
      <c r="B44" s="102" t="s">
        <v>3383</v>
      </c>
    </row>
    <row r="45" spans="1:2" ht="48" customHeight="1" x14ac:dyDescent="0.2">
      <c r="A45" s="106" t="s">
        <v>3346</v>
      </c>
      <c r="B45" s="102" t="s">
        <v>3384</v>
      </c>
    </row>
    <row r="46" spans="1:2" ht="19.5" customHeight="1" x14ac:dyDescent="0.2">
      <c r="A46" s="106" t="s">
        <v>3348</v>
      </c>
      <c r="B46" s="102" t="s">
        <v>3385</v>
      </c>
    </row>
    <row r="47" spans="1:2" ht="31.5" customHeight="1" x14ac:dyDescent="0.2">
      <c r="A47" s="106" t="s">
        <v>3350</v>
      </c>
      <c r="B47" s="102" t="s">
        <v>3386</v>
      </c>
    </row>
    <row r="48" spans="1:2" ht="63.75" customHeight="1" x14ac:dyDescent="0.2">
      <c r="A48" s="106" t="s">
        <v>3352</v>
      </c>
      <c r="B48" s="102" t="s">
        <v>3387</v>
      </c>
    </row>
    <row r="49" spans="1:2" ht="79.5" customHeight="1" x14ac:dyDescent="0.2">
      <c r="A49" s="106" t="s">
        <v>3354</v>
      </c>
      <c r="B49" s="102" t="s">
        <v>3388</v>
      </c>
    </row>
    <row r="50" spans="1:2" ht="63.75" customHeight="1" x14ac:dyDescent="0.2">
      <c r="A50" s="106" t="s">
        <v>3356</v>
      </c>
      <c r="B50" s="102" t="s">
        <v>3389</v>
      </c>
    </row>
    <row r="51" spans="1:2" ht="12" customHeight="1" x14ac:dyDescent="0.2"/>
    <row r="52" spans="1:2" ht="27.75" customHeight="1" x14ac:dyDescent="0.2">
      <c r="A52" s="216" t="s">
        <v>3390</v>
      </c>
      <c r="B52" s="216"/>
    </row>
    <row r="53" spans="1:2" ht="19.5" customHeight="1" x14ac:dyDescent="0.2">
      <c r="A53" s="107" t="s">
        <v>3344</v>
      </c>
      <c r="B53" s="102" t="s">
        <v>3391</v>
      </c>
    </row>
    <row r="54" spans="1:2" ht="48" customHeight="1" x14ac:dyDescent="0.2">
      <c r="A54" s="107" t="s">
        <v>3346</v>
      </c>
      <c r="B54" s="102" t="s">
        <v>3392</v>
      </c>
    </row>
    <row r="55" spans="1:2" ht="19.5" customHeight="1" x14ac:dyDescent="0.2">
      <c r="A55" s="107" t="s">
        <v>3348</v>
      </c>
      <c r="B55" s="102" t="s">
        <v>3393</v>
      </c>
    </row>
    <row r="56" spans="1:2" ht="19.5" customHeight="1" x14ac:dyDescent="0.2">
      <c r="A56" s="107" t="s">
        <v>3350</v>
      </c>
      <c r="B56" s="102" t="s">
        <v>3394</v>
      </c>
    </row>
    <row r="57" spans="1:2" ht="63.75" customHeight="1" x14ac:dyDescent="0.2">
      <c r="A57" s="107" t="s">
        <v>3352</v>
      </c>
      <c r="B57" s="102" t="s">
        <v>3395</v>
      </c>
    </row>
    <row r="58" spans="1:2" ht="79.5" customHeight="1" x14ac:dyDescent="0.2">
      <c r="A58" s="107" t="s">
        <v>3354</v>
      </c>
      <c r="B58" s="102" t="s">
        <v>3396</v>
      </c>
    </row>
    <row r="59" spans="1:2" ht="63.75" customHeight="1" x14ac:dyDescent="0.2">
      <c r="A59" s="107" t="s">
        <v>3356</v>
      </c>
      <c r="B59" s="102" t="s">
        <v>3397</v>
      </c>
    </row>
    <row r="60" spans="1:2" ht="12" customHeight="1" x14ac:dyDescent="0.2"/>
    <row r="61" spans="1:2" ht="27.75" customHeight="1" x14ac:dyDescent="0.2">
      <c r="A61" s="217" t="s">
        <v>3398</v>
      </c>
      <c r="B61" s="217"/>
    </row>
    <row r="62" spans="1:2" ht="19.5" customHeight="1" x14ac:dyDescent="0.2">
      <c r="A62" s="108" t="s">
        <v>3344</v>
      </c>
      <c r="B62" s="102" t="s">
        <v>3399</v>
      </c>
    </row>
    <row r="63" spans="1:2" ht="48" customHeight="1" x14ac:dyDescent="0.2">
      <c r="A63" s="108" t="s">
        <v>3346</v>
      </c>
      <c r="B63" s="102" t="s">
        <v>3400</v>
      </c>
    </row>
    <row r="64" spans="1:2" ht="19.5" customHeight="1" x14ac:dyDescent="0.2">
      <c r="A64" s="108" t="s">
        <v>3348</v>
      </c>
      <c r="B64" s="102" t="s">
        <v>3401</v>
      </c>
    </row>
    <row r="65" spans="1:2" ht="19.5" customHeight="1" x14ac:dyDescent="0.2">
      <c r="A65" s="108" t="s">
        <v>3350</v>
      </c>
      <c r="B65" s="102" t="s">
        <v>3402</v>
      </c>
    </row>
    <row r="66" spans="1:2" ht="79.5" customHeight="1" x14ac:dyDescent="0.2">
      <c r="A66" s="108" t="s">
        <v>3352</v>
      </c>
      <c r="B66" s="102" t="s">
        <v>3403</v>
      </c>
    </row>
    <row r="67" spans="1:2" ht="96" customHeight="1" x14ac:dyDescent="0.2">
      <c r="A67" s="108" t="s">
        <v>3354</v>
      </c>
      <c r="B67" s="102" t="s">
        <v>3404</v>
      </c>
    </row>
    <row r="68" spans="1:2" ht="63.75" customHeight="1" x14ac:dyDescent="0.2">
      <c r="A68" s="108" t="s">
        <v>3356</v>
      </c>
      <c r="B68" s="102" t="s">
        <v>3405</v>
      </c>
    </row>
    <row r="69" spans="1:2" ht="12" customHeight="1" x14ac:dyDescent="0.2"/>
  </sheetData>
  <mergeCells count="9">
    <mergeCell ref="A34:B34"/>
    <mergeCell ref="A43:B43"/>
    <mergeCell ref="A52:B52"/>
    <mergeCell ref="A61:B61"/>
    <mergeCell ref="A3:B3"/>
    <mergeCell ref="A5:B5"/>
    <mergeCell ref="A7:B7"/>
    <mergeCell ref="A16:B16"/>
    <mergeCell ref="A25:B2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00"/>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83203125" defaultRowHeight="15" x14ac:dyDescent="0.2"/>
  <cols>
    <col min="1" max="1" width="10" customWidth="1"/>
    <col min="2" max="2" width="22" customWidth="1"/>
    <col min="3" max="3" width="26" customWidth="1"/>
    <col min="4" max="4" width="56" customWidth="1"/>
    <col min="5" max="6" width="38" customWidth="1"/>
    <col min="7" max="7" width="14" customWidth="1"/>
    <col min="8" max="8" width="32" customWidth="1"/>
  </cols>
  <sheetData>
    <row r="1" spans="1:8" ht="31.5" customHeight="1" x14ac:dyDescent="0.2">
      <c r="A1" s="43" t="s">
        <v>178</v>
      </c>
      <c r="B1" s="150" t="s">
        <v>110</v>
      </c>
      <c r="C1" s="150"/>
      <c r="D1" s="150"/>
      <c r="E1" s="150"/>
      <c r="F1" s="150"/>
      <c r="G1" s="150"/>
      <c r="H1" s="150"/>
    </row>
    <row r="2" spans="1:8" ht="21.75" customHeight="1" x14ac:dyDescent="0.2">
      <c r="A2" s="45" t="s">
        <v>179</v>
      </c>
      <c r="B2" s="151" t="s">
        <v>3563</v>
      </c>
      <c r="C2" s="151"/>
      <c r="D2" s="151"/>
      <c r="E2" s="151"/>
      <c r="F2" s="151"/>
      <c r="G2" s="151"/>
      <c r="H2" s="151"/>
    </row>
    <row r="3" spans="1:8" ht="18" customHeight="1" x14ac:dyDescent="0.2">
      <c r="A3" s="152" t="s">
        <v>181</v>
      </c>
      <c r="B3" s="152"/>
      <c r="C3" s="152"/>
      <c r="D3" s="152"/>
      <c r="E3" s="152"/>
      <c r="F3" s="152"/>
      <c r="G3" s="152"/>
      <c r="H3" s="152"/>
    </row>
    <row r="4" spans="1:8" ht="6" customHeight="1" x14ac:dyDescent="0.2"/>
    <row r="5" spans="1:8" ht="36" customHeight="1" x14ac:dyDescent="0.2">
      <c r="A5" s="47" t="s">
        <v>3557</v>
      </c>
      <c r="B5" s="47" t="s">
        <v>3564</v>
      </c>
      <c r="C5" s="47" t="s">
        <v>3565</v>
      </c>
      <c r="D5" s="47" t="s">
        <v>3566</v>
      </c>
      <c r="E5" s="47" t="s">
        <v>3567</v>
      </c>
      <c r="F5" s="47" t="s">
        <v>3568</v>
      </c>
      <c r="G5" s="47" t="s">
        <v>3562</v>
      </c>
      <c r="H5" s="47" t="s">
        <v>3414</v>
      </c>
    </row>
    <row r="6" spans="1:8" ht="60" customHeight="1" x14ac:dyDescent="0.2">
      <c r="A6" s="120" t="s">
        <v>3569</v>
      </c>
      <c r="B6" s="49" t="s">
        <v>103</v>
      </c>
      <c r="C6" s="49" t="s">
        <v>101</v>
      </c>
      <c r="D6" s="49" t="s">
        <v>3570</v>
      </c>
      <c r="E6" s="49" t="s">
        <v>3571</v>
      </c>
      <c r="F6" s="49" t="s">
        <v>3572</v>
      </c>
      <c r="G6" s="121" t="s">
        <v>3573</v>
      </c>
    </row>
    <row r="7" spans="1:8" ht="60" customHeight="1" x14ac:dyDescent="0.2">
      <c r="A7" s="120" t="s">
        <v>3574</v>
      </c>
      <c r="B7" s="49" t="s">
        <v>3575</v>
      </c>
      <c r="C7" s="49" t="s">
        <v>95</v>
      </c>
      <c r="D7" s="49" t="s">
        <v>3576</v>
      </c>
      <c r="E7" s="49" t="s">
        <v>3577</v>
      </c>
      <c r="F7" s="49" t="s">
        <v>3426</v>
      </c>
      <c r="G7" s="121" t="s">
        <v>3573</v>
      </c>
    </row>
    <row r="8" spans="1:8" ht="60" customHeight="1" x14ac:dyDescent="0.2">
      <c r="A8" s="120" t="s">
        <v>3578</v>
      </c>
      <c r="B8" s="49" t="s">
        <v>3575</v>
      </c>
      <c r="C8" s="49" t="s">
        <v>95</v>
      </c>
      <c r="D8" s="49" t="s">
        <v>3579</v>
      </c>
      <c r="E8" s="49" t="s">
        <v>3580</v>
      </c>
      <c r="F8" s="49" t="s">
        <v>3426</v>
      </c>
      <c r="G8" s="121" t="s">
        <v>3573</v>
      </c>
    </row>
    <row r="9" spans="1:8" ht="60" customHeight="1" x14ac:dyDescent="0.2">
      <c r="A9" s="120" t="s">
        <v>3581</v>
      </c>
      <c r="B9" s="49" t="s">
        <v>3575</v>
      </c>
      <c r="C9" s="49" t="s">
        <v>95</v>
      </c>
      <c r="D9" s="49" t="s">
        <v>3582</v>
      </c>
      <c r="E9" s="49" t="s">
        <v>3583</v>
      </c>
      <c r="F9" s="49" t="s">
        <v>3426</v>
      </c>
      <c r="G9" s="121" t="s">
        <v>3573</v>
      </c>
    </row>
    <row r="10" spans="1:8" ht="60" customHeight="1" x14ac:dyDescent="0.2">
      <c r="A10" s="120" t="s">
        <v>3584</v>
      </c>
      <c r="B10" s="49" t="s">
        <v>3575</v>
      </c>
      <c r="C10" s="49" t="s">
        <v>95</v>
      </c>
      <c r="D10" s="49" t="s">
        <v>3585</v>
      </c>
      <c r="E10" s="49" t="s">
        <v>3586</v>
      </c>
      <c r="F10" s="49" t="s">
        <v>3426</v>
      </c>
      <c r="G10" s="121" t="s">
        <v>3573</v>
      </c>
    </row>
    <row r="11" spans="1:8" ht="60" customHeight="1" x14ac:dyDescent="0.2">
      <c r="A11" s="120" t="s">
        <v>3587</v>
      </c>
      <c r="B11" s="49" t="s">
        <v>3575</v>
      </c>
      <c r="C11" s="49" t="s">
        <v>95</v>
      </c>
      <c r="D11" s="49" t="s">
        <v>3588</v>
      </c>
      <c r="E11" s="49" t="s">
        <v>3589</v>
      </c>
      <c r="F11" s="49" t="s">
        <v>3590</v>
      </c>
      <c r="G11" s="121" t="s">
        <v>3573</v>
      </c>
    </row>
    <row r="12" spans="1:8" ht="60" customHeight="1" x14ac:dyDescent="0.2">
      <c r="A12" s="120" t="s">
        <v>3591</v>
      </c>
      <c r="B12" s="49" t="s">
        <v>3575</v>
      </c>
      <c r="C12" s="49" t="s">
        <v>95</v>
      </c>
      <c r="D12" s="49" t="s">
        <v>3592</v>
      </c>
      <c r="E12" s="49" t="s">
        <v>3593</v>
      </c>
      <c r="F12" s="49" t="s">
        <v>3594</v>
      </c>
      <c r="G12" s="121" t="s">
        <v>3573</v>
      </c>
    </row>
    <row r="13" spans="1:8" ht="60" customHeight="1" x14ac:dyDescent="0.2">
      <c r="A13" s="120" t="s">
        <v>3595</v>
      </c>
      <c r="B13" s="49" t="s">
        <v>3575</v>
      </c>
      <c r="C13" s="49" t="s">
        <v>95</v>
      </c>
      <c r="D13" s="49" t="s">
        <v>3596</v>
      </c>
      <c r="E13" s="49" t="s">
        <v>3597</v>
      </c>
      <c r="F13" s="49" t="s">
        <v>3598</v>
      </c>
      <c r="G13" s="121" t="s">
        <v>3573</v>
      </c>
    </row>
    <row r="14" spans="1:8" ht="60" customHeight="1" x14ac:dyDescent="0.2">
      <c r="A14" s="120" t="s">
        <v>3599</v>
      </c>
      <c r="B14" s="49" t="s">
        <v>3575</v>
      </c>
      <c r="C14" s="49" t="s">
        <v>95</v>
      </c>
      <c r="D14" s="49" t="s">
        <v>3600</v>
      </c>
      <c r="E14" s="49" t="s">
        <v>3601</v>
      </c>
      <c r="F14" s="49" t="s">
        <v>3426</v>
      </c>
      <c r="G14" s="121" t="s">
        <v>3573</v>
      </c>
    </row>
    <row r="15" spans="1:8" ht="60" customHeight="1" x14ac:dyDescent="0.2">
      <c r="A15" s="120" t="s">
        <v>3602</v>
      </c>
      <c r="B15" s="49" t="s">
        <v>3575</v>
      </c>
      <c r="C15" s="49" t="s">
        <v>95</v>
      </c>
      <c r="D15" s="49" t="s">
        <v>3603</v>
      </c>
      <c r="E15" s="49" t="s">
        <v>3604</v>
      </c>
      <c r="F15" s="49" t="s">
        <v>3426</v>
      </c>
      <c r="G15" s="121" t="s">
        <v>3573</v>
      </c>
    </row>
    <row r="16" spans="1:8" ht="60" customHeight="1" x14ac:dyDescent="0.2">
      <c r="A16" s="120" t="s">
        <v>3605</v>
      </c>
      <c r="B16" s="49" t="s">
        <v>3575</v>
      </c>
      <c r="C16" s="49" t="s">
        <v>95</v>
      </c>
      <c r="D16" s="49" t="s">
        <v>3606</v>
      </c>
      <c r="E16" s="49" t="s">
        <v>3607</v>
      </c>
      <c r="F16" s="49" t="s">
        <v>3608</v>
      </c>
      <c r="G16" s="121" t="s">
        <v>3573</v>
      </c>
    </row>
    <row r="17" spans="1:7" ht="60" customHeight="1" x14ac:dyDescent="0.2">
      <c r="A17" s="120" t="s">
        <v>3609</v>
      </c>
      <c r="B17" s="49" t="s">
        <v>3610</v>
      </c>
      <c r="C17" s="49" t="s">
        <v>95</v>
      </c>
      <c r="D17" s="49" t="s">
        <v>3611</v>
      </c>
      <c r="E17" s="49" t="s">
        <v>3612</v>
      </c>
      <c r="F17" s="49" t="s">
        <v>3426</v>
      </c>
      <c r="G17" s="121" t="s">
        <v>3573</v>
      </c>
    </row>
    <row r="18" spans="1:7" ht="60" customHeight="1" x14ac:dyDescent="0.2">
      <c r="A18" s="120" t="s">
        <v>3613</v>
      </c>
      <c r="B18" s="49" t="s">
        <v>3610</v>
      </c>
      <c r="C18" s="49" t="s">
        <v>95</v>
      </c>
      <c r="D18" s="49" t="s">
        <v>3614</v>
      </c>
      <c r="E18" s="49" t="s">
        <v>3615</v>
      </c>
      <c r="F18" s="49" t="s">
        <v>3426</v>
      </c>
      <c r="G18" s="121" t="s">
        <v>3573</v>
      </c>
    </row>
    <row r="19" spans="1:7" ht="60" customHeight="1" x14ac:dyDescent="0.2">
      <c r="A19" s="120" t="s">
        <v>3616</v>
      </c>
      <c r="B19" s="49" t="s">
        <v>3610</v>
      </c>
      <c r="C19" s="49" t="s">
        <v>95</v>
      </c>
      <c r="D19" s="49" t="s">
        <v>3617</v>
      </c>
      <c r="E19" s="49" t="s">
        <v>3618</v>
      </c>
      <c r="F19" s="49" t="s">
        <v>3426</v>
      </c>
      <c r="G19" s="121" t="s">
        <v>3573</v>
      </c>
    </row>
    <row r="20" spans="1:7" ht="60" customHeight="1" x14ac:dyDescent="0.2">
      <c r="A20" s="120" t="s">
        <v>3619</v>
      </c>
      <c r="B20" s="49" t="s">
        <v>3610</v>
      </c>
      <c r="C20" s="49" t="s">
        <v>95</v>
      </c>
      <c r="D20" s="49" t="s">
        <v>3620</v>
      </c>
      <c r="E20" s="49" t="s">
        <v>3621</v>
      </c>
      <c r="F20" s="49" t="s">
        <v>3622</v>
      </c>
      <c r="G20" s="121" t="s">
        <v>3573</v>
      </c>
    </row>
    <row r="21" spans="1:7" ht="60" customHeight="1" x14ac:dyDescent="0.2">
      <c r="A21" s="120" t="s">
        <v>3623</v>
      </c>
      <c r="B21" s="49" t="s">
        <v>3610</v>
      </c>
      <c r="C21" s="49" t="s">
        <v>95</v>
      </c>
      <c r="D21" s="49" t="s">
        <v>3624</v>
      </c>
      <c r="E21" s="49" t="s">
        <v>3625</v>
      </c>
      <c r="F21" s="49" t="s">
        <v>3426</v>
      </c>
      <c r="G21" s="121" t="s">
        <v>3573</v>
      </c>
    </row>
    <row r="22" spans="1:7" ht="60" customHeight="1" x14ac:dyDescent="0.2">
      <c r="A22" s="120" t="s">
        <v>3626</v>
      </c>
      <c r="B22" s="49" t="s">
        <v>3627</v>
      </c>
      <c r="C22" s="49" t="s">
        <v>95</v>
      </c>
      <c r="D22" s="49" t="s">
        <v>3628</v>
      </c>
      <c r="E22" s="49" t="s">
        <v>3629</v>
      </c>
      <c r="F22" s="49" t="s">
        <v>3630</v>
      </c>
      <c r="G22" s="121" t="s">
        <v>3573</v>
      </c>
    </row>
    <row r="23" spans="1:7" ht="60" customHeight="1" x14ac:dyDescent="0.2">
      <c r="A23" s="120" t="s">
        <v>3631</v>
      </c>
      <c r="B23" s="49" t="s">
        <v>3627</v>
      </c>
      <c r="C23" s="49" t="s">
        <v>95</v>
      </c>
      <c r="D23" s="49" t="s">
        <v>3632</v>
      </c>
      <c r="E23" s="49" t="s">
        <v>3633</v>
      </c>
      <c r="F23" s="49" t="s">
        <v>3634</v>
      </c>
      <c r="G23" s="121" t="s">
        <v>3573</v>
      </c>
    </row>
    <row r="24" spans="1:7" ht="60" customHeight="1" x14ac:dyDescent="0.2">
      <c r="A24" s="120" t="s">
        <v>3635</v>
      </c>
      <c r="B24" s="49" t="s">
        <v>3627</v>
      </c>
      <c r="C24" s="49" t="s">
        <v>95</v>
      </c>
      <c r="D24" s="49" t="s">
        <v>3636</v>
      </c>
      <c r="E24" s="49" t="s">
        <v>3637</v>
      </c>
      <c r="F24" s="49" t="s">
        <v>3638</v>
      </c>
      <c r="G24" s="121" t="s">
        <v>3573</v>
      </c>
    </row>
    <row r="25" spans="1:7" ht="60" customHeight="1" x14ac:dyDescent="0.2">
      <c r="A25" s="120" t="s">
        <v>3639</v>
      </c>
      <c r="B25" s="49" t="s">
        <v>3627</v>
      </c>
      <c r="C25" s="49" t="s">
        <v>95</v>
      </c>
      <c r="D25" s="49" t="s">
        <v>3640</v>
      </c>
      <c r="E25" s="49" t="s">
        <v>3641</v>
      </c>
      <c r="F25" s="49" t="s">
        <v>3642</v>
      </c>
      <c r="G25" s="121" t="s">
        <v>3573</v>
      </c>
    </row>
    <row r="26" spans="1:7" ht="60" customHeight="1" x14ac:dyDescent="0.2">
      <c r="A26" s="120" t="s">
        <v>3643</v>
      </c>
      <c r="B26" s="49" t="s">
        <v>3627</v>
      </c>
      <c r="C26" s="49" t="s">
        <v>95</v>
      </c>
      <c r="D26" s="49" t="s">
        <v>3644</v>
      </c>
      <c r="E26" s="49" t="s">
        <v>3645</v>
      </c>
      <c r="F26" s="49" t="s">
        <v>3646</v>
      </c>
      <c r="G26" s="121" t="s">
        <v>3573</v>
      </c>
    </row>
    <row r="27" spans="1:7" ht="60" customHeight="1" x14ac:dyDescent="0.2">
      <c r="A27" s="120" t="s">
        <v>3647</v>
      </c>
      <c r="B27" s="49" t="s">
        <v>3627</v>
      </c>
      <c r="C27" s="49" t="s">
        <v>95</v>
      </c>
      <c r="D27" s="49" t="s">
        <v>3648</v>
      </c>
      <c r="E27" s="49" t="s">
        <v>3649</v>
      </c>
      <c r="F27" s="49" t="s">
        <v>3650</v>
      </c>
      <c r="G27" s="121" t="s">
        <v>3573</v>
      </c>
    </row>
    <row r="28" spans="1:7" ht="60" customHeight="1" x14ac:dyDescent="0.2">
      <c r="A28" s="120" t="s">
        <v>3651</v>
      </c>
      <c r="B28" s="49" t="s">
        <v>3627</v>
      </c>
      <c r="C28" s="49" t="s">
        <v>95</v>
      </c>
      <c r="D28" s="49" t="s">
        <v>3652</v>
      </c>
      <c r="E28" s="49" t="s">
        <v>3653</v>
      </c>
      <c r="F28" s="49" t="s">
        <v>3654</v>
      </c>
      <c r="G28" s="121" t="s">
        <v>3573</v>
      </c>
    </row>
    <row r="29" spans="1:7" ht="60" customHeight="1" x14ac:dyDescent="0.2">
      <c r="A29" s="120" t="s">
        <v>3655</v>
      </c>
      <c r="B29" s="49" t="s">
        <v>3656</v>
      </c>
      <c r="C29" s="49" t="s">
        <v>3657</v>
      </c>
      <c r="D29" s="49" t="s">
        <v>3658</v>
      </c>
      <c r="E29" s="49" t="s">
        <v>3659</v>
      </c>
      <c r="F29" s="49" t="s">
        <v>3660</v>
      </c>
      <c r="G29" s="121" t="s">
        <v>3573</v>
      </c>
    </row>
    <row r="30" spans="1:7" ht="60" customHeight="1" x14ac:dyDescent="0.2">
      <c r="A30" s="120" t="s">
        <v>3661</v>
      </c>
      <c r="B30" s="49" t="s">
        <v>3656</v>
      </c>
      <c r="C30" s="49" t="s">
        <v>95</v>
      </c>
      <c r="D30" s="49" t="s">
        <v>3662</v>
      </c>
      <c r="E30" s="49" t="s">
        <v>3663</v>
      </c>
      <c r="F30" s="49" t="s">
        <v>3426</v>
      </c>
      <c r="G30" s="121" t="s">
        <v>3573</v>
      </c>
    </row>
    <row r="31" spans="1:7" ht="60" customHeight="1" x14ac:dyDescent="0.2">
      <c r="A31" s="120" t="s">
        <v>3664</v>
      </c>
      <c r="B31" s="49" t="s">
        <v>3665</v>
      </c>
      <c r="C31" s="49" t="s">
        <v>95</v>
      </c>
      <c r="D31" s="49" t="s">
        <v>3666</v>
      </c>
      <c r="E31" s="49" t="s">
        <v>3426</v>
      </c>
      <c r="F31" s="49" t="s">
        <v>3426</v>
      </c>
      <c r="G31" s="121" t="s">
        <v>3573</v>
      </c>
    </row>
    <row r="32" spans="1:7" ht="60" customHeight="1" x14ac:dyDescent="0.2">
      <c r="A32" s="120" t="s">
        <v>3667</v>
      </c>
      <c r="B32" s="49" t="s">
        <v>3665</v>
      </c>
      <c r="C32" s="49" t="s">
        <v>101</v>
      </c>
      <c r="D32" s="49" t="s">
        <v>3668</v>
      </c>
      <c r="E32" s="49" t="s">
        <v>3426</v>
      </c>
      <c r="F32" s="49" t="s">
        <v>3426</v>
      </c>
      <c r="G32" s="121" t="s">
        <v>3573</v>
      </c>
    </row>
    <row r="33" spans="1:8" ht="60" customHeight="1" x14ac:dyDescent="0.2">
      <c r="A33" s="120" t="s">
        <v>3669</v>
      </c>
      <c r="B33" s="49" t="s">
        <v>3665</v>
      </c>
      <c r="C33" s="49" t="s">
        <v>101</v>
      </c>
      <c r="D33" s="49" t="s">
        <v>3670</v>
      </c>
      <c r="E33" s="49" t="s">
        <v>3426</v>
      </c>
      <c r="F33" s="49" t="s">
        <v>3426</v>
      </c>
      <c r="G33" s="121" t="s">
        <v>3573</v>
      </c>
    </row>
    <row r="34" spans="1:8" ht="60" customHeight="1" x14ac:dyDescent="0.2">
      <c r="A34" s="120" t="s">
        <v>3671</v>
      </c>
      <c r="B34" s="49" t="s">
        <v>103</v>
      </c>
      <c r="C34" s="49" t="s">
        <v>101</v>
      </c>
      <c r="D34" s="49" t="s">
        <v>3672</v>
      </c>
      <c r="E34" s="49" t="s">
        <v>3673</v>
      </c>
      <c r="F34" s="49" t="s">
        <v>3674</v>
      </c>
      <c r="G34" s="121" t="s">
        <v>3573</v>
      </c>
    </row>
    <row r="35" spans="1:8" ht="60" customHeight="1" x14ac:dyDescent="0.2">
      <c r="A35" s="120" t="s">
        <v>3675</v>
      </c>
      <c r="B35" s="49" t="s">
        <v>103</v>
      </c>
      <c r="C35" s="49" t="s">
        <v>101</v>
      </c>
      <c r="D35" s="49" t="s">
        <v>3676</v>
      </c>
      <c r="E35" s="49" t="s">
        <v>3677</v>
      </c>
      <c r="F35" s="49" t="s">
        <v>3426</v>
      </c>
      <c r="G35" s="121" t="s">
        <v>3573</v>
      </c>
    </row>
    <row r="36" spans="1:8" ht="60" customHeight="1" x14ac:dyDescent="0.2">
      <c r="A36" s="120" t="s">
        <v>3678</v>
      </c>
      <c r="B36" s="49" t="s">
        <v>103</v>
      </c>
      <c r="C36" s="49" t="s">
        <v>101</v>
      </c>
      <c r="D36" s="49" t="s">
        <v>3679</v>
      </c>
      <c r="E36" s="49" t="s">
        <v>3680</v>
      </c>
      <c r="F36" s="49" t="s">
        <v>3681</v>
      </c>
      <c r="G36" s="121" t="s">
        <v>3573</v>
      </c>
    </row>
    <row r="37" spans="1:8" ht="60" customHeight="1" x14ac:dyDescent="0.2">
      <c r="A37" s="120" t="s">
        <v>3682</v>
      </c>
      <c r="B37" s="49" t="s">
        <v>3683</v>
      </c>
      <c r="C37" s="49" t="s">
        <v>3684</v>
      </c>
      <c r="D37" s="49" t="s">
        <v>3685</v>
      </c>
      <c r="E37" s="49" t="s">
        <v>3426</v>
      </c>
      <c r="F37" s="49" t="s">
        <v>3686</v>
      </c>
      <c r="G37" s="121" t="s">
        <v>3573</v>
      </c>
    </row>
    <row r="38" spans="1:8" ht="60" customHeight="1" x14ac:dyDescent="0.2">
      <c r="A38" s="120" t="s">
        <v>3687</v>
      </c>
      <c r="B38" s="49" t="s">
        <v>3683</v>
      </c>
      <c r="C38" s="49" t="s">
        <v>3684</v>
      </c>
      <c r="D38" s="49" t="s">
        <v>3688</v>
      </c>
      <c r="E38" s="49" t="s">
        <v>3426</v>
      </c>
      <c r="F38" s="49" t="s">
        <v>3426</v>
      </c>
      <c r="G38" s="121" t="s">
        <v>3573</v>
      </c>
    </row>
    <row r="39" spans="1:8" ht="60" customHeight="1" x14ac:dyDescent="0.2">
      <c r="A39" s="120" t="s">
        <v>3689</v>
      </c>
      <c r="B39" s="49" t="s">
        <v>3690</v>
      </c>
      <c r="C39" s="49" t="s">
        <v>98</v>
      </c>
      <c r="D39" s="49" t="s">
        <v>3691</v>
      </c>
      <c r="E39" s="49" t="s">
        <v>3426</v>
      </c>
      <c r="F39" s="49" t="s">
        <v>3692</v>
      </c>
      <c r="G39" s="121" t="s">
        <v>3573</v>
      </c>
    </row>
    <row r="40" spans="1:8" ht="90" customHeight="1" x14ac:dyDescent="0.2">
      <c r="A40" s="122" t="s">
        <v>3693</v>
      </c>
      <c r="B40" s="49" t="s">
        <v>3694</v>
      </c>
      <c r="C40" s="49" t="s">
        <v>3695</v>
      </c>
      <c r="D40" s="49" t="s">
        <v>3696</v>
      </c>
      <c r="E40" s="49" t="s">
        <v>3697</v>
      </c>
      <c r="F40" s="49" t="s">
        <v>3698</v>
      </c>
      <c r="G40" s="49" t="s">
        <v>3699</v>
      </c>
      <c r="H40" s="49" t="s">
        <v>3700</v>
      </c>
    </row>
    <row r="41" spans="1:8" ht="109.5" customHeight="1" x14ac:dyDescent="0.2">
      <c r="A41" s="123" t="s">
        <v>3701</v>
      </c>
      <c r="B41" s="49" t="s">
        <v>3702</v>
      </c>
      <c r="C41" s="49" t="s">
        <v>3703</v>
      </c>
      <c r="D41" s="49" t="s">
        <v>3704</v>
      </c>
      <c r="E41" s="49" t="s">
        <v>3705</v>
      </c>
      <c r="F41" s="49" t="s">
        <v>3698</v>
      </c>
      <c r="G41" s="49" t="s">
        <v>3699</v>
      </c>
      <c r="H41" s="49" t="s">
        <v>3706</v>
      </c>
    </row>
    <row r="42" spans="1:8" ht="79.5" customHeight="1" x14ac:dyDescent="0.2">
      <c r="A42" s="123" t="s">
        <v>3707</v>
      </c>
      <c r="B42" s="49" t="s">
        <v>3708</v>
      </c>
      <c r="C42" s="49" t="s">
        <v>98</v>
      </c>
      <c r="D42" s="49" t="s">
        <v>3709</v>
      </c>
      <c r="E42" s="49" t="s">
        <v>3710</v>
      </c>
      <c r="F42" s="49" t="s">
        <v>3711</v>
      </c>
      <c r="G42" s="49" t="s">
        <v>3573</v>
      </c>
      <c r="H42" s="49" t="s">
        <v>3712</v>
      </c>
    </row>
    <row r="43" spans="1:8" ht="68.25" customHeight="1" x14ac:dyDescent="0.2">
      <c r="A43" s="123" t="s">
        <v>3713</v>
      </c>
      <c r="B43" s="49" t="s">
        <v>3708</v>
      </c>
      <c r="C43" s="49" t="s">
        <v>3714</v>
      </c>
      <c r="D43" s="49" t="s">
        <v>3715</v>
      </c>
      <c r="E43" s="49" t="s">
        <v>3716</v>
      </c>
      <c r="F43" s="49" t="s">
        <v>3717</v>
      </c>
      <c r="G43" s="49" t="s">
        <v>3718</v>
      </c>
      <c r="H43" s="49" t="s">
        <v>3719</v>
      </c>
    </row>
    <row r="44" spans="1:8" ht="90.75" customHeight="1" x14ac:dyDescent="0.2">
      <c r="A44" s="123" t="s">
        <v>3720</v>
      </c>
      <c r="B44" s="49" t="s">
        <v>3708</v>
      </c>
      <c r="C44" s="49" t="s">
        <v>3721</v>
      </c>
      <c r="D44" s="49" t="s">
        <v>3722</v>
      </c>
      <c r="E44" s="49" t="s">
        <v>3723</v>
      </c>
      <c r="F44" s="49" t="s">
        <v>3724</v>
      </c>
      <c r="G44" s="49" t="s">
        <v>3573</v>
      </c>
      <c r="H44" s="49" t="s">
        <v>3725</v>
      </c>
    </row>
    <row r="45" spans="1:8" ht="79.5" customHeight="1" x14ac:dyDescent="0.2">
      <c r="A45" s="123" t="s">
        <v>3726</v>
      </c>
      <c r="B45" s="49" t="s">
        <v>3727</v>
      </c>
      <c r="C45" s="49" t="s">
        <v>3728</v>
      </c>
      <c r="D45" s="49" t="s">
        <v>3729</v>
      </c>
      <c r="E45" s="49" t="s">
        <v>3730</v>
      </c>
      <c r="F45" s="49" t="s">
        <v>3731</v>
      </c>
      <c r="G45" s="49" t="s">
        <v>3732</v>
      </c>
      <c r="H45" s="49" t="s">
        <v>3733</v>
      </c>
    </row>
    <row r="46" spans="1:8" ht="102" customHeight="1" x14ac:dyDescent="0.2">
      <c r="A46" s="123" t="s">
        <v>3734</v>
      </c>
      <c r="B46" s="49" t="s">
        <v>3708</v>
      </c>
      <c r="C46" s="49" t="s">
        <v>3735</v>
      </c>
      <c r="D46" s="49" t="s">
        <v>3736</v>
      </c>
      <c r="E46" s="49" t="s">
        <v>3737</v>
      </c>
      <c r="F46" s="49" t="s">
        <v>3738</v>
      </c>
      <c r="G46" s="49" t="s">
        <v>3718</v>
      </c>
      <c r="H46" s="49" t="s">
        <v>3739</v>
      </c>
    </row>
    <row r="47" spans="1:8" ht="157.5" customHeight="1" x14ac:dyDescent="0.2">
      <c r="A47" s="123" t="s">
        <v>3740</v>
      </c>
      <c r="B47" s="49" t="s">
        <v>3708</v>
      </c>
      <c r="C47" s="49" t="s">
        <v>3741</v>
      </c>
      <c r="D47" s="49" t="s">
        <v>3742</v>
      </c>
      <c r="E47" s="49" t="s">
        <v>3743</v>
      </c>
      <c r="F47" s="49" t="s">
        <v>3744</v>
      </c>
      <c r="G47" s="49" t="s">
        <v>3573</v>
      </c>
      <c r="H47" s="49" t="s">
        <v>3745</v>
      </c>
    </row>
    <row r="48" spans="1:8" ht="147" customHeight="1" x14ac:dyDescent="0.2">
      <c r="A48" s="123" t="s">
        <v>3746</v>
      </c>
      <c r="B48" s="49" t="s">
        <v>3708</v>
      </c>
      <c r="C48" s="49" t="s">
        <v>3747</v>
      </c>
      <c r="D48" s="49" t="s">
        <v>3748</v>
      </c>
      <c r="E48" s="49" t="s">
        <v>3749</v>
      </c>
      <c r="F48" s="49" t="s">
        <v>3750</v>
      </c>
      <c r="G48" s="49" t="s">
        <v>3573</v>
      </c>
      <c r="H48" s="49" t="s">
        <v>3751</v>
      </c>
    </row>
    <row r="49" spans="1:8" ht="147" customHeight="1" x14ac:dyDescent="0.2">
      <c r="A49" s="123" t="s">
        <v>3752</v>
      </c>
      <c r="B49" s="49" t="s">
        <v>3708</v>
      </c>
      <c r="C49" s="49" t="s">
        <v>3753</v>
      </c>
      <c r="D49" s="49" t="s">
        <v>3754</v>
      </c>
      <c r="E49" s="49" t="s">
        <v>3755</v>
      </c>
      <c r="F49" s="49" t="s">
        <v>3756</v>
      </c>
      <c r="G49" s="49" t="s">
        <v>3573</v>
      </c>
      <c r="H49" s="49" t="s">
        <v>3757</v>
      </c>
    </row>
    <row r="50" spans="1:8" ht="124.5" customHeight="1" x14ac:dyDescent="0.2">
      <c r="A50" s="123" t="s">
        <v>3758</v>
      </c>
      <c r="B50" s="49" t="s">
        <v>3708</v>
      </c>
      <c r="C50" s="49" t="s">
        <v>3759</v>
      </c>
      <c r="D50" s="49" t="s">
        <v>3760</v>
      </c>
      <c r="E50" s="49" t="s">
        <v>3761</v>
      </c>
      <c r="F50" s="49" t="s">
        <v>3762</v>
      </c>
      <c r="G50" s="49" t="s">
        <v>3573</v>
      </c>
      <c r="H50" s="49" t="s">
        <v>3763</v>
      </c>
    </row>
    <row r="51" spans="1:8" ht="168.75" customHeight="1" x14ac:dyDescent="0.2">
      <c r="A51" s="123" t="s">
        <v>3764</v>
      </c>
      <c r="B51" s="49" t="s">
        <v>3708</v>
      </c>
      <c r="C51" s="49" t="s">
        <v>3765</v>
      </c>
      <c r="D51" s="49" t="s">
        <v>3766</v>
      </c>
      <c r="E51" s="49" t="s">
        <v>3767</v>
      </c>
      <c r="F51" s="49" t="s">
        <v>3768</v>
      </c>
      <c r="G51" s="49" t="s">
        <v>3573</v>
      </c>
      <c r="H51" s="49" t="s">
        <v>3769</v>
      </c>
    </row>
    <row r="52" spans="1:8" ht="236.25" customHeight="1" x14ac:dyDescent="0.2">
      <c r="A52" s="123" t="s">
        <v>3770</v>
      </c>
      <c r="B52" s="49" t="s">
        <v>3708</v>
      </c>
      <c r="C52" s="49" t="s">
        <v>3771</v>
      </c>
      <c r="D52" s="49" t="s">
        <v>3772</v>
      </c>
      <c r="E52" s="49" t="s">
        <v>3773</v>
      </c>
      <c r="F52" s="49" t="s">
        <v>3774</v>
      </c>
      <c r="G52" s="49" t="s">
        <v>3573</v>
      </c>
      <c r="H52" s="49" t="s">
        <v>3775</v>
      </c>
    </row>
    <row r="53" spans="1:8" ht="213.75" customHeight="1" x14ac:dyDescent="0.2">
      <c r="A53" s="123" t="s">
        <v>3776</v>
      </c>
      <c r="B53" s="49" t="s">
        <v>3708</v>
      </c>
      <c r="C53" s="49" t="s">
        <v>3777</v>
      </c>
      <c r="D53" s="49" t="s">
        <v>3778</v>
      </c>
      <c r="E53" s="49" t="s">
        <v>3779</v>
      </c>
      <c r="F53" s="49" t="s">
        <v>3780</v>
      </c>
      <c r="G53" s="49" t="s">
        <v>3573</v>
      </c>
      <c r="H53" s="49" t="s">
        <v>3781</v>
      </c>
    </row>
    <row r="54" spans="1:8" ht="191.25" customHeight="1" x14ac:dyDescent="0.2">
      <c r="A54" s="123" t="s">
        <v>3782</v>
      </c>
      <c r="B54" s="49" t="s">
        <v>3708</v>
      </c>
      <c r="C54" s="49" t="s">
        <v>3783</v>
      </c>
      <c r="D54" s="49" t="s">
        <v>3784</v>
      </c>
      <c r="E54" s="49" t="s">
        <v>3785</v>
      </c>
      <c r="F54" s="49" t="s">
        <v>3786</v>
      </c>
      <c r="G54" s="49" t="s">
        <v>3573</v>
      </c>
      <c r="H54" s="49" t="s">
        <v>3787</v>
      </c>
    </row>
    <row r="55" spans="1:8" ht="236.25" customHeight="1" x14ac:dyDescent="0.2">
      <c r="A55" s="123" t="s">
        <v>3788</v>
      </c>
      <c r="B55" s="49" t="s">
        <v>3708</v>
      </c>
      <c r="C55" s="49" t="s">
        <v>3789</v>
      </c>
      <c r="D55" s="49" t="s">
        <v>3790</v>
      </c>
      <c r="E55" s="49" t="s">
        <v>3791</v>
      </c>
      <c r="F55" s="49" t="s">
        <v>3792</v>
      </c>
      <c r="G55" s="49" t="s">
        <v>3573</v>
      </c>
      <c r="H55" s="49" t="s">
        <v>3793</v>
      </c>
    </row>
    <row r="56" spans="1:8" ht="180" customHeight="1" x14ac:dyDescent="0.2">
      <c r="A56" s="123" t="s">
        <v>3794</v>
      </c>
      <c r="B56" s="49" t="s">
        <v>3708</v>
      </c>
      <c r="C56" s="49" t="s">
        <v>3795</v>
      </c>
      <c r="D56" s="49" t="s">
        <v>3796</v>
      </c>
      <c r="E56" s="49" t="s">
        <v>3797</v>
      </c>
      <c r="F56" s="49" t="s">
        <v>3798</v>
      </c>
      <c r="G56" s="49" t="s">
        <v>3573</v>
      </c>
      <c r="H56" s="49" t="s">
        <v>3799</v>
      </c>
    </row>
    <row r="57" spans="1:8" ht="213.75" customHeight="1" x14ac:dyDescent="0.2">
      <c r="A57" s="123" t="s">
        <v>3800</v>
      </c>
      <c r="B57" s="49" t="s">
        <v>3708</v>
      </c>
      <c r="C57" s="49" t="s">
        <v>3801</v>
      </c>
      <c r="D57" s="49" t="s">
        <v>3802</v>
      </c>
      <c r="E57" s="49" t="s">
        <v>3803</v>
      </c>
      <c r="F57" s="49" t="s">
        <v>3804</v>
      </c>
      <c r="G57" s="49" t="s">
        <v>3573</v>
      </c>
      <c r="H57" s="49" t="s">
        <v>3805</v>
      </c>
    </row>
    <row r="58" spans="1:8" ht="225" customHeight="1" x14ac:dyDescent="0.2">
      <c r="A58" s="123" t="s">
        <v>3806</v>
      </c>
      <c r="B58" s="49" t="s">
        <v>3807</v>
      </c>
      <c r="C58" s="49" t="s">
        <v>3808</v>
      </c>
      <c r="D58" s="49" t="s">
        <v>3809</v>
      </c>
      <c r="E58" s="49" t="s">
        <v>3810</v>
      </c>
      <c r="F58" s="49" t="s">
        <v>3811</v>
      </c>
      <c r="G58" s="49" t="s">
        <v>3812</v>
      </c>
      <c r="H58" s="49" t="s">
        <v>3813</v>
      </c>
    </row>
    <row r="59" spans="1:8" ht="157.5" customHeight="1" x14ac:dyDescent="0.2">
      <c r="A59" s="123" t="s">
        <v>3814</v>
      </c>
      <c r="B59" s="49" t="s">
        <v>3708</v>
      </c>
      <c r="C59" s="49" t="s">
        <v>3815</v>
      </c>
      <c r="D59" s="49" t="s">
        <v>3816</v>
      </c>
      <c r="E59" s="49" t="s">
        <v>3817</v>
      </c>
      <c r="F59" s="49" t="s">
        <v>3818</v>
      </c>
      <c r="G59" s="49" t="s">
        <v>3573</v>
      </c>
      <c r="H59" s="49" t="s">
        <v>3819</v>
      </c>
    </row>
    <row r="60" spans="1:8" ht="90.75" customHeight="1" x14ac:dyDescent="0.2">
      <c r="A60" s="123" t="s">
        <v>3820</v>
      </c>
      <c r="B60" s="49" t="s">
        <v>3807</v>
      </c>
      <c r="C60" s="49" t="s">
        <v>3821</v>
      </c>
      <c r="D60" s="49" t="s">
        <v>3822</v>
      </c>
      <c r="E60" s="49" t="s">
        <v>3823</v>
      </c>
      <c r="F60" s="49" t="s">
        <v>3824</v>
      </c>
      <c r="G60" s="49" t="s">
        <v>3825</v>
      </c>
      <c r="H60" s="49" t="s">
        <v>3826</v>
      </c>
    </row>
    <row r="61" spans="1:8" ht="15" customHeight="1" x14ac:dyDescent="0.2">
      <c r="A61" t="s">
        <v>3827</v>
      </c>
      <c r="B61" t="s">
        <v>3575</v>
      </c>
      <c r="C61" t="s">
        <v>95</v>
      </c>
      <c r="D61" t="s">
        <v>3828</v>
      </c>
      <c r="E61" t="s">
        <v>3829</v>
      </c>
      <c r="F61" t="s">
        <v>3830</v>
      </c>
      <c r="G61" t="s">
        <v>3573</v>
      </c>
    </row>
    <row r="62" spans="1:8" ht="15" customHeight="1" x14ac:dyDescent="0.2">
      <c r="A62" t="s">
        <v>3831</v>
      </c>
      <c r="B62" t="s">
        <v>3610</v>
      </c>
      <c r="C62" t="s">
        <v>95</v>
      </c>
      <c r="D62" t="s">
        <v>3832</v>
      </c>
      <c r="E62" t="s">
        <v>3833</v>
      </c>
      <c r="F62" t="s">
        <v>3834</v>
      </c>
      <c r="G62" t="s">
        <v>3573</v>
      </c>
    </row>
    <row r="63" spans="1:8" ht="15" customHeight="1" x14ac:dyDescent="0.2">
      <c r="A63" t="s">
        <v>3835</v>
      </c>
      <c r="B63" t="s">
        <v>3575</v>
      </c>
      <c r="C63" t="s">
        <v>3836</v>
      </c>
      <c r="D63" t="s">
        <v>3837</v>
      </c>
      <c r="E63" t="s">
        <v>3838</v>
      </c>
      <c r="F63" t="s">
        <v>3839</v>
      </c>
      <c r="G63" t="s">
        <v>3573</v>
      </c>
    </row>
    <row r="64" spans="1:8"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sheetData>
  <mergeCells count="3">
    <mergeCell ref="B1:H1"/>
    <mergeCell ref="B2:H2"/>
    <mergeCell ref="A3:H3"/>
  </mergeCells>
  <dataValidations count="2">
    <dataValidation type="list" allowBlank="1" sqref="B7:B500" xr:uid="{00000000-0002-0000-0800-000000000000}">
      <formula1>L_CATEGORIAS</formula1>
      <formula2>0</formula2>
    </dataValidation>
    <dataValidation type="list" allowBlank="1" sqref="G7:G500" xr:uid="{00000000-0002-0000-0800-000001000000}">
      <formula1>L_ESTADO</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6"/>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83203125" defaultRowHeight="15" x14ac:dyDescent="0.2"/>
  <cols>
    <col min="1" max="1" width="10" customWidth="1"/>
    <col min="2" max="2" width="14" customWidth="1"/>
    <col min="3" max="3" width="24" customWidth="1"/>
    <col min="4" max="4" width="22" customWidth="1"/>
    <col min="5" max="5" width="36" customWidth="1"/>
    <col min="6" max="6" width="56" customWidth="1"/>
    <col min="7" max="7" width="14" customWidth="1"/>
  </cols>
  <sheetData>
    <row r="1" spans="1:7" ht="31.5" customHeight="1" x14ac:dyDescent="0.2">
      <c r="A1" s="43" t="s">
        <v>178</v>
      </c>
      <c r="B1" s="150" t="s">
        <v>119</v>
      </c>
      <c r="C1" s="150"/>
      <c r="D1" s="150"/>
      <c r="E1" s="150"/>
      <c r="F1" s="150"/>
      <c r="G1" s="150"/>
    </row>
    <row r="2" spans="1:7" ht="21.75" customHeight="1" x14ac:dyDescent="0.2">
      <c r="A2" s="45" t="s">
        <v>179</v>
      </c>
      <c r="B2" s="151" t="s">
        <v>3840</v>
      </c>
      <c r="C2" s="151"/>
      <c r="D2" s="151"/>
      <c r="E2" s="151"/>
      <c r="F2" s="151"/>
      <c r="G2" s="151"/>
    </row>
    <row r="3" spans="1:7" ht="18" customHeight="1" x14ac:dyDescent="0.2">
      <c r="A3" s="152" t="s">
        <v>181</v>
      </c>
      <c r="B3" s="152"/>
      <c r="C3" s="152"/>
      <c r="D3" s="152"/>
      <c r="E3" s="152"/>
      <c r="F3" s="152"/>
      <c r="G3" s="152"/>
    </row>
    <row r="4" spans="1:7" ht="6" customHeight="1" x14ac:dyDescent="0.2"/>
    <row r="5" spans="1:7" ht="36" customHeight="1" x14ac:dyDescent="0.2">
      <c r="A5" s="47" t="s">
        <v>3841</v>
      </c>
      <c r="B5" s="47" t="s">
        <v>3842</v>
      </c>
      <c r="C5" s="47" t="s">
        <v>3843</v>
      </c>
      <c r="D5" s="47" t="s">
        <v>3844</v>
      </c>
      <c r="E5" s="47" t="s">
        <v>3845</v>
      </c>
      <c r="F5" s="47" t="s">
        <v>3846</v>
      </c>
      <c r="G5" s="47" t="s">
        <v>3847</v>
      </c>
    </row>
    <row r="6" spans="1:7" ht="60" customHeight="1" x14ac:dyDescent="0.2">
      <c r="A6" s="123" t="s">
        <v>3698</v>
      </c>
      <c r="B6" s="124"/>
      <c r="C6" s="125" t="s">
        <v>3848</v>
      </c>
      <c r="D6" s="125" t="s">
        <v>3849</v>
      </c>
      <c r="E6" s="125" t="s">
        <v>3850</v>
      </c>
      <c r="F6" s="125" t="s">
        <v>3851</v>
      </c>
      <c r="G6" s="125" t="s">
        <v>3852</v>
      </c>
    </row>
    <row r="7" spans="1:7" ht="90" customHeight="1" x14ac:dyDescent="0.2">
      <c r="A7" s="123" t="s">
        <v>3698</v>
      </c>
      <c r="B7" s="126">
        <v>46150</v>
      </c>
      <c r="C7" s="49" t="s">
        <v>3853</v>
      </c>
      <c r="D7" s="49" t="s">
        <v>95</v>
      </c>
      <c r="E7" s="49" t="s">
        <v>3854</v>
      </c>
      <c r="F7" s="49" t="s">
        <v>3855</v>
      </c>
      <c r="G7" s="49" t="s">
        <v>3852</v>
      </c>
    </row>
    <row r="8" spans="1:7" ht="99.75" customHeight="1" x14ac:dyDescent="0.2">
      <c r="A8" s="123" t="s">
        <v>3698</v>
      </c>
      <c r="B8" s="126">
        <v>46150</v>
      </c>
      <c r="C8" s="49" t="s">
        <v>3856</v>
      </c>
      <c r="D8" s="49" t="s">
        <v>101</v>
      </c>
      <c r="E8" s="49" t="s">
        <v>3857</v>
      </c>
      <c r="F8" s="49" t="s">
        <v>3858</v>
      </c>
      <c r="G8" s="49" t="s">
        <v>3852</v>
      </c>
    </row>
    <row r="9" spans="1:7" ht="109.5" customHeight="1" x14ac:dyDescent="0.2">
      <c r="A9" s="123" t="s">
        <v>3698</v>
      </c>
      <c r="B9" s="126">
        <v>46150</v>
      </c>
      <c r="C9" s="49" t="s">
        <v>3859</v>
      </c>
      <c r="D9" s="49" t="s">
        <v>3860</v>
      </c>
      <c r="E9" s="49" t="s">
        <v>3861</v>
      </c>
      <c r="F9" s="49" t="s">
        <v>3862</v>
      </c>
      <c r="G9" s="49" t="s">
        <v>3852</v>
      </c>
    </row>
    <row r="10" spans="1:7" ht="109.5" customHeight="1" x14ac:dyDescent="0.2">
      <c r="A10" s="123" t="s">
        <v>3698</v>
      </c>
      <c r="B10" s="126">
        <v>46150</v>
      </c>
      <c r="C10" s="49" t="s">
        <v>3863</v>
      </c>
      <c r="D10" s="49" t="s">
        <v>95</v>
      </c>
      <c r="E10" s="49" t="s">
        <v>3864</v>
      </c>
      <c r="F10" s="49" t="s">
        <v>3865</v>
      </c>
      <c r="G10" s="49" t="s">
        <v>3852</v>
      </c>
    </row>
    <row r="11" spans="1:7" ht="109.5" customHeight="1" x14ac:dyDescent="0.2">
      <c r="A11" s="123" t="s">
        <v>3698</v>
      </c>
      <c r="B11" s="126">
        <v>46150</v>
      </c>
      <c r="C11" s="49" t="s">
        <v>3866</v>
      </c>
      <c r="D11" s="49" t="s">
        <v>3867</v>
      </c>
      <c r="E11" s="49" t="s">
        <v>3868</v>
      </c>
      <c r="F11" s="49" t="s">
        <v>3869</v>
      </c>
      <c r="G11" s="49" t="s">
        <v>3852</v>
      </c>
    </row>
    <row r="12" spans="1:7" ht="102" customHeight="1" x14ac:dyDescent="0.2">
      <c r="A12" s="123" t="s">
        <v>3870</v>
      </c>
      <c r="B12" s="126">
        <v>46150</v>
      </c>
      <c r="C12" s="49" t="s">
        <v>3871</v>
      </c>
      <c r="D12" s="49" t="s">
        <v>3872</v>
      </c>
      <c r="E12" s="49" t="s">
        <v>3873</v>
      </c>
      <c r="F12" s="49" t="s">
        <v>3874</v>
      </c>
      <c r="G12" s="49" t="s">
        <v>3852</v>
      </c>
    </row>
    <row r="13" spans="1:7" ht="15" customHeight="1" x14ac:dyDescent="0.2">
      <c r="A13" s="123" t="s">
        <v>3875</v>
      </c>
      <c r="B13" s="126">
        <v>46150</v>
      </c>
      <c r="C13" s="49" t="s">
        <v>3876</v>
      </c>
      <c r="D13" s="49" t="s">
        <v>3872</v>
      </c>
      <c r="E13" s="49" t="s">
        <v>3877</v>
      </c>
      <c r="F13" s="49" t="s">
        <v>3878</v>
      </c>
      <c r="G13" s="49" t="s">
        <v>3852</v>
      </c>
    </row>
    <row r="14" spans="1:7" ht="15" customHeight="1" x14ac:dyDescent="0.2">
      <c r="A14" s="123" t="s">
        <v>3879</v>
      </c>
      <c r="B14" s="126">
        <v>46150</v>
      </c>
      <c r="C14" s="49" t="s">
        <v>3880</v>
      </c>
      <c r="D14" s="49" t="s">
        <v>3872</v>
      </c>
      <c r="E14" s="49" t="s">
        <v>3881</v>
      </c>
      <c r="F14" s="49" t="s">
        <v>3882</v>
      </c>
      <c r="G14" s="49" t="s">
        <v>3852</v>
      </c>
    </row>
    <row r="15" spans="1:7" ht="15" customHeight="1" x14ac:dyDescent="0.2">
      <c r="A15" s="123" t="s">
        <v>3883</v>
      </c>
      <c r="B15" s="126">
        <v>46150</v>
      </c>
      <c r="C15" s="49" t="s">
        <v>3884</v>
      </c>
      <c r="D15" s="49" t="s">
        <v>98</v>
      </c>
      <c r="E15" s="49" t="s">
        <v>3885</v>
      </c>
      <c r="F15" s="49" t="s">
        <v>3886</v>
      </c>
      <c r="G15" s="49" t="s">
        <v>3852</v>
      </c>
    </row>
    <row r="16" spans="1:7" ht="15" customHeight="1" x14ac:dyDescent="0.2">
      <c r="A16" s="123" t="s">
        <v>3887</v>
      </c>
      <c r="B16" s="126">
        <v>46150</v>
      </c>
      <c r="C16" s="49" t="s">
        <v>3888</v>
      </c>
      <c r="D16" s="49" t="s">
        <v>98</v>
      </c>
      <c r="E16" s="49" t="s">
        <v>3889</v>
      </c>
      <c r="F16" s="49" t="s">
        <v>3890</v>
      </c>
      <c r="G16" s="49" t="s">
        <v>3852</v>
      </c>
    </row>
    <row r="17" spans="1:7" ht="15" customHeight="1" x14ac:dyDescent="0.2">
      <c r="A17" s="123" t="s">
        <v>3891</v>
      </c>
      <c r="B17" s="126">
        <v>46150</v>
      </c>
      <c r="C17" s="49" t="s">
        <v>3892</v>
      </c>
      <c r="D17" s="49" t="s">
        <v>98</v>
      </c>
      <c r="E17" s="49" t="s">
        <v>3893</v>
      </c>
      <c r="F17" s="49" t="s">
        <v>3894</v>
      </c>
      <c r="G17" s="49" t="s">
        <v>3852</v>
      </c>
    </row>
    <row r="18" spans="1:7" ht="15" customHeight="1" x14ac:dyDescent="0.2">
      <c r="A18" s="123" t="s">
        <v>3895</v>
      </c>
      <c r="B18" s="126">
        <v>46150</v>
      </c>
      <c r="C18" s="49" t="s">
        <v>3896</v>
      </c>
      <c r="D18" s="49" t="s">
        <v>98</v>
      </c>
      <c r="E18" s="49" t="s">
        <v>3897</v>
      </c>
      <c r="F18" s="49" t="s">
        <v>3898</v>
      </c>
      <c r="G18" s="49" t="s">
        <v>3852</v>
      </c>
    </row>
    <row r="19" spans="1:7" ht="15" customHeight="1" x14ac:dyDescent="0.2">
      <c r="A19" s="123" t="s">
        <v>3899</v>
      </c>
      <c r="B19" s="126">
        <v>46150</v>
      </c>
      <c r="C19" s="49" t="s">
        <v>3900</v>
      </c>
      <c r="D19" s="49" t="s">
        <v>98</v>
      </c>
      <c r="E19" s="49" t="s">
        <v>3901</v>
      </c>
      <c r="F19" s="49" t="s">
        <v>3902</v>
      </c>
      <c r="G19" s="49" t="s">
        <v>3852</v>
      </c>
    </row>
    <row r="20" spans="1:7" ht="15" customHeight="1" x14ac:dyDescent="0.2">
      <c r="A20" s="123" t="s">
        <v>3903</v>
      </c>
      <c r="B20" s="126">
        <v>46150</v>
      </c>
      <c r="C20" s="49" t="s">
        <v>3904</v>
      </c>
      <c r="D20" s="49" t="s">
        <v>98</v>
      </c>
      <c r="E20" s="49" t="s">
        <v>3905</v>
      </c>
      <c r="F20" s="49" t="s">
        <v>3906</v>
      </c>
      <c r="G20" s="49" t="s">
        <v>3852</v>
      </c>
    </row>
    <row r="21" spans="1:7" ht="15" customHeight="1" x14ac:dyDescent="0.2">
      <c r="A21" s="123" t="s">
        <v>3907</v>
      </c>
      <c r="B21" s="126">
        <v>46150</v>
      </c>
      <c r="C21" s="49" t="s">
        <v>3908</v>
      </c>
      <c r="D21" s="49" t="s">
        <v>98</v>
      </c>
      <c r="E21" s="49" t="s">
        <v>3909</v>
      </c>
      <c r="F21" s="49" t="s">
        <v>3910</v>
      </c>
      <c r="G21" s="49" t="s">
        <v>3852</v>
      </c>
    </row>
    <row r="22" spans="1:7" ht="15" customHeight="1" x14ac:dyDescent="0.2">
      <c r="A22" s="123" t="s">
        <v>3911</v>
      </c>
      <c r="B22" s="126">
        <v>46150</v>
      </c>
      <c r="C22" s="49" t="s">
        <v>3912</v>
      </c>
      <c r="D22" s="49" t="s">
        <v>98</v>
      </c>
      <c r="E22" s="49" t="s">
        <v>3913</v>
      </c>
      <c r="F22" s="49" t="s">
        <v>3914</v>
      </c>
      <c r="G22" s="49" t="s">
        <v>3852</v>
      </c>
    </row>
    <row r="23" spans="1:7" ht="15" customHeight="1" x14ac:dyDescent="0.2">
      <c r="A23" s="123" t="s">
        <v>3915</v>
      </c>
      <c r="B23" s="126">
        <v>46150</v>
      </c>
      <c r="C23" s="49" t="s">
        <v>3916</v>
      </c>
      <c r="D23" s="49" t="s">
        <v>110</v>
      </c>
      <c r="E23" s="49" t="s">
        <v>3917</v>
      </c>
      <c r="F23" s="49" t="s">
        <v>3918</v>
      </c>
      <c r="G23" s="49" t="s">
        <v>3852</v>
      </c>
    </row>
    <row r="24" spans="1:7" ht="15" customHeight="1" x14ac:dyDescent="0.2">
      <c r="A24" s="123" t="s">
        <v>3919</v>
      </c>
      <c r="B24" s="126">
        <v>46150</v>
      </c>
      <c r="C24" s="49" t="s">
        <v>3920</v>
      </c>
      <c r="D24" s="49" t="s">
        <v>3921</v>
      </c>
      <c r="E24" s="49" t="s">
        <v>3922</v>
      </c>
      <c r="F24" s="49" t="s">
        <v>3923</v>
      </c>
      <c r="G24" s="49" t="s">
        <v>3852</v>
      </c>
    </row>
    <row r="25" spans="1:7" ht="15" customHeight="1" x14ac:dyDescent="0.2">
      <c r="A25" s="123" t="s">
        <v>3924</v>
      </c>
      <c r="B25" s="126">
        <v>46150</v>
      </c>
      <c r="C25" s="49" t="s">
        <v>3925</v>
      </c>
      <c r="D25" s="49" t="s">
        <v>104</v>
      </c>
      <c r="E25" s="49" t="s">
        <v>3926</v>
      </c>
      <c r="F25" s="49" t="s">
        <v>3927</v>
      </c>
      <c r="G25" s="49" t="s">
        <v>3852</v>
      </c>
    </row>
    <row r="26" spans="1:7" ht="15" customHeight="1" x14ac:dyDescent="0.2">
      <c r="A26" s="123" t="s">
        <v>3928</v>
      </c>
      <c r="B26" s="126">
        <v>46150</v>
      </c>
      <c r="C26" s="49" t="s">
        <v>3929</v>
      </c>
      <c r="D26" s="49" t="s">
        <v>104</v>
      </c>
      <c r="E26" s="49" t="s">
        <v>3930</v>
      </c>
      <c r="F26" s="49" t="s">
        <v>3931</v>
      </c>
      <c r="G26" s="49" t="s">
        <v>3852</v>
      </c>
    </row>
    <row r="27" spans="1:7" ht="15" customHeight="1" x14ac:dyDescent="0.2">
      <c r="A27" s="123" t="s">
        <v>3932</v>
      </c>
      <c r="B27" s="126">
        <v>46150</v>
      </c>
      <c r="C27" s="49" t="s">
        <v>3929</v>
      </c>
      <c r="D27" s="49" t="s">
        <v>104</v>
      </c>
      <c r="E27" s="49" t="s">
        <v>3933</v>
      </c>
      <c r="F27" s="49" t="s">
        <v>3934</v>
      </c>
      <c r="G27" s="49" t="s">
        <v>3852</v>
      </c>
    </row>
    <row r="28" spans="1:7" ht="15" customHeight="1" x14ac:dyDescent="0.2">
      <c r="A28" s="123" t="s">
        <v>3935</v>
      </c>
      <c r="B28" s="126">
        <v>46150</v>
      </c>
      <c r="C28" s="49" t="s">
        <v>3936</v>
      </c>
      <c r="D28" s="49" t="s">
        <v>104</v>
      </c>
      <c r="E28" s="49" t="s">
        <v>3937</v>
      </c>
      <c r="F28" s="49" t="s">
        <v>3938</v>
      </c>
      <c r="G28" s="49" t="s">
        <v>3852</v>
      </c>
    </row>
    <row r="29" spans="1:7" ht="15" customHeight="1" x14ac:dyDescent="0.2">
      <c r="A29" s="123" t="s">
        <v>3939</v>
      </c>
      <c r="B29" s="126">
        <v>46150</v>
      </c>
      <c r="C29" s="49" t="s">
        <v>3929</v>
      </c>
      <c r="D29" s="49" t="s">
        <v>104</v>
      </c>
      <c r="E29" s="49" t="s">
        <v>3940</v>
      </c>
      <c r="F29" s="49" t="s">
        <v>3941</v>
      </c>
      <c r="G29" s="49" t="s">
        <v>3852</v>
      </c>
    </row>
    <row r="30" spans="1:7" ht="15" customHeight="1" x14ac:dyDescent="0.2">
      <c r="A30" s="123" t="s">
        <v>3942</v>
      </c>
      <c r="B30" s="126">
        <v>46151</v>
      </c>
      <c r="C30" s="49" t="s">
        <v>3943</v>
      </c>
      <c r="D30" s="49" t="s">
        <v>104</v>
      </c>
      <c r="E30" s="49" t="s">
        <v>3944</v>
      </c>
      <c r="F30" s="49" t="s">
        <v>3945</v>
      </c>
      <c r="G30" s="49" t="s">
        <v>3852</v>
      </c>
    </row>
    <row r="31" spans="1:7" ht="15" customHeight="1" x14ac:dyDescent="0.2">
      <c r="A31" s="123" t="s">
        <v>3946</v>
      </c>
      <c r="B31" s="126">
        <v>46151</v>
      </c>
      <c r="C31" s="49" t="s">
        <v>3947</v>
      </c>
      <c r="D31" s="49" t="s">
        <v>104</v>
      </c>
      <c r="E31" s="49" t="s">
        <v>3948</v>
      </c>
      <c r="F31" s="49" t="s">
        <v>3949</v>
      </c>
      <c r="G31" s="49" t="s">
        <v>3852</v>
      </c>
    </row>
    <row r="32" spans="1:7" ht="15" customHeight="1" x14ac:dyDescent="0.2">
      <c r="A32" s="123" t="s">
        <v>3950</v>
      </c>
      <c r="B32" s="126">
        <v>46151</v>
      </c>
      <c r="C32" s="49" t="s">
        <v>3951</v>
      </c>
      <c r="D32" s="49" t="s">
        <v>104</v>
      </c>
      <c r="E32" s="49" t="s">
        <v>3952</v>
      </c>
      <c r="F32" s="49" t="s">
        <v>3953</v>
      </c>
      <c r="G32" s="49" t="s">
        <v>3852</v>
      </c>
    </row>
    <row r="33" spans="1:7" ht="15" customHeight="1" x14ac:dyDescent="0.2">
      <c r="A33" s="123" t="s">
        <v>3954</v>
      </c>
      <c r="B33" s="126">
        <v>46151</v>
      </c>
      <c r="C33" s="49" t="s">
        <v>3955</v>
      </c>
      <c r="D33" s="49" t="s">
        <v>104</v>
      </c>
      <c r="E33" s="49" t="s">
        <v>3956</v>
      </c>
      <c r="F33" s="49" t="s">
        <v>3957</v>
      </c>
      <c r="G33" s="49" t="s">
        <v>3852</v>
      </c>
    </row>
    <row r="34" spans="1:7" ht="15" customHeight="1" x14ac:dyDescent="0.2">
      <c r="B34" s="127"/>
    </row>
    <row r="35" spans="1:7" ht="15" customHeight="1" x14ac:dyDescent="0.2">
      <c r="B35" s="127"/>
    </row>
    <row r="36" spans="1:7" ht="15" customHeight="1" x14ac:dyDescent="0.2">
      <c r="B36" s="127"/>
    </row>
    <row r="37" spans="1:7" ht="15" customHeight="1" x14ac:dyDescent="0.2">
      <c r="B37" s="127"/>
    </row>
    <row r="38" spans="1:7" ht="15" customHeight="1" x14ac:dyDescent="0.2">
      <c r="B38" s="127"/>
    </row>
    <row r="39" spans="1:7" ht="15" customHeight="1" x14ac:dyDescent="0.2">
      <c r="B39" s="127"/>
    </row>
    <row r="40" spans="1:7" ht="15" customHeight="1" x14ac:dyDescent="0.2">
      <c r="B40" s="127"/>
    </row>
    <row r="41" spans="1:7" ht="15" customHeight="1" x14ac:dyDescent="0.2">
      <c r="B41" s="127"/>
    </row>
    <row r="42" spans="1:7" ht="15" customHeight="1" x14ac:dyDescent="0.2">
      <c r="B42" s="127"/>
    </row>
    <row r="43" spans="1:7" ht="15" customHeight="1" x14ac:dyDescent="0.2">
      <c r="B43" s="127"/>
    </row>
    <row r="44" spans="1:7" ht="15" customHeight="1" x14ac:dyDescent="0.2">
      <c r="B44" s="127"/>
    </row>
    <row r="45" spans="1:7" ht="15" customHeight="1" x14ac:dyDescent="0.2">
      <c r="B45" s="127"/>
    </row>
    <row r="46" spans="1:7" ht="15" customHeight="1" x14ac:dyDescent="0.2">
      <c r="B46" s="127"/>
    </row>
    <row r="47" spans="1:7" ht="15" customHeight="1" x14ac:dyDescent="0.2">
      <c r="B47" s="127"/>
    </row>
    <row r="48" spans="1:7" ht="15" customHeight="1" x14ac:dyDescent="0.2">
      <c r="B48" s="127"/>
    </row>
    <row r="49" spans="1:7" ht="15" customHeight="1" x14ac:dyDescent="0.2">
      <c r="B49" s="127"/>
    </row>
    <row r="50" spans="1:7" ht="15" customHeight="1" x14ac:dyDescent="0.2">
      <c r="A50" t="s">
        <v>3958</v>
      </c>
      <c r="B50" s="128">
        <v>46151</v>
      </c>
      <c r="C50" t="s">
        <v>3959</v>
      </c>
      <c r="D50" t="s">
        <v>101</v>
      </c>
      <c r="E50" t="s">
        <v>3960</v>
      </c>
      <c r="F50" t="s">
        <v>3961</v>
      </c>
      <c r="G50" t="s">
        <v>3852</v>
      </c>
    </row>
    <row r="51" spans="1:7" ht="15" customHeight="1" x14ac:dyDescent="0.2">
      <c r="A51" t="s">
        <v>3962</v>
      </c>
      <c r="B51" s="128">
        <v>46151</v>
      </c>
      <c r="C51" t="s">
        <v>3963</v>
      </c>
      <c r="D51" t="s">
        <v>3964</v>
      </c>
      <c r="E51" t="s">
        <v>3965</v>
      </c>
      <c r="F51" t="s">
        <v>3966</v>
      </c>
      <c r="G51" t="s">
        <v>3852</v>
      </c>
    </row>
    <row r="52" spans="1:7" ht="15" customHeight="1" x14ac:dyDescent="0.2">
      <c r="A52" t="s">
        <v>3967</v>
      </c>
      <c r="B52" s="128">
        <v>46151</v>
      </c>
      <c r="C52" t="s">
        <v>3968</v>
      </c>
      <c r="D52" t="s">
        <v>3969</v>
      </c>
      <c r="E52" t="s">
        <v>3970</v>
      </c>
      <c r="F52" t="s">
        <v>3971</v>
      </c>
      <c r="G52" t="s">
        <v>3852</v>
      </c>
    </row>
    <row r="53" spans="1:7" ht="15" customHeight="1" x14ac:dyDescent="0.2">
      <c r="A53" t="s">
        <v>3972</v>
      </c>
      <c r="B53" s="128">
        <v>46152</v>
      </c>
      <c r="C53" t="s">
        <v>3973</v>
      </c>
      <c r="D53" t="s">
        <v>3974</v>
      </c>
      <c r="E53" t="s">
        <v>3975</v>
      </c>
      <c r="F53" t="s">
        <v>3976</v>
      </c>
      <c r="G53" t="s">
        <v>3852</v>
      </c>
    </row>
    <row r="54" spans="1:7" ht="15" customHeight="1" x14ac:dyDescent="0.2">
      <c r="A54" t="s">
        <v>3977</v>
      </c>
      <c r="B54" s="128">
        <v>46152</v>
      </c>
      <c r="C54" t="s">
        <v>3978</v>
      </c>
      <c r="D54" t="s">
        <v>3979</v>
      </c>
      <c r="E54" t="s">
        <v>3980</v>
      </c>
      <c r="F54" t="s">
        <v>3981</v>
      </c>
      <c r="G54" t="s">
        <v>3852</v>
      </c>
    </row>
    <row r="55" spans="1:7" ht="15" customHeight="1" x14ac:dyDescent="0.2">
      <c r="A55" t="s">
        <v>3982</v>
      </c>
      <c r="B55" s="128">
        <v>46153</v>
      </c>
      <c r="C55" t="s">
        <v>3983</v>
      </c>
      <c r="D55" t="s">
        <v>3984</v>
      </c>
      <c r="E55" t="s">
        <v>3985</v>
      </c>
      <c r="F55" t="s">
        <v>3986</v>
      </c>
      <c r="G55" t="s">
        <v>3852</v>
      </c>
    </row>
    <row r="56" spans="1:7" ht="15" customHeight="1" x14ac:dyDescent="0.2">
      <c r="A56" t="s">
        <v>1</v>
      </c>
      <c r="B56" s="128">
        <v>46153</v>
      </c>
      <c r="C56" t="s">
        <v>3987</v>
      </c>
      <c r="D56" t="s">
        <v>3988</v>
      </c>
      <c r="E56" t="s">
        <v>3989</v>
      </c>
      <c r="F56" t="s">
        <v>3990</v>
      </c>
      <c r="G56" t="s">
        <v>3852</v>
      </c>
    </row>
  </sheetData>
  <mergeCells count="3">
    <mergeCell ref="B1:G1"/>
    <mergeCell ref="B2:G2"/>
    <mergeCell ref="A3:G3"/>
  </mergeCells>
  <dataValidations count="1">
    <dataValidation type="list" allowBlank="1" sqref="C7:C500" xr:uid="{00000000-0002-0000-0900-000000000000}">
      <formula1>L_TIPO_CAMBIO</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36"/>
  <sheetViews>
    <sheetView zoomScaleNormal="100" workbookViewId="0"/>
  </sheetViews>
  <sheetFormatPr baseColWidth="10" defaultColWidth="8.83203125" defaultRowHeight="15" x14ac:dyDescent="0.2"/>
  <sheetData>
    <row r="1" spans="1:18" ht="15" customHeight="1" x14ac:dyDescent="0.2">
      <c r="A1" s="221" t="s">
        <v>3991</v>
      </c>
      <c r="B1" s="221"/>
      <c r="C1" s="221"/>
      <c r="D1" s="221"/>
      <c r="E1" s="221"/>
      <c r="F1" s="221"/>
    </row>
    <row r="3" spans="1:18" ht="15" customHeight="1" x14ac:dyDescent="0.2">
      <c r="A3" s="129" t="s">
        <v>3992</v>
      </c>
      <c r="B3" s="129" t="s">
        <v>3993</v>
      </c>
      <c r="C3" s="129" t="s">
        <v>3994</v>
      </c>
      <c r="D3" s="129" t="s">
        <v>3995</v>
      </c>
      <c r="E3" s="129" t="s">
        <v>3996</v>
      </c>
      <c r="F3" s="129" t="s">
        <v>3997</v>
      </c>
      <c r="G3" s="129" t="s">
        <v>3998</v>
      </c>
      <c r="H3" s="129" t="s">
        <v>3999</v>
      </c>
      <c r="I3" s="129" t="s">
        <v>4000</v>
      </c>
      <c r="J3" s="129" t="s">
        <v>4001</v>
      </c>
      <c r="K3" s="129" t="s">
        <v>4002</v>
      </c>
      <c r="L3" s="129" t="s">
        <v>4003</v>
      </c>
      <c r="M3" s="129" t="s">
        <v>4004</v>
      </c>
      <c r="N3" s="129" t="s">
        <v>4005</v>
      </c>
      <c r="O3" s="129" t="s">
        <v>4006</v>
      </c>
      <c r="P3" s="129" t="s">
        <v>4007</v>
      </c>
      <c r="Q3" s="129" t="s">
        <v>4008</v>
      </c>
      <c r="R3" s="129" t="s">
        <v>4009</v>
      </c>
    </row>
    <row r="4" spans="1:18" ht="15" customHeight="1" x14ac:dyDescent="0.2">
      <c r="A4" t="s">
        <v>95</v>
      </c>
      <c r="B4" t="s">
        <v>3417</v>
      </c>
      <c r="C4" t="s">
        <v>1530</v>
      </c>
      <c r="D4" t="s">
        <v>3575</v>
      </c>
      <c r="E4" t="s">
        <v>3573</v>
      </c>
      <c r="F4" t="s">
        <v>3848</v>
      </c>
      <c r="G4" t="s">
        <v>24</v>
      </c>
      <c r="H4" t="s">
        <v>205</v>
      </c>
      <c r="I4" t="s">
        <v>269</v>
      </c>
      <c r="J4" t="s">
        <v>208</v>
      </c>
      <c r="K4" t="s">
        <v>209</v>
      </c>
      <c r="L4" t="s">
        <v>225</v>
      </c>
      <c r="M4" t="s">
        <v>417</v>
      </c>
      <c r="N4" t="s">
        <v>4010</v>
      </c>
      <c r="O4" t="s">
        <v>1579</v>
      </c>
      <c r="P4" t="s">
        <v>1574</v>
      </c>
      <c r="Q4" t="s">
        <v>1530</v>
      </c>
      <c r="R4" t="s">
        <v>1530</v>
      </c>
    </row>
    <row r="5" spans="1:18" ht="15" customHeight="1" x14ac:dyDescent="0.2">
      <c r="A5" t="s">
        <v>101</v>
      </c>
      <c r="B5" t="s">
        <v>4011</v>
      </c>
      <c r="C5" t="s">
        <v>353</v>
      </c>
      <c r="D5" t="s">
        <v>3610</v>
      </c>
      <c r="E5" t="s">
        <v>4012</v>
      </c>
      <c r="F5" t="s">
        <v>3853</v>
      </c>
      <c r="G5" t="s">
        <v>27</v>
      </c>
      <c r="H5" t="s">
        <v>230</v>
      </c>
      <c r="I5" t="s">
        <v>218</v>
      </c>
      <c r="J5" t="s">
        <v>351</v>
      </c>
      <c r="K5" t="s">
        <v>293</v>
      </c>
      <c r="L5" t="s">
        <v>213</v>
      </c>
      <c r="M5" t="s">
        <v>4013</v>
      </c>
      <c r="N5" t="s">
        <v>1572</v>
      </c>
      <c r="O5" t="s">
        <v>1573</v>
      </c>
      <c r="P5" t="s">
        <v>4014</v>
      </c>
      <c r="Q5" t="s">
        <v>353</v>
      </c>
      <c r="R5" t="s">
        <v>3340</v>
      </c>
    </row>
    <row r="6" spans="1:18" ht="15" customHeight="1" x14ac:dyDescent="0.2">
      <c r="A6" t="s">
        <v>104</v>
      </c>
      <c r="B6" t="s">
        <v>4015</v>
      </c>
      <c r="C6" t="s">
        <v>4016</v>
      </c>
      <c r="D6" t="s">
        <v>3683</v>
      </c>
      <c r="E6" t="s">
        <v>4017</v>
      </c>
      <c r="F6" t="s">
        <v>4018</v>
      </c>
      <c r="G6" t="s">
        <v>30</v>
      </c>
      <c r="H6" t="s">
        <v>313</v>
      </c>
      <c r="I6" t="s">
        <v>282</v>
      </c>
      <c r="J6" t="s">
        <v>405</v>
      </c>
      <c r="K6" t="s">
        <v>406</v>
      </c>
      <c r="L6" t="s">
        <v>1169</v>
      </c>
      <c r="M6" t="s">
        <v>392</v>
      </c>
      <c r="N6" t="s">
        <v>4019</v>
      </c>
      <c r="O6" t="s">
        <v>1611</v>
      </c>
      <c r="P6" t="s">
        <v>4020</v>
      </c>
      <c r="Q6" t="s">
        <v>4021</v>
      </c>
      <c r="R6" t="s">
        <v>353</v>
      </c>
    </row>
    <row r="7" spans="1:18" ht="15" customHeight="1" x14ac:dyDescent="0.2">
      <c r="A7" t="s">
        <v>98</v>
      </c>
      <c r="B7" t="s">
        <v>4022</v>
      </c>
      <c r="D7" t="s">
        <v>3627</v>
      </c>
      <c r="F7" t="s">
        <v>3575</v>
      </c>
      <c r="G7" t="s">
        <v>36</v>
      </c>
      <c r="I7" t="s">
        <v>445</v>
      </c>
      <c r="J7" t="s">
        <v>239</v>
      </c>
      <c r="K7" t="s">
        <v>586</v>
      </c>
      <c r="M7" t="s">
        <v>4023</v>
      </c>
      <c r="N7" t="s">
        <v>4024</v>
      </c>
    </row>
    <row r="8" spans="1:18" ht="15" customHeight="1" x14ac:dyDescent="0.2">
      <c r="A8" t="s">
        <v>113</v>
      </c>
      <c r="B8" t="s">
        <v>3842</v>
      </c>
      <c r="D8" t="s">
        <v>3665</v>
      </c>
      <c r="F8" t="s">
        <v>4025</v>
      </c>
      <c r="G8" t="s">
        <v>39</v>
      </c>
      <c r="I8" t="s">
        <v>340</v>
      </c>
      <c r="J8" t="s">
        <v>331</v>
      </c>
      <c r="K8" t="s">
        <v>835</v>
      </c>
      <c r="M8" t="s">
        <v>617</v>
      </c>
      <c r="N8" t="s">
        <v>1736</v>
      </c>
    </row>
    <row r="9" spans="1:18" ht="15" customHeight="1" x14ac:dyDescent="0.2">
      <c r="A9" t="s">
        <v>4026</v>
      </c>
      <c r="B9" t="s">
        <v>4027</v>
      </c>
      <c r="D9" t="s">
        <v>3656</v>
      </c>
      <c r="F9" t="s">
        <v>4028</v>
      </c>
      <c r="G9" t="s">
        <v>42</v>
      </c>
      <c r="I9" t="s">
        <v>206</v>
      </c>
      <c r="J9" t="s">
        <v>270</v>
      </c>
      <c r="K9" t="s">
        <v>394</v>
      </c>
      <c r="M9" t="s">
        <v>1307</v>
      </c>
      <c r="N9" t="s">
        <v>4029</v>
      </c>
    </row>
    <row r="10" spans="1:18" ht="15" customHeight="1" x14ac:dyDescent="0.2">
      <c r="A10" t="s">
        <v>4030</v>
      </c>
      <c r="D10" t="s">
        <v>103</v>
      </c>
      <c r="F10" t="s">
        <v>4031</v>
      </c>
      <c r="G10" t="s">
        <v>48</v>
      </c>
      <c r="I10" t="s">
        <v>4032</v>
      </c>
      <c r="J10" t="s">
        <v>563</v>
      </c>
      <c r="K10" t="s">
        <v>360</v>
      </c>
      <c r="M10" t="s">
        <v>475</v>
      </c>
      <c r="N10" t="s">
        <v>4033</v>
      </c>
    </row>
    <row r="11" spans="1:18" ht="15" customHeight="1" x14ac:dyDescent="0.2">
      <c r="A11" t="s">
        <v>4034</v>
      </c>
      <c r="D11" t="s">
        <v>3690</v>
      </c>
      <c r="F11" t="s">
        <v>3856</v>
      </c>
      <c r="G11" t="s">
        <v>51</v>
      </c>
      <c r="I11" t="s">
        <v>476</v>
      </c>
      <c r="J11" t="s">
        <v>220</v>
      </c>
      <c r="K11" t="s">
        <v>4035</v>
      </c>
      <c r="M11" t="s">
        <v>358</v>
      </c>
      <c r="N11" t="s">
        <v>4036</v>
      </c>
    </row>
    <row r="12" spans="1:18" ht="15" customHeight="1" x14ac:dyDescent="0.2">
      <c r="A12" t="s">
        <v>4037</v>
      </c>
      <c r="D12" t="s">
        <v>4038</v>
      </c>
      <c r="F12" t="s">
        <v>3925</v>
      </c>
      <c r="G12" t="s">
        <v>54</v>
      </c>
      <c r="I12" t="s">
        <v>1343</v>
      </c>
      <c r="J12" t="s">
        <v>250</v>
      </c>
      <c r="K12" t="s">
        <v>271</v>
      </c>
      <c r="M12" t="s">
        <v>454</v>
      </c>
      <c r="N12" t="s">
        <v>4039</v>
      </c>
    </row>
    <row r="13" spans="1:18" ht="15" customHeight="1" x14ac:dyDescent="0.2">
      <c r="A13" t="s">
        <v>116</v>
      </c>
      <c r="F13" t="s">
        <v>4040</v>
      </c>
      <c r="I13" t="s">
        <v>983</v>
      </c>
      <c r="M13" t="s">
        <v>4041</v>
      </c>
    </row>
    <row r="14" spans="1:18" ht="15" customHeight="1" x14ac:dyDescent="0.2">
      <c r="A14" t="s">
        <v>110</v>
      </c>
      <c r="F14" t="s">
        <v>4042</v>
      </c>
      <c r="I14" t="s">
        <v>4043</v>
      </c>
      <c r="M14" t="s">
        <v>552</v>
      </c>
    </row>
    <row r="15" spans="1:18" ht="15" customHeight="1" x14ac:dyDescent="0.2">
      <c r="A15" t="s">
        <v>119</v>
      </c>
      <c r="I15" t="s">
        <v>303</v>
      </c>
      <c r="M15" t="s">
        <v>217</v>
      </c>
    </row>
    <row r="16" spans="1:18" ht="15" customHeight="1" x14ac:dyDescent="0.2">
      <c r="M16" t="s">
        <v>312</v>
      </c>
    </row>
    <row r="17" spans="13:13" ht="15" customHeight="1" x14ac:dyDescent="0.2">
      <c r="M17" t="s">
        <v>204</v>
      </c>
    </row>
    <row r="18" spans="13:13" ht="15" customHeight="1" x14ac:dyDescent="0.2">
      <c r="M18" t="s">
        <v>350</v>
      </c>
    </row>
    <row r="19" spans="13:13" ht="15" customHeight="1" x14ac:dyDescent="0.2">
      <c r="M19" t="s">
        <v>1219</v>
      </c>
    </row>
    <row r="20" spans="13:13" ht="15" customHeight="1" x14ac:dyDescent="0.2">
      <c r="M20" t="s">
        <v>1252</v>
      </c>
    </row>
    <row r="21" spans="13:13" ht="15" customHeight="1" x14ac:dyDescent="0.2">
      <c r="M21" t="s">
        <v>4044</v>
      </c>
    </row>
    <row r="22" spans="13:13" ht="15" customHeight="1" x14ac:dyDescent="0.2">
      <c r="M22" t="s">
        <v>915</v>
      </c>
    </row>
    <row r="23" spans="13:13" ht="15" customHeight="1" x14ac:dyDescent="0.2">
      <c r="M23" t="s">
        <v>268</v>
      </c>
    </row>
    <row r="24" spans="13:13" ht="15" customHeight="1" x14ac:dyDescent="0.2">
      <c r="M24" t="s">
        <v>404</v>
      </c>
    </row>
    <row r="25" spans="13:13" ht="15" customHeight="1" x14ac:dyDescent="0.2">
      <c r="M25" t="s">
        <v>4045</v>
      </c>
    </row>
    <row r="26" spans="13:13" ht="15" customHeight="1" x14ac:dyDescent="0.2">
      <c r="M26" t="s">
        <v>329</v>
      </c>
    </row>
    <row r="27" spans="13:13" ht="15" customHeight="1" x14ac:dyDescent="0.2">
      <c r="M27" t="s">
        <v>1375</v>
      </c>
    </row>
    <row r="28" spans="13:13" ht="15" customHeight="1" x14ac:dyDescent="0.2">
      <c r="M28" t="s">
        <v>561</v>
      </c>
    </row>
    <row r="29" spans="13:13" ht="15" customHeight="1" x14ac:dyDescent="0.2">
      <c r="M29" t="s">
        <v>516</v>
      </c>
    </row>
    <row r="30" spans="13:13" ht="15" customHeight="1" x14ac:dyDescent="0.2">
      <c r="M30" t="s">
        <v>924</v>
      </c>
    </row>
    <row r="31" spans="13:13" ht="15" customHeight="1" x14ac:dyDescent="0.2">
      <c r="M31" t="s">
        <v>380</v>
      </c>
    </row>
    <row r="32" spans="13:13" ht="15" customHeight="1" x14ac:dyDescent="0.2">
      <c r="M32" t="s">
        <v>541</v>
      </c>
    </row>
    <row r="33" spans="13:13" ht="15" customHeight="1" x14ac:dyDescent="0.2">
      <c r="M33" t="s">
        <v>248</v>
      </c>
    </row>
    <row r="34" spans="13:13" ht="15" customHeight="1" x14ac:dyDescent="0.2">
      <c r="M34" t="s">
        <v>595</v>
      </c>
    </row>
    <row r="35" spans="13:13" ht="15" customHeight="1" x14ac:dyDescent="0.2">
      <c r="M35" t="s">
        <v>4046</v>
      </c>
    </row>
    <row r="36" spans="13:13" ht="15" customHeight="1" x14ac:dyDescent="0.2">
      <c r="M36" t="s">
        <v>4047</v>
      </c>
    </row>
  </sheetData>
  <mergeCells count="1">
    <mergeCell ref="A1:F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2"/>
  <sheetViews>
    <sheetView zoomScaleNormal="100" workbookViewId="0"/>
  </sheetViews>
  <sheetFormatPr baseColWidth="10" defaultColWidth="8.83203125" defaultRowHeight="15" x14ac:dyDescent="0.2"/>
  <cols>
    <col min="1" max="1" width="12" customWidth="1"/>
    <col min="2" max="2" width="40" customWidth="1"/>
    <col min="3" max="3" width="22" customWidth="1"/>
    <col min="4" max="4" width="24" customWidth="1"/>
    <col min="5" max="5" width="50" customWidth="1"/>
  </cols>
  <sheetData>
    <row r="1" spans="1:5" ht="15" customHeight="1" x14ac:dyDescent="0.2">
      <c r="A1" s="221" t="s">
        <v>4048</v>
      </c>
      <c r="B1" s="221"/>
      <c r="C1" s="221"/>
      <c r="D1" s="221"/>
      <c r="E1" s="221"/>
    </row>
    <row r="3" spans="1:5" ht="15" customHeight="1" x14ac:dyDescent="0.2">
      <c r="A3" s="130" t="s">
        <v>182</v>
      </c>
      <c r="B3" s="130" t="s">
        <v>184</v>
      </c>
      <c r="C3" s="130" t="s">
        <v>92</v>
      </c>
      <c r="D3" s="130" t="s">
        <v>4049</v>
      </c>
      <c r="E3" s="130" t="s">
        <v>4050</v>
      </c>
    </row>
    <row r="4" spans="1:5" ht="15" customHeight="1" x14ac:dyDescent="0.2">
      <c r="A4" s="131" t="s">
        <v>367</v>
      </c>
      <c r="B4" s="52" t="s">
        <v>349</v>
      </c>
      <c r="C4" s="52" t="s">
        <v>95</v>
      </c>
      <c r="D4" s="52" t="s">
        <v>193</v>
      </c>
      <c r="E4" s="52" t="s">
        <v>4051</v>
      </c>
    </row>
    <row r="5" spans="1:5" ht="15" customHeight="1" x14ac:dyDescent="0.2">
      <c r="A5" s="131" t="s">
        <v>389</v>
      </c>
      <c r="B5" s="52" t="s">
        <v>4052</v>
      </c>
      <c r="C5" s="52" t="s">
        <v>95</v>
      </c>
      <c r="D5" s="52" t="s">
        <v>187</v>
      </c>
      <c r="E5" s="52" t="s">
        <v>4053</v>
      </c>
    </row>
    <row r="6" spans="1:5" ht="15" customHeight="1" x14ac:dyDescent="0.2">
      <c r="A6" s="131" t="s">
        <v>433</v>
      </c>
      <c r="B6" s="52" t="s">
        <v>4054</v>
      </c>
      <c r="C6" s="52" t="s">
        <v>95</v>
      </c>
      <c r="D6" s="52" t="s">
        <v>187</v>
      </c>
      <c r="E6" s="52" t="s">
        <v>4053</v>
      </c>
    </row>
    <row r="7" spans="1:5" ht="15" customHeight="1" x14ac:dyDescent="0.2">
      <c r="A7" s="131" t="s">
        <v>489</v>
      </c>
      <c r="B7" s="52" t="s">
        <v>464</v>
      </c>
      <c r="C7" s="52" t="s">
        <v>95</v>
      </c>
      <c r="D7" s="52" t="s">
        <v>187</v>
      </c>
      <c r="E7" s="52" t="s">
        <v>4053</v>
      </c>
    </row>
    <row r="8" spans="1:5" ht="15" customHeight="1" x14ac:dyDescent="0.2">
      <c r="A8" s="131" t="s">
        <v>489</v>
      </c>
      <c r="B8" s="52" t="s">
        <v>464</v>
      </c>
      <c r="C8" s="52" t="s">
        <v>95</v>
      </c>
      <c r="D8" s="52" t="s">
        <v>197</v>
      </c>
      <c r="E8" s="52" t="s">
        <v>4051</v>
      </c>
    </row>
    <row r="9" spans="1:5" ht="15" customHeight="1" x14ac:dyDescent="0.2">
      <c r="A9" s="131" t="s">
        <v>581</v>
      </c>
      <c r="B9" s="52" t="s">
        <v>4055</v>
      </c>
      <c r="C9" s="52" t="s">
        <v>95</v>
      </c>
      <c r="D9" s="52" t="s">
        <v>197</v>
      </c>
      <c r="E9" s="52" t="s">
        <v>4051</v>
      </c>
    </row>
    <row r="10" spans="1:5" ht="15" customHeight="1" x14ac:dyDescent="0.2">
      <c r="A10" s="131" t="s">
        <v>592</v>
      </c>
      <c r="B10" s="52" t="s">
        <v>570</v>
      </c>
      <c r="C10" s="52" t="s">
        <v>95</v>
      </c>
      <c r="D10" s="52" t="s">
        <v>197</v>
      </c>
      <c r="E10" s="52" t="s">
        <v>4051</v>
      </c>
    </row>
    <row r="11" spans="1:5" ht="15" customHeight="1" x14ac:dyDescent="0.2">
      <c r="A11" s="131" t="s">
        <v>602</v>
      </c>
      <c r="B11" s="52" t="s">
        <v>576</v>
      </c>
      <c r="C11" s="52" t="s">
        <v>95</v>
      </c>
      <c r="D11" s="52" t="s">
        <v>197</v>
      </c>
      <c r="E11" s="52" t="s">
        <v>4051</v>
      </c>
    </row>
    <row r="12" spans="1:5" ht="15" customHeight="1" x14ac:dyDescent="0.2">
      <c r="A12" s="131" t="s">
        <v>663</v>
      </c>
      <c r="B12" s="52" t="s">
        <v>4056</v>
      </c>
      <c r="C12" s="52" t="s">
        <v>95</v>
      </c>
      <c r="D12" s="52" t="s">
        <v>187</v>
      </c>
      <c r="E12" s="52" t="s">
        <v>4053</v>
      </c>
    </row>
    <row r="13" spans="1:5" ht="15" customHeight="1" x14ac:dyDescent="0.2">
      <c r="A13" s="131" t="s">
        <v>671</v>
      </c>
      <c r="B13" s="52" t="s">
        <v>642</v>
      </c>
      <c r="C13" s="52" t="s">
        <v>95</v>
      </c>
      <c r="D13" s="52" t="s">
        <v>197</v>
      </c>
      <c r="E13" s="52" t="s">
        <v>4051</v>
      </c>
    </row>
    <row r="14" spans="1:5" ht="15" customHeight="1" x14ac:dyDescent="0.2">
      <c r="A14" s="131" t="s">
        <v>822</v>
      </c>
      <c r="B14" s="52" t="s">
        <v>805</v>
      </c>
      <c r="C14" s="52" t="s">
        <v>95</v>
      </c>
      <c r="D14" s="52" t="s">
        <v>197</v>
      </c>
      <c r="E14" s="52" t="s">
        <v>4051</v>
      </c>
    </row>
    <row r="15" spans="1:5" ht="15" customHeight="1" x14ac:dyDescent="0.2">
      <c r="A15" s="131" t="s">
        <v>855</v>
      </c>
      <c r="B15" s="52" t="s">
        <v>844</v>
      </c>
      <c r="C15" s="52" t="s">
        <v>95</v>
      </c>
      <c r="D15" s="52" t="s">
        <v>197</v>
      </c>
      <c r="E15" s="52" t="s">
        <v>4051</v>
      </c>
    </row>
    <row r="16" spans="1:5" ht="15" customHeight="1" x14ac:dyDescent="0.2">
      <c r="A16" s="131" t="s">
        <v>862</v>
      </c>
      <c r="B16" s="52" t="s">
        <v>4057</v>
      </c>
      <c r="C16" s="52" t="s">
        <v>95</v>
      </c>
      <c r="D16" s="52" t="s">
        <v>197</v>
      </c>
      <c r="E16" s="52" t="s">
        <v>4051</v>
      </c>
    </row>
    <row r="17" spans="1:5" ht="15" customHeight="1" x14ac:dyDescent="0.2">
      <c r="A17" s="131" t="s">
        <v>902</v>
      </c>
      <c r="B17" s="52" t="s">
        <v>887</v>
      </c>
      <c r="C17" s="52" t="s">
        <v>95</v>
      </c>
      <c r="D17" s="52" t="s">
        <v>187</v>
      </c>
      <c r="E17" s="52" t="s">
        <v>4053</v>
      </c>
    </row>
    <row r="18" spans="1:5" ht="15" customHeight="1" x14ac:dyDescent="0.2">
      <c r="A18" s="131" t="s">
        <v>912</v>
      </c>
      <c r="B18" s="52" t="s">
        <v>896</v>
      </c>
      <c r="C18" s="52" t="s">
        <v>95</v>
      </c>
      <c r="D18" s="52" t="s">
        <v>187</v>
      </c>
      <c r="E18" s="52" t="s">
        <v>4053</v>
      </c>
    </row>
    <row r="19" spans="1:5" ht="15" customHeight="1" x14ac:dyDescent="0.2">
      <c r="A19" s="131" t="s">
        <v>960</v>
      </c>
      <c r="B19" s="52" t="s">
        <v>939</v>
      </c>
      <c r="C19" s="52" t="s">
        <v>95</v>
      </c>
      <c r="D19" s="52" t="s">
        <v>197</v>
      </c>
      <c r="E19" s="52" t="s">
        <v>4051</v>
      </c>
    </row>
    <row r="20" spans="1:5" ht="15" customHeight="1" x14ac:dyDescent="0.2">
      <c r="A20" s="131" t="s">
        <v>979</v>
      </c>
      <c r="B20" s="52" t="s">
        <v>953</v>
      </c>
      <c r="C20" s="52" t="s">
        <v>95</v>
      </c>
      <c r="D20" s="52" t="s">
        <v>197</v>
      </c>
      <c r="E20" s="52" t="s">
        <v>4051</v>
      </c>
    </row>
    <row r="21" spans="1:5" ht="15" customHeight="1" x14ac:dyDescent="0.2">
      <c r="A21" s="131" t="s">
        <v>1073</v>
      </c>
      <c r="B21" s="52" t="s">
        <v>1051</v>
      </c>
      <c r="C21" s="52" t="s">
        <v>95</v>
      </c>
      <c r="D21" s="52" t="s">
        <v>197</v>
      </c>
      <c r="E21" s="52" t="s">
        <v>4051</v>
      </c>
    </row>
    <row r="22" spans="1:5" ht="15" customHeight="1" x14ac:dyDescent="0.2">
      <c r="A22" s="131" t="s">
        <v>1109</v>
      </c>
      <c r="B22" s="52" t="s">
        <v>2685</v>
      </c>
      <c r="C22" s="52" t="s">
        <v>95</v>
      </c>
      <c r="D22" s="52" t="s">
        <v>187</v>
      </c>
      <c r="E22" s="52" t="s">
        <v>4053</v>
      </c>
    </row>
    <row r="23" spans="1:5" ht="15" customHeight="1" x14ac:dyDescent="0.2">
      <c r="A23" s="131" t="s">
        <v>1281</v>
      </c>
      <c r="B23" s="52" t="s">
        <v>1228</v>
      </c>
      <c r="C23" s="52" t="s">
        <v>95</v>
      </c>
      <c r="D23" s="52" t="s">
        <v>187</v>
      </c>
      <c r="E23" s="52" t="s">
        <v>4053</v>
      </c>
    </row>
    <row r="24" spans="1:5" ht="15" customHeight="1" x14ac:dyDescent="0.2">
      <c r="A24" s="131" t="s">
        <v>1381</v>
      </c>
      <c r="B24" s="52" t="s">
        <v>4058</v>
      </c>
      <c r="C24" s="52" t="s">
        <v>95</v>
      </c>
      <c r="D24" s="52" t="s">
        <v>197</v>
      </c>
      <c r="E24" s="52" t="s">
        <v>4051</v>
      </c>
    </row>
    <row r="25" spans="1:5" ht="15" customHeight="1" x14ac:dyDescent="0.2">
      <c r="A25" s="131" t="s">
        <v>1434</v>
      </c>
      <c r="B25" s="52" t="s">
        <v>4059</v>
      </c>
      <c r="C25" s="52" t="s">
        <v>95</v>
      </c>
      <c r="D25" s="52" t="s">
        <v>187</v>
      </c>
      <c r="E25" s="52" t="s">
        <v>4053</v>
      </c>
    </row>
    <row r="26" spans="1:5" ht="15" customHeight="1" x14ac:dyDescent="0.2">
      <c r="A26" s="131" t="s">
        <v>1449</v>
      </c>
      <c r="B26" s="52" t="s">
        <v>1367</v>
      </c>
      <c r="C26" s="52" t="s">
        <v>95</v>
      </c>
      <c r="D26" s="52" t="s">
        <v>187</v>
      </c>
      <c r="E26" s="52" t="s">
        <v>4053</v>
      </c>
    </row>
    <row r="27" spans="1:5" ht="15" customHeight="1" x14ac:dyDescent="0.2">
      <c r="A27" s="131" t="s">
        <v>1449</v>
      </c>
      <c r="B27" s="52" t="s">
        <v>1367</v>
      </c>
      <c r="C27" s="52" t="s">
        <v>95</v>
      </c>
      <c r="D27" s="52" t="s">
        <v>193</v>
      </c>
      <c r="E27" s="52" t="s">
        <v>4051</v>
      </c>
    </row>
    <row r="28" spans="1:5" ht="15" customHeight="1" x14ac:dyDescent="0.2">
      <c r="A28" s="131" t="s">
        <v>1457</v>
      </c>
      <c r="B28" s="52" t="s">
        <v>4060</v>
      </c>
      <c r="C28" s="52" t="s">
        <v>95</v>
      </c>
      <c r="D28" s="52" t="s">
        <v>187</v>
      </c>
      <c r="E28" s="52" t="s">
        <v>4053</v>
      </c>
    </row>
    <row r="29" spans="1:5" ht="15" customHeight="1" x14ac:dyDescent="0.2">
      <c r="A29" s="131" t="s">
        <v>1474</v>
      </c>
      <c r="B29" s="52" t="s">
        <v>1393</v>
      </c>
      <c r="C29" s="52" t="s">
        <v>95</v>
      </c>
      <c r="D29" s="52" t="s">
        <v>187</v>
      </c>
      <c r="E29" s="52" t="s">
        <v>4053</v>
      </c>
    </row>
    <row r="30" spans="1:5" ht="15" customHeight="1" x14ac:dyDescent="0.2">
      <c r="A30" s="131" t="s">
        <v>4061</v>
      </c>
      <c r="B30" s="52" t="s">
        <v>1459</v>
      </c>
      <c r="C30" s="52" t="s">
        <v>95</v>
      </c>
      <c r="D30" s="52" t="s">
        <v>187</v>
      </c>
      <c r="E30" s="52" t="s">
        <v>4053</v>
      </c>
    </row>
    <row r="31" spans="1:5" ht="15" customHeight="1" x14ac:dyDescent="0.2">
      <c r="A31" s="131" t="s">
        <v>4062</v>
      </c>
      <c r="B31" s="52" t="s">
        <v>1466</v>
      </c>
      <c r="C31" s="52" t="s">
        <v>95</v>
      </c>
      <c r="D31" s="52" t="s">
        <v>187</v>
      </c>
      <c r="E31" s="52" t="s">
        <v>4053</v>
      </c>
    </row>
    <row r="32" spans="1:5" ht="15" customHeight="1" x14ac:dyDescent="0.2">
      <c r="A32" s="131" t="s">
        <v>1491</v>
      </c>
      <c r="B32" s="52" t="s">
        <v>1493</v>
      </c>
      <c r="C32" s="52" t="s">
        <v>104</v>
      </c>
      <c r="D32" s="52" t="s">
        <v>4063</v>
      </c>
      <c r="E32" s="52" t="s">
        <v>4064</v>
      </c>
    </row>
  </sheetData>
  <mergeCells count="1">
    <mergeCell ref="A1:E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56"/>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4065</v>
      </c>
      <c r="B1" s="222"/>
      <c r="C1" s="222"/>
      <c r="D1" s="222"/>
      <c r="E1" s="222"/>
      <c r="F1" s="222"/>
      <c r="G1" s="222"/>
      <c r="H1" s="222"/>
      <c r="I1" s="222"/>
      <c r="J1" s="222"/>
    </row>
    <row r="2" spans="1:12" ht="15" customHeight="1" x14ac:dyDescent="0.2">
      <c r="A2" s="223" t="s">
        <v>33</v>
      </c>
      <c r="B2" s="223"/>
      <c r="C2" s="223"/>
      <c r="D2" s="223"/>
      <c r="E2" s="223"/>
      <c r="F2" s="223"/>
      <c r="G2" s="223"/>
      <c r="H2" s="223"/>
      <c r="I2" s="223"/>
      <c r="J2" s="223"/>
    </row>
    <row r="3" spans="1:12" ht="15" customHeight="1" x14ac:dyDescent="0.2">
      <c r="A3" s="224" t="s">
        <v>4066</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3262</v>
      </c>
      <c r="K5" s="132" t="s">
        <v>3274</v>
      </c>
      <c r="L5" s="132" t="s">
        <v>66</v>
      </c>
    </row>
    <row r="6" spans="1:12" ht="60" customHeight="1" x14ac:dyDescent="0.2">
      <c r="A6" s="133" t="s">
        <v>537</v>
      </c>
      <c r="B6" s="133" t="s">
        <v>538</v>
      </c>
      <c r="C6" s="134" t="s">
        <v>539</v>
      </c>
      <c r="D6" s="133" t="s">
        <v>205</v>
      </c>
      <c r="E6" s="133" t="s">
        <v>54</v>
      </c>
      <c r="F6" s="133" t="s">
        <v>540</v>
      </c>
      <c r="G6" s="133" t="s">
        <v>541</v>
      </c>
      <c r="H6" s="133" t="s">
        <v>545</v>
      </c>
      <c r="I6" s="133" t="s">
        <v>4069</v>
      </c>
      <c r="J6" s="135">
        <v>3</v>
      </c>
      <c r="K6" s="136">
        <v>0.78125</v>
      </c>
      <c r="L6" s="133" t="s">
        <v>4070</v>
      </c>
    </row>
    <row r="7" spans="1:12" ht="72" customHeight="1" x14ac:dyDescent="0.2">
      <c r="A7" s="133" t="s">
        <v>622</v>
      </c>
      <c r="B7" s="133" t="s">
        <v>623</v>
      </c>
      <c r="C7" s="134" t="s">
        <v>624</v>
      </c>
      <c r="D7" s="133" t="s">
        <v>205</v>
      </c>
      <c r="E7" s="133" t="s">
        <v>54</v>
      </c>
      <c r="F7" s="133" t="s">
        <v>474</v>
      </c>
      <c r="G7" s="133" t="s">
        <v>380</v>
      </c>
      <c r="H7" s="133" t="s">
        <v>628</v>
      </c>
      <c r="I7" s="133" t="s">
        <v>4071</v>
      </c>
      <c r="J7" s="135">
        <v>2</v>
      </c>
      <c r="K7" s="136">
        <v>0.78125</v>
      </c>
      <c r="L7" s="133" t="s">
        <v>4070</v>
      </c>
    </row>
    <row r="8" spans="1:12" ht="66.75" customHeight="1" x14ac:dyDescent="0.2">
      <c r="A8" s="133" t="s">
        <v>614</v>
      </c>
      <c r="B8" s="133" t="s">
        <v>615</v>
      </c>
      <c r="C8" s="134" t="s">
        <v>616</v>
      </c>
      <c r="D8" s="133" t="s">
        <v>205</v>
      </c>
      <c r="E8" s="133" t="s">
        <v>24</v>
      </c>
      <c r="F8" s="133" t="s">
        <v>357</v>
      </c>
      <c r="G8" s="133" t="s">
        <v>617</v>
      </c>
      <c r="H8" s="133" t="s">
        <v>620</v>
      </c>
      <c r="I8" s="133" t="s">
        <v>4072</v>
      </c>
      <c r="J8" s="135">
        <v>4</v>
      </c>
      <c r="K8" s="136">
        <v>0.72222222222222199</v>
      </c>
      <c r="L8" s="133" t="s">
        <v>4073</v>
      </c>
    </row>
    <row r="9" spans="1:12" ht="75.75" customHeight="1" x14ac:dyDescent="0.2">
      <c r="A9" s="133" t="s">
        <v>969</v>
      </c>
      <c r="B9" s="133" t="s">
        <v>970</v>
      </c>
      <c r="C9" s="134" t="s">
        <v>971</v>
      </c>
      <c r="D9" s="133" t="s">
        <v>205</v>
      </c>
      <c r="E9" s="133" t="s">
        <v>24</v>
      </c>
      <c r="F9" s="133" t="s">
        <v>972</v>
      </c>
      <c r="G9" s="133" t="s">
        <v>475</v>
      </c>
      <c r="H9" s="133" t="s">
        <v>975</v>
      </c>
      <c r="I9" s="133" t="s">
        <v>4074</v>
      </c>
      <c r="J9" s="135">
        <v>4</v>
      </c>
      <c r="K9" s="136">
        <v>0.72222222222222199</v>
      </c>
      <c r="L9" s="133" t="s">
        <v>4073</v>
      </c>
    </row>
    <row r="10" spans="1:12" ht="67.5" customHeight="1" x14ac:dyDescent="0.2">
      <c r="A10" s="133" t="s">
        <v>751</v>
      </c>
      <c r="B10" s="133" t="s">
        <v>752</v>
      </c>
      <c r="C10" s="134" t="s">
        <v>753</v>
      </c>
      <c r="D10" s="133" t="s">
        <v>205</v>
      </c>
      <c r="E10" s="133" t="s">
        <v>54</v>
      </c>
      <c r="F10" s="133" t="s">
        <v>754</v>
      </c>
      <c r="G10" s="133" t="s">
        <v>595</v>
      </c>
      <c r="H10" s="133" t="s">
        <v>757</v>
      </c>
      <c r="I10" s="133" t="s">
        <v>4075</v>
      </c>
      <c r="J10" s="135">
        <v>1</v>
      </c>
      <c r="K10" s="136">
        <v>0.65104166666666696</v>
      </c>
      <c r="L10" s="133" t="s">
        <v>4070</v>
      </c>
    </row>
    <row r="11" spans="1:12" ht="60" customHeight="1" x14ac:dyDescent="0.2">
      <c r="A11" s="137" t="s">
        <v>451</v>
      </c>
      <c r="B11" s="137" t="s">
        <v>452</v>
      </c>
      <c r="C11" s="138" t="s">
        <v>453</v>
      </c>
      <c r="D11" s="137" t="s">
        <v>230</v>
      </c>
      <c r="E11" s="137" t="s">
        <v>24</v>
      </c>
      <c r="F11" s="137" t="s">
        <v>48</v>
      </c>
      <c r="G11" s="137" t="s">
        <v>454</v>
      </c>
      <c r="H11" s="137" t="s">
        <v>458</v>
      </c>
      <c r="I11" s="137" t="s">
        <v>4076</v>
      </c>
      <c r="J11" s="139">
        <v>3</v>
      </c>
      <c r="K11" s="140">
        <v>0.64930555555555602</v>
      </c>
      <c r="L11" s="137" t="s">
        <v>4073</v>
      </c>
    </row>
    <row r="12" spans="1:12" ht="60" customHeight="1" x14ac:dyDescent="0.2">
      <c r="A12" s="141" t="s">
        <v>960</v>
      </c>
      <c r="B12" s="141" t="s">
        <v>961</v>
      </c>
      <c r="C12" s="142" t="s">
        <v>962</v>
      </c>
      <c r="D12" s="141" t="s">
        <v>230</v>
      </c>
      <c r="E12" s="141" t="s">
        <v>24</v>
      </c>
      <c r="F12" s="141" t="s">
        <v>27</v>
      </c>
      <c r="G12" s="141" t="s">
        <v>392</v>
      </c>
      <c r="H12" s="141" t="s">
        <v>966</v>
      </c>
      <c r="I12" s="141" t="s">
        <v>4077</v>
      </c>
      <c r="J12" s="143">
        <v>4</v>
      </c>
      <c r="K12" s="144">
        <v>0.64930555555555602</v>
      </c>
      <c r="L12" s="141" t="s">
        <v>4073</v>
      </c>
    </row>
    <row r="13" spans="1:12" ht="75.75" customHeight="1" x14ac:dyDescent="0.2">
      <c r="A13" s="133" t="s">
        <v>1545</v>
      </c>
      <c r="B13" s="133" t="s">
        <v>1546</v>
      </c>
      <c r="C13" s="134" t="s">
        <v>1547</v>
      </c>
      <c r="D13" s="133" t="s">
        <v>205</v>
      </c>
      <c r="E13" s="133" t="s">
        <v>24</v>
      </c>
      <c r="F13" s="133" t="s">
        <v>27</v>
      </c>
      <c r="G13" s="133" t="s">
        <v>617</v>
      </c>
      <c r="H13" s="133" t="s">
        <v>1552</v>
      </c>
      <c r="I13" s="133" t="s">
        <v>4078</v>
      </c>
      <c r="J13" s="135">
        <v>3.5</v>
      </c>
      <c r="K13" s="136">
        <v>0.63194444444444398</v>
      </c>
      <c r="L13" s="133" t="s">
        <v>4073</v>
      </c>
    </row>
    <row r="14" spans="1:12" ht="60" customHeight="1" x14ac:dyDescent="0.2">
      <c r="A14" s="141" t="s">
        <v>862</v>
      </c>
      <c r="B14" s="141" t="s">
        <v>863</v>
      </c>
      <c r="C14" s="142" t="s">
        <v>864</v>
      </c>
      <c r="D14" s="141" t="s">
        <v>313</v>
      </c>
      <c r="E14" s="141" t="s">
        <v>39</v>
      </c>
      <c r="F14" s="141" t="s">
        <v>784</v>
      </c>
      <c r="G14" s="141" t="s">
        <v>268</v>
      </c>
      <c r="H14" s="141" t="s">
        <v>868</v>
      </c>
      <c r="I14" s="141" t="s">
        <v>4079</v>
      </c>
      <c r="J14" s="143">
        <v>3</v>
      </c>
      <c r="K14" s="144">
        <v>0.59027777777777801</v>
      </c>
      <c r="L14" s="141" t="s">
        <v>4073</v>
      </c>
    </row>
    <row r="15" spans="1:12" ht="72" customHeight="1" x14ac:dyDescent="0.2">
      <c r="A15" s="137" t="s">
        <v>979</v>
      </c>
      <c r="B15" s="137" t="s">
        <v>980</v>
      </c>
      <c r="C15" s="138" t="s">
        <v>981</v>
      </c>
      <c r="D15" s="137" t="s">
        <v>230</v>
      </c>
      <c r="E15" s="137" t="s">
        <v>24</v>
      </c>
      <c r="F15" s="137" t="s">
        <v>982</v>
      </c>
      <c r="G15" s="137" t="s">
        <v>475</v>
      </c>
      <c r="H15" s="137" t="s">
        <v>987</v>
      </c>
      <c r="I15" s="137" t="s">
        <v>4080</v>
      </c>
      <c r="J15" s="139">
        <v>3</v>
      </c>
      <c r="K15" s="140">
        <v>0.59027777777777801</v>
      </c>
      <c r="L15" s="137" t="s">
        <v>4073</v>
      </c>
    </row>
    <row r="16" spans="1:12" ht="72" customHeight="1" x14ac:dyDescent="0.2">
      <c r="A16" s="133" t="s">
        <v>771</v>
      </c>
      <c r="B16" s="133" t="s">
        <v>772</v>
      </c>
      <c r="C16" s="134" t="s">
        <v>773</v>
      </c>
      <c r="D16" s="133" t="s">
        <v>205</v>
      </c>
      <c r="E16" s="133" t="s">
        <v>54</v>
      </c>
      <c r="F16" s="133" t="s">
        <v>302</v>
      </c>
      <c r="G16" s="133" t="s">
        <v>380</v>
      </c>
      <c r="H16" s="133" t="s">
        <v>776</v>
      </c>
      <c r="I16" s="133" t="s">
        <v>4081</v>
      </c>
      <c r="J16" s="135">
        <v>2</v>
      </c>
      <c r="K16" s="136">
        <v>0.58333333333333304</v>
      </c>
      <c r="L16" s="133" t="s">
        <v>4070</v>
      </c>
    </row>
    <row r="17" spans="1:12" ht="66" customHeight="1" x14ac:dyDescent="0.2">
      <c r="A17" s="133" t="s">
        <v>1149</v>
      </c>
      <c r="B17" s="133" t="s">
        <v>1150</v>
      </c>
      <c r="C17" s="134" t="s">
        <v>1151</v>
      </c>
      <c r="D17" s="133" t="s">
        <v>205</v>
      </c>
      <c r="E17" s="133" t="s">
        <v>54</v>
      </c>
      <c r="F17" s="133" t="s">
        <v>784</v>
      </c>
      <c r="G17" s="133" t="s">
        <v>541</v>
      </c>
      <c r="H17" s="133" t="s">
        <v>1154</v>
      </c>
      <c r="I17" s="133" t="s">
        <v>4082</v>
      </c>
      <c r="J17" s="135">
        <v>2</v>
      </c>
      <c r="K17" s="136">
        <v>0.58333333333333304</v>
      </c>
      <c r="L17" s="133" t="s">
        <v>4070</v>
      </c>
    </row>
    <row r="18" spans="1:12" ht="75" customHeight="1" x14ac:dyDescent="0.2">
      <c r="A18" s="141" t="s">
        <v>811</v>
      </c>
      <c r="B18" s="141" t="s">
        <v>812</v>
      </c>
      <c r="C18" s="142" t="s">
        <v>813</v>
      </c>
      <c r="D18" s="141" t="s">
        <v>230</v>
      </c>
      <c r="E18" s="141" t="s">
        <v>54</v>
      </c>
      <c r="F18" s="141" t="s">
        <v>814</v>
      </c>
      <c r="G18" s="141" t="s">
        <v>380</v>
      </c>
      <c r="H18" s="141" t="s">
        <v>817</v>
      </c>
      <c r="I18" s="141" t="s">
        <v>4083</v>
      </c>
      <c r="J18" s="143">
        <v>2</v>
      </c>
      <c r="K18" s="144">
        <v>0.56423611111111105</v>
      </c>
      <c r="L18" s="141" t="s">
        <v>4070</v>
      </c>
    </row>
    <row r="19" spans="1:12" ht="84.75" customHeight="1" x14ac:dyDescent="0.2">
      <c r="A19" s="137" t="s">
        <v>1531</v>
      </c>
      <c r="B19" s="137" t="s">
        <v>1532</v>
      </c>
      <c r="C19" s="138" t="s">
        <v>1533</v>
      </c>
      <c r="D19" s="137" t="s">
        <v>230</v>
      </c>
      <c r="E19" s="137" t="s">
        <v>24</v>
      </c>
      <c r="F19" s="137" t="s">
        <v>1534</v>
      </c>
      <c r="G19" s="137" t="s">
        <v>475</v>
      </c>
      <c r="H19" s="137" t="s">
        <v>1541</v>
      </c>
      <c r="I19" s="137" t="s">
        <v>4084</v>
      </c>
      <c r="J19" s="139">
        <v>3</v>
      </c>
      <c r="K19" s="140">
        <v>0.56423611111111105</v>
      </c>
      <c r="L19" s="137" t="s">
        <v>4070</v>
      </c>
    </row>
    <row r="20" spans="1:12" ht="66" customHeight="1" x14ac:dyDescent="0.2">
      <c r="A20" s="133" t="s">
        <v>712</v>
      </c>
      <c r="B20" s="133" t="s">
        <v>713</v>
      </c>
      <c r="C20" s="134" t="s">
        <v>714</v>
      </c>
      <c r="D20" s="133" t="s">
        <v>205</v>
      </c>
      <c r="E20" s="133" t="s">
        <v>24</v>
      </c>
      <c r="F20" s="133" t="s">
        <v>357</v>
      </c>
      <c r="G20" s="133" t="s">
        <v>475</v>
      </c>
      <c r="H20" s="133" t="s">
        <v>718</v>
      </c>
      <c r="I20" s="133" t="s">
        <v>4085</v>
      </c>
      <c r="J20" s="135">
        <v>3</v>
      </c>
      <c r="K20" s="136">
        <v>0.54166666666666696</v>
      </c>
      <c r="L20" s="133" t="s">
        <v>4073</v>
      </c>
    </row>
    <row r="21" spans="1:12" ht="70.5" customHeight="1" x14ac:dyDescent="0.2">
      <c r="A21" s="137" t="s">
        <v>1123</v>
      </c>
      <c r="B21" s="137" t="s">
        <v>1124</v>
      </c>
      <c r="C21" s="138" t="s">
        <v>1125</v>
      </c>
      <c r="D21" s="137" t="s">
        <v>230</v>
      </c>
      <c r="E21" s="137" t="s">
        <v>24</v>
      </c>
      <c r="F21" s="137" t="s">
        <v>416</v>
      </c>
      <c r="G21" s="137" t="s">
        <v>475</v>
      </c>
      <c r="H21" s="137" t="s">
        <v>1129</v>
      </c>
      <c r="I21" s="137" t="s">
        <v>4086</v>
      </c>
      <c r="J21" s="139">
        <v>3</v>
      </c>
      <c r="K21" s="140">
        <v>0.54166666666666696</v>
      </c>
      <c r="L21" s="137" t="s">
        <v>4073</v>
      </c>
    </row>
    <row r="22" spans="1:12" ht="60" customHeight="1" x14ac:dyDescent="0.2">
      <c r="A22" s="141" t="s">
        <v>1073</v>
      </c>
      <c r="B22" s="141" t="s">
        <v>1074</v>
      </c>
      <c r="C22" s="142" t="s">
        <v>1075</v>
      </c>
      <c r="D22" s="141" t="s">
        <v>230</v>
      </c>
      <c r="E22" s="141" t="s">
        <v>39</v>
      </c>
      <c r="F22" s="141" t="s">
        <v>229</v>
      </c>
      <c r="G22" s="141" t="s">
        <v>268</v>
      </c>
      <c r="H22" s="141" t="s">
        <v>1079</v>
      </c>
      <c r="I22" s="141" t="s">
        <v>4087</v>
      </c>
      <c r="J22" s="143">
        <v>3</v>
      </c>
      <c r="K22" s="144">
        <v>0.53472222222222199</v>
      </c>
      <c r="L22" s="141" t="s">
        <v>4073</v>
      </c>
    </row>
    <row r="23" spans="1:12" ht="64.5" customHeight="1" x14ac:dyDescent="0.2">
      <c r="A23" s="137" t="s">
        <v>688</v>
      </c>
      <c r="B23" s="137" t="s">
        <v>689</v>
      </c>
      <c r="C23" s="138" t="s">
        <v>690</v>
      </c>
      <c r="D23" s="137" t="s">
        <v>230</v>
      </c>
      <c r="E23" s="137" t="s">
        <v>24</v>
      </c>
      <c r="F23" s="137" t="s">
        <v>691</v>
      </c>
      <c r="G23" s="137" t="s">
        <v>475</v>
      </c>
      <c r="H23" s="137" t="s">
        <v>694</v>
      </c>
      <c r="I23" s="137" t="s">
        <v>4088</v>
      </c>
      <c r="J23" s="139">
        <v>3</v>
      </c>
      <c r="K23" s="140">
        <v>0.53125</v>
      </c>
      <c r="L23" s="137" t="s">
        <v>4073</v>
      </c>
    </row>
    <row r="24" spans="1:12" ht="75.75" customHeight="1" x14ac:dyDescent="0.2">
      <c r="A24" s="141" t="s">
        <v>264</v>
      </c>
      <c r="B24" s="141" t="s">
        <v>265</v>
      </c>
      <c r="C24" s="142" t="s">
        <v>266</v>
      </c>
      <c r="D24" s="141" t="s">
        <v>230</v>
      </c>
      <c r="E24" s="141" t="s">
        <v>39</v>
      </c>
      <c r="F24" s="141" t="s">
        <v>267</v>
      </c>
      <c r="G24" s="141" t="s">
        <v>268</v>
      </c>
      <c r="H24" s="141" t="s">
        <v>274</v>
      </c>
      <c r="I24" s="141" t="s">
        <v>4089</v>
      </c>
      <c r="J24" s="143">
        <v>3</v>
      </c>
      <c r="K24" s="144">
        <v>0.48611111111111099</v>
      </c>
      <c r="L24" s="141" t="s">
        <v>4070</v>
      </c>
    </row>
    <row r="25" spans="1:12" ht="69.75" customHeight="1" x14ac:dyDescent="0.2">
      <c r="A25" s="133" t="s">
        <v>781</v>
      </c>
      <c r="B25" s="133" t="s">
        <v>782</v>
      </c>
      <c r="C25" s="134" t="s">
        <v>783</v>
      </c>
      <c r="D25" s="133" t="s">
        <v>205</v>
      </c>
      <c r="E25" s="133" t="s">
        <v>54</v>
      </c>
      <c r="F25" s="133" t="s">
        <v>784</v>
      </c>
      <c r="G25" s="133" t="s">
        <v>541</v>
      </c>
      <c r="H25" s="133" t="s">
        <v>788</v>
      </c>
      <c r="I25" s="133" t="s">
        <v>4090</v>
      </c>
      <c r="J25" s="135">
        <v>2</v>
      </c>
      <c r="K25" s="136">
        <v>0.48611111111111099</v>
      </c>
      <c r="L25" s="133" t="s">
        <v>4070</v>
      </c>
    </row>
    <row r="26" spans="1:12" ht="60" customHeight="1" x14ac:dyDescent="0.2">
      <c r="A26" s="141" t="s">
        <v>832</v>
      </c>
      <c r="B26" s="141" t="s">
        <v>833</v>
      </c>
      <c r="C26" s="142" t="s">
        <v>834</v>
      </c>
      <c r="D26" s="141" t="s">
        <v>230</v>
      </c>
      <c r="E26" s="141" t="s">
        <v>39</v>
      </c>
      <c r="F26" s="141" t="s">
        <v>229</v>
      </c>
      <c r="G26" s="141" t="s">
        <v>268</v>
      </c>
      <c r="H26" s="141" t="s">
        <v>838</v>
      </c>
      <c r="I26" s="141" t="s">
        <v>4091</v>
      </c>
      <c r="J26" s="143">
        <v>3</v>
      </c>
      <c r="K26" s="144">
        <v>0.48611111111111099</v>
      </c>
      <c r="L26" s="141" t="s">
        <v>4073</v>
      </c>
    </row>
    <row r="27" spans="1:12" ht="72" customHeight="1" x14ac:dyDescent="0.2">
      <c r="A27" s="137" t="s">
        <v>902</v>
      </c>
      <c r="B27" s="137" t="s">
        <v>903</v>
      </c>
      <c r="C27" s="138" t="s">
        <v>904</v>
      </c>
      <c r="D27" s="137" t="s">
        <v>230</v>
      </c>
      <c r="E27" s="137" t="s">
        <v>54</v>
      </c>
      <c r="F27" s="137" t="s">
        <v>302</v>
      </c>
      <c r="G27" s="137" t="s">
        <v>380</v>
      </c>
      <c r="H27" s="137" t="s">
        <v>908</v>
      </c>
      <c r="I27" s="137" t="s">
        <v>4092</v>
      </c>
      <c r="J27" s="139">
        <v>2</v>
      </c>
      <c r="K27" s="140">
        <v>0.48611111111111099</v>
      </c>
      <c r="L27" s="137" t="s">
        <v>4070</v>
      </c>
    </row>
    <row r="28" spans="1:12" ht="60" customHeight="1" x14ac:dyDescent="0.2">
      <c r="A28" s="133" t="s">
        <v>424</v>
      </c>
      <c r="B28" s="133" t="s">
        <v>425</v>
      </c>
      <c r="C28" s="134" t="s">
        <v>426</v>
      </c>
      <c r="D28" s="133" t="s">
        <v>205</v>
      </c>
      <c r="E28" s="133" t="s">
        <v>24</v>
      </c>
      <c r="F28" s="133" t="s">
        <v>416</v>
      </c>
      <c r="G28" s="133" t="s">
        <v>417</v>
      </c>
      <c r="H28" s="133" t="s">
        <v>430</v>
      </c>
      <c r="I28" s="133" t="s">
        <v>4093</v>
      </c>
      <c r="J28" s="135">
        <v>2</v>
      </c>
      <c r="K28" s="136">
        <v>0.47222222222222199</v>
      </c>
      <c r="L28" s="133" t="s">
        <v>4073</v>
      </c>
    </row>
    <row r="29" spans="1:12" ht="78" customHeight="1" x14ac:dyDescent="0.2">
      <c r="A29" s="133" t="s">
        <v>471</v>
      </c>
      <c r="B29" s="133" t="s">
        <v>472</v>
      </c>
      <c r="C29" s="134" t="s">
        <v>473</v>
      </c>
      <c r="D29" s="133" t="s">
        <v>205</v>
      </c>
      <c r="E29" s="133" t="s">
        <v>24</v>
      </c>
      <c r="F29" s="133" t="s">
        <v>474</v>
      </c>
      <c r="G29" s="133" t="s">
        <v>475</v>
      </c>
      <c r="H29" s="133" t="s">
        <v>480</v>
      </c>
      <c r="I29" s="133" t="s">
        <v>4094</v>
      </c>
      <c r="J29" s="135">
        <v>3</v>
      </c>
      <c r="K29" s="136">
        <v>0.47222222222222199</v>
      </c>
      <c r="L29" s="133" t="s">
        <v>4073</v>
      </c>
    </row>
    <row r="30" spans="1:12" ht="70.5" customHeight="1" x14ac:dyDescent="0.2">
      <c r="A30" s="133" t="s">
        <v>793</v>
      </c>
      <c r="B30" s="133" t="s">
        <v>794</v>
      </c>
      <c r="C30" s="134" t="s">
        <v>795</v>
      </c>
      <c r="D30" s="133" t="s">
        <v>205</v>
      </c>
      <c r="E30" s="133" t="s">
        <v>54</v>
      </c>
      <c r="F30" s="133" t="s">
        <v>24</v>
      </c>
      <c r="G30" s="133" t="s">
        <v>541</v>
      </c>
      <c r="H30" s="133" t="s">
        <v>799</v>
      </c>
      <c r="I30" s="133" t="s">
        <v>4095</v>
      </c>
      <c r="J30" s="135">
        <v>2</v>
      </c>
      <c r="K30" s="136">
        <v>0.47222222222222199</v>
      </c>
      <c r="L30" s="133" t="s">
        <v>4073</v>
      </c>
    </row>
    <row r="31" spans="1:12" ht="60" customHeight="1" x14ac:dyDescent="0.2">
      <c r="A31" s="133" t="s">
        <v>997</v>
      </c>
      <c r="B31" s="133" t="s">
        <v>998</v>
      </c>
      <c r="C31" s="134" t="s">
        <v>999</v>
      </c>
      <c r="D31" s="133" t="s">
        <v>205</v>
      </c>
      <c r="E31" s="133" t="s">
        <v>24</v>
      </c>
      <c r="F31" s="133" t="s">
        <v>42</v>
      </c>
      <c r="G31" s="133" t="s">
        <v>475</v>
      </c>
      <c r="H31" s="133" t="s">
        <v>1003</v>
      </c>
      <c r="I31" s="133" t="s">
        <v>4096</v>
      </c>
      <c r="J31" s="135">
        <v>3</v>
      </c>
      <c r="K31" s="136">
        <v>0.47222222222222199</v>
      </c>
      <c r="L31" s="133" t="s">
        <v>4073</v>
      </c>
    </row>
    <row r="32" spans="1:12" ht="69" customHeight="1" x14ac:dyDescent="0.2">
      <c r="A32" s="141" t="s">
        <v>1007</v>
      </c>
      <c r="B32" s="141" t="s">
        <v>1008</v>
      </c>
      <c r="C32" s="142" t="s">
        <v>1009</v>
      </c>
      <c r="D32" s="141" t="s">
        <v>230</v>
      </c>
      <c r="E32" s="141" t="s">
        <v>24</v>
      </c>
      <c r="F32" s="141" t="s">
        <v>42</v>
      </c>
      <c r="G32" s="141" t="s">
        <v>475</v>
      </c>
      <c r="H32" s="141" t="s">
        <v>1013</v>
      </c>
      <c r="I32" s="141" t="s">
        <v>4097</v>
      </c>
      <c r="J32" s="143">
        <v>3</v>
      </c>
      <c r="K32" s="144">
        <v>0.47222222222222199</v>
      </c>
      <c r="L32" s="141" t="s">
        <v>4073</v>
      </c>
    </row>
    <row r="33" spans="1:12" ht="63" customHeight="1" x14ac:dyDescent="0.2">
      <c r="A33" s="133" t="s">
        <v>1039</v>
      </c>
      <c r="B33" s="133" t="s">
        <v>1040</v>
      </c>
      <c r="C33" s="134" t="s">
        <v>1041</v>
      </c>
      <c r="D33" s="133" t="s">
        <v>205</v>
      </c>
      <c r="E33" s="133" t="s">
        <v>24</v>
      </c>
      <c r="F33" s="133" t="s">
        <v>42</v>
      </c>
      <c r="G33" s="133" t="s">
        <v>475</v>
      </c>
      <c r="H33" s="133" t="s">
        <v>1045</v>
      </c>
      <c r="I33" s="133" t="s">
        <v>4098</v>
      </c>
      <c r="J33" s="135">
        <v>3</v>
      </c>
      <c r="K33" s="136">
        <v>0.47222222222222199</v>
      </c>
      <c r="L33" s="133" t="s">
        <v>4073</v>
      </c>
    </row>
    <row r="34" spans="1:12" ht="75.75" customHeight="1" x14ac:dyDescent="0.2">
      <c r="A34" s="133" t="s">
        <v>1049</v>
      </c>
      <c r="B34" s="133" t="s">
        <v>1050</v>
      </c>
      <c r="C34" s="134" t="s">
        <v>1051</v>
      </c>
      <c r="D34" s="133" t="s">
        <v>205</v>
      </c>
      <c r="E34" s="133" t="s">
        <v>24</v>
      </c>
      <c r="F34" s="133" t="s">
        <v>42</v>
      </c>
      <c r="G34" s="133" t="s">
        <v>475</v>
      </c>
      <c r="H34" s="133" t="s">
        <v>1055</v>
      </c>
      <c r="I34" s="133" t="s">
        <v>4099</v>
      </c>
      <c r="J34" s="135">
        <v>3</v>
      </c>
      <c r="K34" s="136">
        <v>0.47222222222222199</v>
      </c>
      <c r="L34" s="133" t="s">
        <v>4073</v>
      </c>
    </row>
    <row r="35" spans="1:12" ht="60.75" customHeight="1" x14ac:dyDescent="0.2">
      <c r="A35" s="137" t="s">
        <v>1416</v>
      </c>
      <c r="B35" s="137" t="s">
        <v>1417</v>
      </c>
      <c r="C35" s="138" t="s">
        <v>1418</v>
      </c>
      <c r="D35" s="137" t="s">
        <v>230</v>
      </c>
      <c r="E35" s="137" t="s">
        <v>27</v>
      </c>
      <c r="F35" s="137" t="s">
        <v>54</v>
      </c>
      <c r="G35" s="137" t="s">
        <v>380</v>
      </c>
      <c r="H35" s="137" t="s">
        <v>1422</v>
      </c>
      <c r="I35" s="137" t="s">
        <v>4100</v>
      </c>
      <c r="J35" s="139">
        <v>1</v>
      </c>
      <c r="K35" s="140">
        <v>0.47222222222222199</v>
      </c>
      <c r="L35" s="137" t="s">
        <v>4073</v>
      </c>
    </row>
    <row r="36" spans="1:12" ht="76.5" customHeight="1" x14ac:dyDescent="0.2">
      <c r="A36" s="141" t="s">
        <v>1464</v>
      </c>
      <c r="B36" s="141" t="s">
        <v>1465</v>
      </c>
      <c r="C36" s="142" t="s">
        <v>1466</v>
      </c>
      <c r="D36" s="141" t="s">
        <v>230</v>
      </c>
      <c r="E36" s="141" t="s">
        <v>24</v>
      </c>
      <c r="F36" s="141" t="s">
        <v>39</v>
      </c>
      <c r="G36" s="141" t="s">
        <v>475</v>
      </c>
      <c r="H36" s="141" t="s">
        <v>1470</v>
      </c>
      <c r="I36" s="141" t="s">
        <v>4101</v>
      </c>
      <c r="J36" s="143">
        <v>3</v>
      </c>
      <c r="K36" s="144">
        <v>0.47222222222222199</v>
      </c>
      <c r="L36" s="141" t="s">
        <v>4073</v>
      </c>
    </row>
    <row r="37" spans="1:12" ht="72.75" customHeight="1" x14ac:dyDescent="0.2">
      <c r="A37" s="133" t="s">
        <v>377</v>
      </c>
      <c r="B37" s="133" t="s">
        <v>378</v>
      </c>
      <c r="C37" s="134" t="s">
        <v>379</v>
      </c>
      <c r="D37" s="133" t="s">
        <v>205</v>
      </c>
      <c r="E37" s="133" t="s">
        <v>54</v>
      </c>
      <c r="F37" s="133" t="s">
        <v>302</v>
      </c>
      <c r="G37" s="133" t="s">
        <v>380</v>
      </c>
      <c r="H37" s="133" t="s">
        <v>384</v>
      </c>
      <c r="I37" s="133" t="s">
        <v>4102</v>
      </c>
      <c r="J37" s="135">
        <v>2</v>
      </c>
      <c r="K37" s="136">
        <v>0.4375</v>
      </c>
      <c r="L37" s="133" t="s">
        <v>4070</v>
      </c>
    </row>
    <row r="38" spans="1:12" ht="75.75" customHeight="1" x14ac:dyDescent="0.2">
      <c r="A38" s="133" t="s">
        <v>739</v>
      </c>
      <c r="B38" s="133" t="s">
        <v>740</v>
      </c>
      <c r="C38" s="134" t="s">
        <v>741</v>
      </c>
      <c r="D38" s="133" t="s">
        <v>205</v>
      </c>
      <c r="E38" s="133" t="s">
        <v>54</v>
      </c>
      <c r="F38" s="133" t="s">
        <v>742</v>
      </c>
      <c r="G38" s="133" t="s">
        <v>380</v>
      </c>
      <c r="H38" s="133" t="s">
        <v>746</v>
      </c>
      <c r="I38" s="133" t="s">
        <v>4103</v>
      </c>
      <c r="J38" s="135">
        <v>2</v>
      </c>
      <c r="K38" s="136">
        <v>0.43402777777777801</v>
      </c>
      <c r="L38" s="133" t="s">
        <v>4070</v>
      </c>
    </row>
    <row r="39" spans="1:12" ht="70.5" customHeight="1" x14ac:dyDescent="0.2">
      <c r="A39" s="133" t="s">
        <v>1303</v>
      </c>
      <c r="B39" s="133" t="s">
        <v>1304</v>
      </c>
      <c r="C39" s="134" t="s">
        <v>1305</v>
      </c>
      <c r="D39" s="133" t="s">
        <v>205</v>
      </c>
      <c r="E39" s="133" t="s">
        <v>24</v>
      </c>
      <c r="F39" s="133" t="s">
        <v>1306</v>
      </c>
      <c r="G39" s="133" t="s">
        <v>1307</v>
      </c>
      <c r="H39" s="133" t="s">
        <v>1310</v>
      </c>
      <c r="I39" s="133" t="s">
        <v>4104</v>
      </c>
      <c r="J39" s="135">
        <v>2</v>
      </c>
      <c r="K39" s="136">
        <v>0.36111111111111099</v>
      </c>
      <c r="L39" s="133" t="s">
        <v>4073</v>
      </c>
    </row>
    <row r="40" spans="1:12" ht="60" customHeight="1" x14ac:dyDescent="0.2">
      <c r="A40" s="141" t="s">
        <v>1312</v>
      </c>
      <c r="B40" s="141" t="s">
        <v>1313</v>
      </c>
      <c r="C40" s="142" t="s">
        <v>1314</v>
      </c>
      <c r="D40" s="141" t="s">
        <v>230</v>
      </c>
      <c r="E40" s="141" t="s">
        <v>24</v>
      </c>
      <c r="F40" s="141" t="s">
        <v>1315</v>
      </c>
      <c r="G40" s="141" t="s">
        <v>1307</v>
      </c>
      <c r="H40" s="141" t="s">
        <v>1318</v>
      </c>
      <c r="I40" s="141" t="s">
        <v>4105</v>
      </c>
      <c r="J40" s="143">
        <v>2</v>
      </c>
      <c r="K40" s="144">
        <v>0.36111111111111099</v>
      </c>
      <c r="L40" s="141" t="s">
        <v>4073</v>
      </c>
    </row>
    <row r="41" spans="1:12" ht="60" customHeight="1" x14ac:dyDescent="0.2">
      <c r="A41" s="137" t="s">
        <v>1500</v>
      </c>
      <c r="B41" s="137" t="s">
        <v>1501</v>
      </c>
      <c r="C41" s="138" t="s">
        <v>1502</v>
      </c>
      <c r="D41" s="137" t="s">
        <v>230</v>
      </c>
      <c r="E41" s="137" t="s">
        <v>24</v>
      </c>
      <c r="F41" s="137"/>
      <c r="G41" s="137" t="s">
        <v>617</v>
      </c>
      <c r="H41" s="137" t="s">
        <v>1506</v>
      </c>
      <c r="I41" s="137" t="s">
        <v>4106</v>
      </c>
      <c r="J41" s="139">
        <v>2</v>
      </c>
      <c r="K41" s="140">
        <v>0.36111111111111099</v>
      </c>
      <c r="L41" s="137" t="s">
        <v>4073</v>
      </c>
    </row>
    <row r="42" spans="1:12" ht="60" customHeight="1" x14ac:dyDescent="0.2">
      <c r="A42" s="133" t="s">
        <v>354</v>
      </c>
      <c r="B42" s="133" t="s">
        <v>355</v>
      </c>
      <c r="C42" s="134" t="s">
        <v>356</v>
      </c>
      <c r="D42" s="133" t="s">
        <v>205</v>
      </c>
      <c r="E42" s="133" t="s">
        <v>24</v>
      </c>
      <c r="F42" s="133" t="s">
        <v>357</v>
      </c>
      <c r="G42" s="133" t="s">
        <v>358</v>
      </c>
      <c r="H42" s="133" t="s">
        <v>363</v>
      </c>
      <c r="I42" s="133" t="s">
        <v>4107</v>
      </c>
      <c r="J42" s="135">
        <v>2</v>
      </c>
      <c r="K42" s="136">
        <v>0.35416666666666702</v>
      </c>
      <c r="L42" s="133" t="s">
        <v>4073</v>
      </c>
    </row>
    <row r="43" spans="1:12" ht="60" customHeight="1" x14ac:dyDescent="0.2">
      <c r="A43" s="137" t="s">
        <v>413</v>
      </c>
      <c r="B43" s="137" t="s">
        <v>414</v>
      </c>
      <c r="C43" s="138" t="s">
        <v>415</v>
      </c>
      <c r="D43" s="137" t="s">
        <v>313</v>
      </c>
      <c r="E43" s="137" t="s">
        <v>24</v>
      </c>
      <c r="F43" s="137" t="s">
        <v>416</v>
      </c>
      <c r="G43" s="137" t="s">
        <v>417</v>
      </c>
      <c r="H43" s="137" t="s">
        <v>421</v>
      </c>
      <c r="I43" s="137" t="s">
        <v>4108</v>
      </c>
      <c r="J43" s="139">
        <v>2</v>
      </c>
      <c r="K43" s="140">
        <v>0.35416666666666702</v>
      </c>
      <c r="L43" s="137" t="s">
        <v>4073</v>
      </c>
    </row>
    <row r="44" spans="1:12" ht="69.75" customHeight="1" x14ac:dyDescent="0.2">
      <c r="A44" s="141" t="s">
        <v>803</v>
      </c>
      <c r="B44" s="141" t="s">
        <v>804</v>
      </c>
      <c r="C44" s="142" t="s">
        <v>805</v>
      </c>
      <c r="D44" s="141" t="s">
        <v>230</v>
      </c>
      <c r="E44" s="141" t="s">
        <v>54</v>
      </c>
      <c r="F44" s="141" t="s">
        <v>247</v>
      </c>
      <c r="G44" s="141" t="s">
        <v>380</v>
      </c>
      <c r="H44" s="141" t="s">
        <v>808</v>
      </c>
      <c r="I44" s="141" t="s">
        <v>4109</v>
      </c>
      <c r="J44" s="143">
        <v>2</v>
      </c>
      <c r="K44" s="144">
        <v>0.35416666666666702</v>
      </c>
      <c r="L44" s="141" t="s">
        <v>4073</v>
      </c>
    </row>
    <row r="45" spans="1:12" ht="60" customHeight="1" x14ac:dyDescent="0.2">
      <c r="A45" s="137" t="s">
        <v>1242</v>
      </c>
      <c r="B45" s="137" t="s">
        <v>1243</v>
      </c>
      <c r="C45" s="138" t="s">
        <v>1244</v>
      </c>
      <c r="D45" s="137" t="s">
        <v>230</v>
      </c>
      <c r="E45" s="137" t="s">
        <v>24</v>
      </c>
      <c r="F45" s="137" t="s">
        <v>416</v>
      </c>
      <c r="G45" s="137" t="s">
        <v>417</v>
      </c>
      <c r="H45" s="137" t="s">
        <v>1247</v>
      </c>
      <c r="I45" s="137" t="s">
        <v>4110</v>
      </c>
      <c r="J45" s="139">
        <v>2</v>
      </c>
      <c r="K45" s="140">
        <v>0.35416666666666702</v>
      </c>
      <c r="L45" s="137" t="s">
        <v>4073</v>
      </c>
    </row>
    <row r="46" spans="1:12" ht="60" customHeight="1" x14ac:dyDescent="0.2">
      <c r="A46" s="141" t="s">
        <v>1426</v>
      </c>
      <c r="B46" s="141" t="s">
        <v>1427</v>
      </c>
      <c r="C46" s="142" t="s">
        <v>1428</v>
      </c>
      <c r="D46" s="141" t="s">
        <v>313</v>
      </c>
      <c r="E46" s="141" t="s">
        <v>24</v>
      </c>
      <c r="F46" s="141" t="s">
        <v>48</v>
      </c>
      <c r="G46" s="141" t="s">
        <v>392</v>
      </c>
      <c r="H46" s="141" t="s">
        <v>1432</v>
      </c>
      <c r="I46" s="141" t="s">
        <v>4111</v>
      </c>
      <c r="J46" s="143">
        <v>1</v>
      </c>
      <c r="K46" s="144">
        <v>0.35416666666666702</v>
      </c>
      <c r="L46" s="141" t="s">
        <v>4073</v>
      </c>
    </row>
    <row r="47" spans="1:12" ht="60" customHeight="1" x14ac:dyDescent="0.2">
      <c r="A47" s="137" t="s">
        <v>1434</v>
      </c>
      <c r="B47" s="137" t="s">
        <v>1435</v>
      </c>
      <c r="C47" s="138" t="s">
        <v>1436</v>
      </c>
      <c r="D47" s="137" t="s">
        <v>313</v>
      </c>
      <c r="E47" s="137" t="s">
        <v>24</v>
      </c>
      <c r="F47" s="137" t="s">
        <v>1306</v>
      </c>
      <c r="G47" s="137" t="s">
        <v>392</v>
      </c>
      <c r="H47" s="137" t="s">
        <v>1440</v>
      </c>
      <c r="I47" s="137" t="s">
        <v>4112</v>
      </c>
      <c r="J47" s="139">
        <v>1</v>
      </c>
      <c r="K47" s="140">
        <v>0.35416666666666702</v>
      </c>
      <c r="L47" s="137" t="s">
        <v>4073</v>
      </c>
    </row>
    <row r="48" spans="1:12" ht="78" customHeight="1" x14ac:dyDescent="0.2">
      <c r="A48" s="141" t="s">
        <v>244</v>
      </c>
      <c r="B48" s="141" t="s">
        <v>245</v>
      </c>
      <c r="C48" s="142" t="s">
        <v>246</v>
      </c>
      <c r="D48" s="141" t="s">
        <v>230</v>
      </c>
      <c r="E48" s="141" t="s">
        <v>54</v>
      </c>
      <c r="F48" s="141" t="s">
        <v>247</v>
      </c>
      <c r="G48" s="141" t="s">
        <v>248</v>
      </c>
      <c r="H48" s="141" t="s">
        <v>252</v>
      </c>
      <c r="I48" s="141" t="s">
        <v>4113</v>
      </c>
      <c r="J48" s="143">
        <v>1.5</v>
      </c>
      <c r="K48" s="144">
        <v>0.29513888888888901</v>
      </c>
      <c r="L48" s="141" t="s">
        <v>4073</v>
      </c>
    </row>
    <row r="49" spans="1:12" ht="60" customHeight="1" x14ac:dyDescent="0.2">
      <c r="A49" s="137" t="s">
        <v>489</v>
      </c>
      <c r="B49" s="137" t="s">
        <v>490</v>
      </c>
      <c r="C49" s="138" t="s">
        <v>491</v>
      </c>
      <c r="D49" s="137" t="s">
        <v>230</v>
      </c>
      <c r="E49" s="137" t="s">
        <v>24</v>
      </c>
      <c r="F49" s="137" t="s">
        <v>416</v>
      </c>
      <c r="G49" s="137" t="s">
        <v>417</v>
      </c>
      <c r="H49" s="137" t="s">
        <v>494</v>
      </c>
      <c r="I49" s="137" t="s">
        <v>4114</v>
      </c>
      <c r="J49" s="139">
        <v>2</v>
      </c>
      <c r="K49" s="140">
        <v>0.29513888888888901</v>
      </c>
      <c r="L49" s="137" t="s">
        <v>4073</v>
      </c>
    </row>
    <row r="50" spans="1:12" ht="76.5" customHeight="1" x14ac:dyDescent="0.2">
      <c r="A50" s="133" t="s">
        <v>462</v>
      </c>
      <c r="B50" s="133" t="s">
        <v>463</v>
      </c>
      <c r="C50" s="134" t="s">
        <v>464</v>
      </c>
      <c r="D50" s="133" t="s">
        <v>205</v>
      </c>
      <c r="E50" s="133" t="s">
        <v>24</v>
      </c>
      <c r="F50" s="133" t="s">
        <v>465</v>
      </c>
      <c r="G50" s="133" t="s">
        <v>466</v>
      </c>
      <c r="H50" s="133" t="s">
        <v>470</v>
      </c>
      <c r="I50" s="133" t="s">
        <v>4115</v>
      </c>
      <c r="J50" s="135">
        <v>1</v>
      </c>
      <c r="K50" s="136">
        <v>0.29166666666666702</v>
      </c>
      <c r="L50" s="133" t="s">
        <v>4070</v>
      </c>
    </row>
    <row r="51" spans="1:12" ht="76.5" customHeight="1" x14ac:dyDescent="0.2">
      <c r="A51" s="133" t="s">
        <v>894</v>
      </c>
      <c r="B51" s="133" t="s">
        <v>895</v>
      </c>
      <c r="C51" s="134" t="s">
        <v>896</v>
      </c>
      <c r="D51" s="133" t="s">
        <v>205</v>
      </c>
      <c r="E51" s="133" t="s">
        <v>24</v>
      </c>
      <c r="F51" s="133" t="s">
        <v>465</v>
      </c>
      <c r="G51" s="133" t="s">
        <v>466</v>
      </c>
      <c r="H51" s="133" t="s">
        <v>900</v>
      </c>
      <c r="I51" s="133" t="s">
        <v>4116</v>
      </c>
      <c r="J51" s="135">
        <v>1</v>
      </c>
      <c r="K51" s="136">
        <v>0.29166666666666702</v>
      </c>
      <c r="L51" s="133" t="s">
        <v>4070</v>
      </c>
    </row>
    <row r="52" spans="1:12" ht="60" customHeight="1" x14ac:dyDescent="0.2">
      <c r="A52" s="141" t="s">
        <v>367</v>
      </c>
      <c r="B52" s="141" t="s">
        <v>368</v>
      </c>
      <c r="C52" s="142" t="s">
        <v>369</v>
      </c>
      <c r="D52" s="141" t="s">
        <v>230</v>
      </c>
      <c r="E52" s="141" t="s">
        <v>24</v>
      </c>
      <c r="F52" s="141" t="s">
        <v>291</v>
      </c>
      <c r="G52" s="141" t="s">
        <v>370</v>
      </c>
      <c r="H52" s="141" t="s">
        <v>374</v>
      </c>
      <c r="I52" s="141" t="s">
        <v>4117</v>
      </c>
      <c r="J52" s="143">
        <v>1.5</v>
      </c>
      <c r="K52" s="144">
        <v>0.23611111111111099</v>
      </c>
      <c r="L52" s="141" t="s">
        <v>4073</v>
      </c>
    </row>
    <row r="53" spans="1:12" ht="60" customHeight="1" x14ac:dyDescent="0.2">
      <c r="A53" s="137" t="s">
        <v>1381</v>
      </c>
      <c r="B53" s="137" t="s">
        <v>1382</v>
      </c>
      <c r="C53" s="138" t="s">
        <v>1383</v>
      </c>
      <c r="D53" s="137" t="s">
        <v>230</v>
      </c>
      <c r="E53" s="137" t="s">
        <v>24</v>
      </c>
      <c r="F53" s="137" t="s">
        <v>48</v>
      </c>
      <c r="G53" s="137" t="s">
        <v>392</v>
      </c>
      <c r="H53" s="137" t="s">
        <v>1387</v>
      </c>
      <c r="I53" s="137" t="s">
        <v>4118</v>
      </c>
      <c r="J53" s="139">
        <v>1</v>
      </c>
      <c r="K53" s="140">
        <v>0.23611111111111099</v>
      </c>
      <c r="L53" s="137" t="s">
        <v>4073</v>
      </c>
    </row>
    <row r="54" spans="1:12" ht="60" customHeight="1" x14ac:dyDescent="0.2">
      <c r="A54" s="141" t="s">
        <v>389</v>
      </c>
      <c r="B54" s="141" t="s">
        <v>390</v>
      </c>
      <c r="C54" s="142" t="s">
        <v>391</v>
      </c>
      <c r="D54" s="141" t="s">
        <v>230</v>
      </c>
      <c r="E54" s="141" t="s">
        <v>24</v>
      </c>
      <c r="F54" s="141" t="s">
        <v>48</v>
      </c>
      <c r="G54" s="141" t="s">
        <v>392</v>
      </c>
      <c r="H54" s="141" t="s">
        <v>397</v>
      </c>
      <c r="I54" s="141" t="s">
        <v>4119</v>
      </c>
      <c r="J54" s="143">
        <v>1</v>
      </c>
      <c r="K54" s="144">
        <v>0.17708333333333301</v>
      </c>
      <c r="L54" s="141" t="s">
        <v>4073</v>
      </c>
    </row>
    <row r="55" spans="1:12" ht="60" customHeight="1" x14ac:dyDescent="0.2">
      <c r="A55" s="137" t="s">
        <v>1093</v>
      </c>
      <c r="B55" s="137" t="s">
        <v>1094</v>
      </c>
      <c r="C55" s="138" t="s">
        <v>1095</v>
      </c>
      <c r="D55" s="137" t="s">
        <v>313</v>
      </c>
      <c r="E55" s="137" t="s">
        <v>24</v>
      </c>
      <c r="F55" s="137" t="s">
        <v>48</v>
      </c>
      <c r="G55" s="137" t="s">
        <v>392</v>
      </c>
      <c r="H55" s="137" t="s">
        <v>1099</v>
      </c>
      <c r="I55" s="137" t="s">
        <v>4120</v>
      </c>
      <c r="J55" s="139">
        <v>1</v>
      </c>
      <c r="K55" s="140">
        <v>0.17708333333333301</v>
      </c>
      <c r="L55" s="137" t="s">
        <v>4073</v>
      </c>
    </row>
    <row r="56" spans="1:12" ht="60" customHeight="1" x14ac:dyDescent="0.2">
      <c r="A56" s="141" t="s">
        <v>1449</v>
      </c>
      <c r="B56" s="141" t="s">
        <v>1450</v>
      </c>
      <c r="C56" s="142" t="s">
        <v>1451</v>
      </c>
      <c r="D56" s="141" t="s">
        <v>313</v>
      </c>
      <c r="E56" s="141" t="s">
        <v>24</v>
      </c>
      <c r="F56" s="141" t="s">
        <v>48</v>
      </c>
      <c r="G56" s="141" t="s">
        <v>392</v>
      </c>
      <c r="H56" s="141" t="s">
        <v>1455</v>
      </c>
      <c r="I56" s="141" t="s">
        <v>4121</v>
      </c>
      <c r="J56" s="143">
        <v>1</v>
      </c>
      <c r="K56" s="144">
        <v>0.17708333333333301</v>
      </c>
      <c r="L56" s="141"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8"/>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4122</v>
      </c>
      <c r="B1" s="222"/>
      <c r="C1" s="222"/>
      <c r="D1" s="222"/>
      <c r="E1" s="222"/>
      <c r="F1" s="222"/>
      <c r="G1" s="222"/>
      <c r="H1" s="222"/>
      <c r="I1" s="222"/>
      <c r="J1" s="222"/>
    </row>
    <row r="2" spans="1:12" ht="15" customHeight="1" x14ac:dyDescent="0.2">
      <c r="A2" s="223" t="s">
        <v>34</v>
      </c>
      <c r="B2" s="223"/>
      <c r="C2" s="223"/>
      <c r="D2" s="223"/>
      <c r="E2" s="223"/>
      <c r="F2" s="223"/>
      <c r="G2" s="223"/>
      <c r="H2" s="223"/>
      <c r="I2" s="223"/>
      <c r="J2" s="223"/>
    </row>
    <row r="3" spans="1:12" ht="15" customHeight="1" x14ac:dyDescent="0.2">
      <c r="A3" s="224" t="s">
        <v>4123</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3263</v>
      </c>
      <c r="K5" s="132" t="s">
        <v>3274</v>
      </c>
      <c r="L5" s="132" t="s">
        <v>66</v>
      </c>
    </row>
    <row r="6" spans="1:12" ht="60" customHeight="1" x14ac:dyDescent="0.2">
      <c r="A6" s="141" t="s">
        <v>960</v>
      </c>
      <c r="B6" s="141" t="s">
        <v>961</v>
      </c>
      <c r="C6" s="142" t="s">
        <v>962</v>
      </c>
      <c r="D6" s="141" t="s">
        <v>230</v>
      </c>
      <c r="E6" s="141" t="s">
        <v>24</v>
      </c>
      <c r="F6" s="141" t="s">
        <v>27</v>
      </c>
      <c r="G6" s="141" t="s">
        <v>392</v>
      </c>
      <c r="H6" s="141" t="s">
        <v>966</v>
      </c>
      <c r="I6" s="141" t="s">
        <v>4077</v>
      </c>
      <c r="J6" s="143">
        <v>1.5</v>
      </c>
      <c r="K6" s="144">
        <v>0.64930555555555602</v>
      </c>
      <c r="L6" s="141" t="s">
        <v>4073</v>
      </c>
    </row>
    <row r="7" spans="1:12" ht="75" customHeight="1" x14ac:dyDescent="0.2">
      <c r="A7" s="137" t="s">
        <v>811</v>
      </c>
      <c r="B7" s="137" t="s">
        <v>812</v>
      </c>
      <c r="C7" s="138" t="s">
        <v>813</v>
      </c>
      <c r="D7" s="137" t="s">
        <v>230</v>
      </c>
      <c r="E7" s="137" t="s">
        <v>54</v>
      </c>
      <c r="F7" s="137" t="s">
        <v>814</v>
      </c>
      <c r="G7" s="137" t="s">
        <v>380</v>
      </c>
      <c r="H7" s="137" t="s">
        <v>817</v>
      </c>
      <c r="I7" s="137" t="s">
        <v>4083</v>
      </c>
      <c r="J7" s="139">
        <v>3</v>
      </c>
      <c r="K7" s="140">
        <v>0.56423611111111105</v>
      </c>
      <c r="L7" s="137" t="s">
        <v>4070</v>
      </c>
    </row>
    <row r="8" spans="1:12" ht="84.75" customHeight="1" x14ac:dyDescent="0.2">
      <c r="A8" s="141" t="s">
        <v>1531</v>
      </c>
      <c r="B8" s="141" t="s">
        <v>1532</v>
      </c>
      <c r="C8" s="142" t="s">
        <v>1533</v>
      </c>
      <c r="D8" s="141" t="s">
        <v>230</v>
      </c>
      <c r="E8" s="141" t="s">
        <v>24</v>
      </c>
      <c r="F8" s="141" t="s">
        <v>1534</v>
      </c>
      <c r="G8" s="141" t="s">
        <v>475</v>
      </c>
      <c r="H8" s="141" t="s">
        <v>1541</v>
      </c>
      <c r="I8" s="141" t="s">
        <v>4084</v>
      </c>
      <c r="J8" s="143">
        <v>2</v>
      </c>
      <c r="K8" s="144">
        <v>0.56423611111111105</v>
      </c>
      <c r="L8" s="141" t="s">
        <v>4070</v>
      </c>
    </row>
    <row r="9" spans="1:12" ht="60" customHeight="1" x14ac:dyDescent="0.2">
      <c r="A9" s="137" t="s">
        <v>236</v>
      </c>
      <c r="B9" s="137" t="s">
        <v>237</v>
      </c>
      <c r="C9" s="138" t="s">
        <v>238</v>
      </c>
      <c r="D9" s="137" t="s">
        <v>230</v>
      </c>
      <c r="E9" s="137" t="s">
        <v>27</v>
      </c>
      <c r="F9" s="137" t="s">
        <v>203</v>
      </c>
      <c r="G9" s="137" t="s">
        <v>217</v>
      </c>
      <c r="H9" s="137" t="s">
        <v>242</v>
      </c>
      <c r="I9" s="137" t="s">
        <v>4124</v>
      </c>
      <c r="J9" s="139">
        <v>3</v>
      </c>
      <c r="K9" s="140">
        <v>0.54166666666666696</v>
      </c>
      <c r="L9" s="137" t="s">
        <v>4073</v>
      </c>
    </row>
    <row r="10" spans="1:12" ht="67.5" customHeight="1" x14ac:dyDescent="0.2">
      <c r="A10" s="141" t="s">
        <v>504</v>
      </c>
      <c r="B10" s="141" t="s">
        <v>505</v>
      </c>
      <c r="C10" s="142" t="s">
        <v>506</v>
      </c>
      <c r="D10" s="141" t="s">
        <v>230</v>
      </c>
      <c r="E10" s="141" t="s">
        <v>27</v>
      </c>
      <c r="F10" s="141" t="s">
        <v>258</v>
      </c>
      <c r="G10" s="141" t="s">
        <v>217</v>
      </c>
      <c r="H10" s="141" t="s">
        <v>510</v>
      </c>
      <c r="I10" s="141" t="s">
        <v>4125</v>
      </c>
      <c r="J10" s="143">
        <v>3</v>
      </c>
      <c r="K10" s="144">
        <v>0.54166666666666696</v>
      </c>
      <c r="L10" s="141" t="s">
        <v>4073</v>
      </c>
    </row>
    <row r="11" spans="1:12" ht="63" customHeight="1" x14ac:dyDescent="0.2">
      <c r="A11" s="137" t="s">
        <v>549</v>
      </c>
      <c r="B11" s="137" t="s">
        <v>550</v>
      </c>
      <c r="C11" s="138" t="s">
        <v>551</v>
      </c>
      <c r="D11" s="137" t="s">
        <v>230</v>
      </c>
      <c r="E11" s="137" t="s">
        <v>27</v>
      </c>
      <c r="F11" s="137" t="s">
        <v>203</v>
      </c>
      <c r="G11" s="137" t="s">
        <v>552</v>
      </c>
      <c r="H11" s="137" t="s">
        <v>556</v>
      </c>
      <c r="I11" s="137" t="s">
        <v>4126</v>
      </c>
      <c r="J11" s="139">
        <v>3</v>
      </c>
      <c r="K11" s="140">
        <v>0.54166666666666696</v>
      </c>
      <c r="L11" s="137" t="s">
        <v>4073</v>
      </c>
    </row>
    <row r="12" spans="1:12" ht="60" customHeight="1" x14ac:dyDescent="0.2">
      <c r="A12" s="141" t="s">
        <v>1073</v>
      </c>
      <c r="B12" s="141" t="s">
        <v>1074</v>
      </c>
      <c r="C12" s="142" t="s">
        <v>1075</v>
      </c>
      <c r="D12" s="141" t="s">
        <v>230</v>
      </c>
      <c r="E12" s="141" t="s">
        <v>39</v>
      </c>
      <c r="F12" s="141" t="s">
        <v>229</v>
      </c>
      <c r="G12" s="141" t="s">
        <v>268</v>
      </c>
      <c r="H12" s="141" t="s">
        <v>1079</v>
      </c>
      <c r="I12" s="141" t="s">
        <v>4087</v>
      </c>
      <c r="J12" s="143">
        <v>0.5</v>
      </c>
      <c r="K12" s="144">
        <v>0.53472222222222199</v>
      </c>
      <c r="L12" s="141" t="s">
        <v>4073</v>
      </c>
    </row>
    <row r="13" spans="1:12" ht="60" customHeight="1" x14ac:dyDescent="0.2">
      <c r="A13" s="137" t="s">
        <v>832</v>
      </c>
      <c r="B13" s="137" t="s">
        <v>833</v>
      </c>
      <c r="C13" s="138" t="s">
        <v>834</v>
      </c>
      <c r="D13" s="137" t="s">
        <v>230</v>
      </c>
      <c r="E13" s="137" t="s">
        <v>39</v>
      </c>
      <c r="F13" s="137" t="s">
        <v>229</v>
      </c>
      <c r="G13" s="137" t="s">
        <v>268</v>
      </c>
      <c r="H13" s="137" t="s">
        <v>838</v>
      </c>
      <c r="I13" s="137" t="s">
        <v>4091</v>
      </c>
      <c r="J13" s="139">
        <v>0.5</v>
      </c>
      <c r="K13" s="140">
        <v>0.48611111111111099</v>
      </c>
      <c r="L13" s="137" t="s">
        <v>4073</v>
      </c>
    </row>
    <row r="14" spans="1:12" ht="60.75" customHeight="1" x14ac:dyDescent="0.2">
      <c r="A14" s="141" t="s">
        <v>1416</v>
      </c>
      <c r="B14" s="141" t="s">
        <v>1417</v>
      </c>
      <c r="C14" s="142" t="s">
        <v>1418</v>
      </c>
      <c r="D14" s="141" t="s">
        <v>230</v>
      </c>
      <c r="E14" s="141" t="s">
        <v>27</v>
      </c>
      <c r="F14" s="141" t="s">
        <v>54</v>
      </c>
      <c r="G14" s="141" t="s">
        <v>380</v>
      </c>
      <c r="H14" s="141" t="s">
        <v>1422</v>
      </c>
      <c r="I14" s="141" t="s">
        <v>4100</v>
      </c>
      <c r="J14" s="143">
        <v>3</v>
      </c>
      <c r="K14" s="144">
        <v>0.47222222222222199</v>
      </c>
      <c r="L14" s="141" t="s">
        <v>4073</v>
      </c>
    </row>
    <row r="15" spans="1:12" ht="72.75" customHeight="1" x14ac:dyDescent="0.2">
      <c r="A15" s="133" t="s">
        <v>647</v>
      </c>
      <c r="B15" s="133" t="s">
        <v>648</v>
      </c>
      <c r="C15" s="134" t="s">
        <v>649</v>
      </c>
      <c r="D15" s="133" t="s">
        <v>205</v>
      </c>
      <c r="E15" s="133" t="s">
        <v>27</v>
      </c>
      <c r="F15" s="133" t="s">
        <v>203</v>
      </c>
      <c r="G15" s="133" t="s">
        <v>552</v>
      </c>
      <c r="H15" s="133" t="s">
        <v>652</v>
      </c>
      <c r="I15" s="133" t="s">
        <v>4127</v>
      </c>
      <c r="J15" s="135">
        <v>2.5</v>
      </c>
      <c r="K15" s="136">
        <v>0.45138888888888901</v>
      </c>
      <c r="L15" s="133" t="s">
        <v>4073</v>
      </c>
    </row>
    <row r="16" spans="1:12" ht="60" customHeight="1" x14ac:dyDescent="0.2">
      <c r="A16" s="141" t="s">
        <v>654</v>
      </c>
      <c r="B16" s="141" t="s">
        <v>655</v>
      </c>
      <c r="C16" s="142" t="s">
        <v>656</v>
      </c>
      <c r="D16" s="141" t="s">
        <v>313</v>
      </c>
      <c r="E16" s="141" t="s">
        <v>27</v>
      </c>
      <c r="F16" s="141" t="s">
        <v>657</v>
      </c>
      <c r="G16" s="141" t="s">
        <v>552</v>
      </c>
      <c r="H16" s="141" t="s">
        <v>660</v>
      </c>
      <c r="I16" s="141" t="s">
        <v>4128</v>
      </c>
      <c r="J16" s="143">
        <v>2.5</v>
      </c>
      <c r="K16" s="144">
        <v>0.45138888888888901</v>
      </c>
      <c r="L16" s="141" t="s">
        <v>4073</v>
      </c>
    </row>
    <row r="17" spans="1:12" ht="66.75" customHeight="1" x14ac:dyDescent="0.2">
      <c r="A17" s="137" t="s">
        <v>1109</v>
      </c>
      <c r="B17" s="137" t="s">
        <v>1110</v>
      </c>
      <c r="C17" s="138" t="s">
        <v>1111</v>
      </c>
      <c r="D17" s="137" t="s">
        <v>230</v>
      </c>
      <c r="E17" s="137" t="s">
        <v>27</v>
      </c>
      <c r="F17" s="137" t="s">
        <v>203</v>
      </c>
      <c r="G17" s="137" t="s">
        <v>217</v>
      </c>
      <c r="H17" s="137" t="s">
        <v>1114</v>
      </c>
      <c r="I17" s="137" t="s">
        <v>4129</v>
      </c>
      <c r="J17" s="139">
        <v>2.5</v>
      </c>
      <c r="K17" s="140">
        <v>0.45138888888888901</v>
      </c>
      <c r="L17" s="137" t="s">
        <v>4073</v>
      </c>
    </row>
    <row r="18" spans="1:12" ht="76.5" customHeight="1" x14ac:dyDescent="0.2">
      <c r="A18" s="141" t="s">
        <v>592</v>
      </c>
      <c r="B18" s="141" t="s">
        <v>593</v>
      </c>
      <c r="C18" s="142" t="s">
        <v>594</v>
      </c>
      <c r="D18" s="141" t="s">
        <v>313</v>
      </c>
      <c r="E18" s="141" t="s">
        <v>54</v>
      </c>
      <c r="F18" s="141" t="s">
        <v>302</v>
      </c>
      <c r="G18" s="141" t="s">
        <v>595</v>
      </c>
      <c r="H18" s="141" t="s">
        <v>598</v>
      </c>
      <c r="I18" s="141" t="s">
        <v>4130</v>
      </c>
      <c r="J18" s="143">
        <v>3</v>
      </c>
      <c r="K18" s="144">
        <v>0.41319444444444398</v>
      </c>
      <c r="L18" s="141" t="s">
        <v>4073</v>
      </c>
    </row>
    <row r="19" spans="1:12" ht="60" customHeight="1" x14ac:dyDescent="0.2">
      <c r="A19" s="137" t="s">
        <v>255</v>
      </c>
      <c r="B19" s="137" t="s">
        <v>256</v>
      </c>
      <c r="C19" s="138" t="s">
        <v>257</v>
      </c>
      <c r="D19" s="137" t="s">
        <v>230</v>
      </c>
      <c r="E19" s="137" t="s">
        <v>27</v>
      </c>
      <c r="F19" s="137" t="s">
        <v>258</v>
      </c>
      <c r="G19" s="137" t="s">
        <v>217</v>
      </c>
      <c r="H19" s="137" t="s">
        <v>262</v>
      </c>
      <c r="I19" s="137" t="s">
        <v>4131</v>
      </c>
      <c r="J19" s="139">
        <v>2</v>
      </c>
      <c r="K19" s="140">
        <v>0.36111111111111099</v>
      </c>
      <c r="L19" s="137" t="s">
        <v>4073</v>
      </c>
    </row>
    <row r="20" spans="1:12" ht="60" customHeight="1" x14ac:dyDescent="0.2">
      <c r="A20" s="141" t="s">
        <v>308</v>
      </c>
      <c r="B20" s="141" t="s">
        <v>309</v>
      </c>
      <c r="C20" s="142" t="s">
        <v>310</v>
      </c>
      <c r="D20" s="141" t="s">
        <v>313</v>
      </c>
      <c r="E20" s="141" t="s">
        <v>27</v>
      </c>
      <c r="F20" s="141" t="s">
        <v>311</v>
      </c>
      <c r="G20" s="141" t="s">
        <v>312</v>
      </c>
      <c r="H20" s="141" t="s">
        <v>317</v>
      </c>
      <c r="I20" s="141" t="s">
        <v>4132</v>
      </c>
      <c r="J20" s="143">
        <v>2</v>
      </c>
      <c r="K20" s="144">
        <v>0.36111111111111099</v>
      </c>
      <c r="L20" s="141" t="s">
        <v>4073</v>
      </c>
    </row>
    <row r="21" spans="1:12" ht="60" customHeight="1" x14ac:dyDescent="0.2">
      <c r="A21" s="137" t="s">
        <v>1024</v>
      </c>
      <c r="B21" s="137" t="s">
        <v>1025</v>
      </c>
      <c r="C21" s="138" t="s">
        <v>1026</v>
      </c>
      <c r="D21" s="137" t="s">
        <v>313</v>
      </c>
      <c r="E21" s="137" t="s">
        <v>27</v>
      </c>
      <c r="F21" s="137" t="s">
        <v>258</v>
      </c>
      <c r="G21" s="137" t="s">
        <v>217</v>
      </c>
      <c r="H21" s="137" t="s">
        <v>1029</v>
      </c>
      <c r="I21" s="137" t="s">
        <v>4133</v>
      </c>
      <c r="J21" s="139">
        <v>2</v>
      </c>
      <c r="K21" s="140">
        <v>0.36111111111111099</v>
      </c>
      <c r="L21" s="137" t="s">
        <v>4073</v>
      </c>
    </row>
    <row r="22" spans="1:12" ht="60" customHeight="1" x14ac:dyDescent="0.2">
      <c r="A22" s="141" t="s">
        <v>1059</v>
      </c>
      <c r="B22" s="141" t="s">
        <v>1060</v>
      </c>
      <c r="C22" s="142" t="s">
        <v>1061</v>
      </c>
      <c r="D22" s="141" t="s">
        <v>313</v>
      </c>
      <c r="E22" s="141" t="s">
        <v>27</v>
      </c>
      <c r="F22" s="141" t="s">
        <v>27</v>
      </c>
      <c r="G22" s="141" t="s">
        <v>312</v>
      </c>
      <c r="H22" s="141" t="s">
        <v>1064</v>
      </c>
      <c r="I22" s="141" t="s">
        <v>4134</v>
      </c>
      <c r="J22" s="143">
        <v>2</v>
      </c>
      <c r="K22" s="144">
        <v>0.36111111111111099</v>
      </c>
      <c r="L22" s="141" t="s">
        <v>4073</v>
      </c>
    </row>
    <row r="23" spans="1:12" ht="60" customHeight="1" x14ac:dyDescent="0.2">
      <c r="A23" s="137" t="s">
        <v>1188</v>
      </c>
      <c r="B23" s="137" t="s">
        <v>1189</v>
      </c>
      <c r="C23" s="138" t="s">
        <v>1190</v>
      </c>
      <c r="D23" s="137" t="s">
        <v>313</v>
      </c>
      <c r="E23" s="137" t="s">
        <v>27</v>
      </c>
      <c r="F23" s="137" t="s">
        <v>1191</v>
      </c>
      <c r="G23" s="137" t="s">
        <v>217</v>
      </c>
      <c r="H23" s="137" t="s">
        <v>1194</v>
      </c>
      <c r="I23" s="137" t="s">
        <v>4135</v>
      </c>
      <c r="J23" s="139">
        <v>2</v>
      </c>
      <c r="K23" s="140">
        <v>0.36111111111111099</v>
      </c>
      <c r="L23" s="137" t="s">
        <v>4073</v>
      </c>
    </row>
    <row r="24" spans="1:12" ht="60" customHeight="1" x14ac:dyDescent="0.2">
      <c r="A24" s="141" t="s">
        <v>1266</v>
      </c>
      <c r="B24" s="141" t="s">
        <v>1267</v>
      </c>
      <c r="C24" s="142" t="s">
        <v>1268</v>
      </c>
      <c r="D24" s="141" t="s">
        <v>313</v>
      </c>
      <c r="E24" s="141" t="s">
        <v>27</v>
      </c>
      <c r="F24" s="141" t="s">
        <v>27</v>
      </c>
      <c r="G24" s="141" t="s">
        <v>312</v>
      </c>
      <c r="H24" s="141" t="s">
        <v>1271</v>
      </c>
      <c r="I24" s="141" t="s">
        <v>4136</v>
      </c>
      <c r="J24" s="143">
        <v>2</v>
      </c>
      <c r="K24" s="144">
        <v>0.36111111111111099</v>
      </c>
      <c r="L24" s="141" t="s">
        <v>4073</v>
      </c>
    </row>
    <row r="25" spans="1:12" ht="60" customHeight="1" x14ac:dyDescent="0.2">
      <c r="A25" s="137" t="s">
        <v>1333</v>
      </c>
      <c r="B25" s="137" t="s">
        <v>1334</v>
      </c>
      <c r="C25" s="138" t="s">
        <v>1335</v>
      </c>
      <c r="D25" s="137" t="s">
        <v>313</v>
      </c>
      <c r="E25" s="137" t="s">
        <v>27</v>
      </c>
      <c r="F25" s="137" t="s">
        <v>203</v>
      </c>
      <c r="G25" s="137" t="s">
        <v>552</v>
      </c>
      <c r="H25" s="137" t="s">
        <v>1338</v>
      </c>
      <c r="I25" s="137" t="s">
        <v>4137</v>
      </c>
      <c r="J25" s="139">
        <v>2</v>
      </c>
      <c r="K25" s="140">
        <v>0.36111111111111099</v>
      </c>
      <c r="L25" s="137" t="s">
        <v>4073</v>
      </c>
    </row>
    <row r="26" spans="1:12" ht="60" customHeight="1" x14ac:dyDescent="0.2">
      <c r="A26" s="133" t="s">
        <v>354</v>
      </c>
      <c r="B26" s="133" t="s">
        <v>355</v>
      </c>
      <c r="C26" s="134" t="s">
        <v>356</v>
      </c>
      <c r="D26" s="133" t="s">
        <v>205</v>
      </c>
      <c r="E26" s="133" t="s">
        <v>24</v>
      </c>
      <c r="F26" s="133" t="s">
        <v>357</v>
      </c>
      <c r="G26" s="133" t="s">
        <v>358</v>
      </c>
      <c r="H26" s="133" t="s">
        <v>363</v>
      </c>
      <c r="I26" s="133" t="s">
        <v>4107</v>
      </c>
      <c r="J26" s="135">
        <v>1</v>
      </c>
      <c r="K26" s="136">
        <v>0.35416666666666702</v>
      </c>
      <c r="L26" s="133" t="s">
        <v>4073</v>
      </c>
    </row>
    <row r="27" spans="1:12" ht="60" customHeight="1" x14ac:dyDescent="0.2">
      <c r="A27" s="133" t="s">
        <v>1510</v>
      </c>
      <c r="B27" s="133" t="s">
        <v>1511</v>
      </c>
      <c r="C27" s="134" t="s">
        <v>1512</v>
      </c>
      <c r="D27" s="133" t="s">
        <v>205</v>
      </c>
      <c r="E27" s="133" t="s">
        <v>27</v>
      </c>
      <c r="F27" s="133" t="s">
        <v>51</v>
      </c>
      <c r="G27" s="133" t="s">
        <v>217</v>
      </c>
      <c r="H27" s="133" t="s">
        <v>1516</v>
      </c>
      <c r="I27" s="133" t="s">
        <v>4138</v>
      </c>
      <c r="J27" s="135">
        <v>1.5</v>
      </c>
      <c r="K27" s="136">
        <v>0.27083333333333298</v>
      </c>
      <c r="L27" s="133" t="s">
        <v>4073</v>
      </c>
    </row>
    <row r="28" spans="1:12" ht="60" customHeight="1" x14ac:dyDescent="0.2">
      <c r="A28" s="141" t="s">
        <v>336</v>
      </c>
      <c r="B28" s="141" t="s">
        <v>337</v>
      </c>
      <c r="C28" s="142" t="s">
        <v>338</v>
      </c>
      <c r="D28" s="141" t="s">
        <v>230</v>
      </c>
      <c r="E28" s="141" t="s">
        <v>27</v>
      </c>
      <c r="F28" s="141"/>
      <c r="G28" s="141" t="s">
        <v>339</v>
      </c>
      <c r="H28" s="141" t="s">
        <v>344</v>
      </c>
      <c r="I28" s="141" t="s">
        <v>4139</v>
      </c>
      <c r="J28" s="143">
        <v>1</v>
      </c>
      <c r="K28" s="144">
        <v>0.180555555555556</v>
      </c>
      <c r="L28" s="141"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4"/>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4140</v>
      </c>
      <c r="B1" s="222"/>
      <c r="C1" s="222"/>
      <c r="D1" s="222"/>
      <c r="E1" s="222"/>
      <c r="F1" s="222"/>
      <c r="G1" s="222"/>
      <c r="H1" s="222"/>
      <c r="I1" s="222"/>
      <c r="J1" s="222"/>
    </row>
    <row r="2" spans="1:12" ht="15" customHeight="1" x14ac:dyDescent="0.2">
      <c r="A2" s="223" t="s">
        <v>35</v>
      </c>
      <c r="B2" s="223"/>
      <c r="C2" s="223"/>
      <c r="D2" s="223"/>
      <c r="E2" s="223"/>
      <c r="F2" s="223"/>
      <c r="G2" s="223"/>
      <c r="H2" s="223"/>
      <c r="I2" s="223"/>
      <c r="J2" s="223"/>
    </row>
    <row r="3" spans="1:12" ht="15" customHeight="1" x14ac:dyDescent="0.2">
      <c r="A3" s="224" t="s">
        <v>4141</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3264</v>
      </c>
      <c r="K5" s="132" t="s">
        <v>3274</v>
      </c>
      <c r="L5" s="132" t="s">
        <v>66</v>
      </c>
    </row>
    <row r="6" spans="1:12" ht="61.5" customHeight="1" x14ac:dyDescent="0.2">
      <c r="A6" s="133" t="s">
        <v>299</v>
      </c>
      <c r="B6" s="133" t="s">
        <v>300</v>
      </c>
      <c r="C6" s="134" t="s">
        <v>301</v>
      </c>
      <c r="D6" s="133" t="s">
        <v>205</v>
      </c>
      <c r="E6" s="133" t="s">
        <v>30</v>
      </c>
      <c r="F6" s="133" t="s">
        <v>302</v>
      </c>
      <c r="G6" s="133" t="s">
        <v>204</v>
      </c>
      <c r="H6" s="133" t="s">
        <v>306</v>
      </c>
      <c r="I6" s="133" t="s">
        <v>4142</v>
      </c>
      <c r="J6" s="135">
        <v>3</v>
      </c>
      <c r="K6" s="136">
        <v>0.54166666666666696</v>
      </c>
      <c r="L6" s="133" t="s">
        <v>4073</v>
      </c>
    </row>
    <row r="7" spans="1:12" ht="60" customHeight="1" x14ac:dyDescent="0.2">
      <c r="A7" s="137" t="s">
        <v>521</v>
      </c>
      <c r="B7" s="137" t="s">
        <v>522</v>
      </c>
      <c r="C7" s="138" t="s">
        <v>523</v>
      </c>
      <c r="D7" s="137" t="s">
        <v>230</v>
      </c>
      <c r="E7" s="137" t="s">
        <v>30</v>
      </c>
      <c r="F7" s="137" t="s">
        <v>203</v>
      </c>
      <c r="G7" s="137" t="s">
        <v>204</v>
      </c>
      <c r="H7" s="137" t="s">
        <v>526</v>
      </c>
      <c r="I7" s="137" t="s">
        <v>4143</v>
      </c>
      <c r="J7" s="139">
        <v>3</v>
      </c>
      <c r="K7" s="140">
        <v>0.54166666666666696</v>
      </c>
      <c r="L7" s="137" t="s">
        <v>4073</v>
      </c>
    </row>
    <row r="8" spans="1:12" ht="60" customHeight="1" x14ac:dyDescent="0.2">
      <c r="A8" s="141" t="s">
        <v>1159</v>
      </c>
      <c r="B8" s="141" t="s">
        <v>1160</v>
      </c>
      <c r="C8" s="142" t="s">
        <v>1161</v>
      </c>
      <c r="D8" s="141" t="s">
        <v>313</v>
      </c>
      <c r="E8" s="141" t="s">
        <v>30</v>
      </c>
      <c r="F8" s="141" t="s">
        <v>203</v>
      </c>
      <c r="G8" s="141" t="s">
        <v>204</v>
      </c>
      <c r="H8" s="141" t="s">
        <v>1165</v>
      </c>
      <c r="I8" s="141" t="s">
        <v>4144</v>
      </c>
      <c r="J8" s="143">
        <v>3</v>
      </c>
      <c r="K8" s="144">
        <v>0.54166666666666696</v>
      </c>
      <c r="L8" s="141" t="s">
        <v>4073</v>
      </c>
    </row>
    <row r="9" spans="1:12" ht="75.75" customHeight="1" x14ac:dyDescent="0.2">
      <c r="A9" s="133" t="s">
        <v>739</v>
      </c>
      <c r="B9" s="133" t="s">
        <v>740</v>
      </c>
      <c r="C9" s="134" t="s">
        <v>741</v>
      </c>
      <c r="D9" s="133" t="s">
        <v>205</v>
      </c>
      <c r="E9" s="133" t="s">
        <v>54</v>
      </c>
      <c r="F9" s="133" t="s">
        <v>742</v>
      </c>
      <c r="G9" s="133" t="s">
        <v>380</v>
      </c>
      <c r="H9" s="133" t="s">
        <v>746</v>
      </c>
      <c r="I9" s="133" t="s">
        <v>4103</v>
      </c>
      <c r="J9" s="135">
        <v>1</v>
      </c>
      <c r="K9" s="136">
        <v>0.43402777777777801</v>
      </c>
      <c r="L9" s="133" t="s">
        <v>4070</v>
      </c>
    </row>
    <row r="10" spans="1:12" ht="60" customHeight="1" x14ac:dyDescent="0.2">
      <c r="A10" s="133" t="s">
        <v>200</v>
      </c>
      <c r="B10" s="133" t="s">
        <v>201</v>
      </c>
      <c r="C10" s="134" t="s">
        <v>202</v>
      </c>
      <c r="D10" s="133" t="s">
        <v>205</v>
      </c>
      <c r="E10" s="133" t="s">
        <v>30</v>
      </c>
      <c r="F10" s="133" t="s">
        <v>203</v>
      </c>
      <c r="G10" s="133" t="s">
        <v>204</v>
      </c>
      <c r="H10" s="133" t="s">
        <v>211</v>
      </c>
      <c r="I10" s="133" t="s">
        <v>4145</v>
      </c>
      <c r="J10" s="135">
        <v>2</v>
      </c>
      <c r="K10" s="136">
        <v>0.36111111111111099</v>
      </c>
      <c r="L10" s="133" t="s">
        <v>4073</v>
      </c>
    </row>
    <row r="11" spans="1:12" ht="60" customHeight="1" x14ac:dyDescent="0.2">
      <c r="A11" s="133" t="s">
        <v>288</v>
      </c>
      <c r="B11" s="133" t="s">
        <v>289</v>
      </c>
      <c r="C11" s="134" t="s">
        <v>290</v>
      </c>
      <c r="D11" s="133" t="s">
        <v>205</v>
      </c>
      <c r="E11" s="133" t="s">
        <v>30</v>
      </c>
      <c r="F11" s="133" t="s">
        <v>291</v>
      </c>
      <c r="G11" s="133" t="s">
        <v>204</v>
      </c>
      <c r="H11" s="133" t="s">
        <v>296</v>
      </c>
      <c r="I11" s="133" t="s">
        <v>4146</v>
      </c>
      <c r="J11" s="135">
        <v>2</v>
      </c>
      <c r="K11" s="136">
        <v>0.36111111111111099</v>
      </c>
      <c r="L11" s="133" t="s">
        <v>4073</v>
      </c>
    </row>
    <row r="12" spans="1:12" ht="66.75" customHeight="1" x14ac:dyDescent="0.2">
      <c r="A12" s="141" t="s">
        <v>433</v>
      </c>
      <c r="B12" s="141" t="s">
        <v>434</v>
      </c>
      <c r="C12" s="142" t="s">
        <v>435</v>
      </c>
      <c r="D12" s="141" t="s">
        <v>230</v>
      </c>
      <c r="E12" s="141" t="s">
        <v>30</v>
      </c>
      <c r="F12" s="141" t="s">
        <v>203</v>
      </c>
      <c r="G12" s="141" t="s">
        <v>204</v>
      </c>
      <c r="H12" s="141" t="s">
        <v>438</v>
      </c>
      <c r="I12" s="141" t="s">
        <v>4147</v>
      </c>
      <c r="J12" s="143">
        <v>2</v>
      </c>
      <c r="K12" s="144">
        <v>0.36111111111111099</v>
      </c>
      <c r="L12" s="141" t="s">
        <v>4073</v>
      </c>
    </row>
    <row r="13" spans="1:12" ht="60" customHeight="1" x14ac:dyDescent="0.2">
      <c r="A13" s="137" t="s">
        <v>855</v>
      </c>
      <c r="B13" s="137" t="s">
        <v>856</v>
      </c>
      <c r="C13" s="138" t="s">
        <v>857</v>
      </c>
      <c r="D13" s="137" t="s">
        <v>230</v>
      </c>
      <c r="E13" s="137" t="s">
        <v>30</v>
      </c>
      <c r="F13" s="137" t="s">
        <v>203</v>
      </c>
      <c r="G13" s="137" t="s">
        <v>204</v>
      </c>
      <c r="H13" s="137" t="s">
        <v>860</v>
      </c>
      <c r="I13" s="137" t="s">
        <v>4148</v>
      </c>
      <c r="J13" s="139">
        <v>2</v>
      </c>
      <c r="K13" s="140">
        <v>0.36111111111111099</v>
      </c>
      <c r="L13" s="137" t="s">
        <v>4073</v>
      </c>
    </row>
    <row r="14" spans="1:12" ht="61.5" customHeight="1" x14ac:dyDescent="0.2">
      <c r="A14" s="141" t="s">
        <v>1474</v>
      </c>
      <c r="B14" s="141" t="s">
        <v>1475</v>
      </c>
      <c r="C14" s="142" t="s">
        <v>1476</v>
      </c>
      <c r="D14" s="141" t="s">
        <v>230</v>
      </c>
      <c r="E14" s="141" t="s">
        <v>30</v>
      </c>
      <c r="F14" s="141" t="s">
        <v>203</v>
      </c>
      <c r="G14" s="141" t="s">
        <v>204</v>
      </c>
      <c r="H14" s="141" t="s">
        <v>1480</v>
      </c>
      <c r="I14" s="141" t="s">
        <v>4149</v>
      </c>
      <c r="J14" s="143">
        <v>2</v>
      </c>
      <c r="K14" s="144">
        <v>0.36111111111111099</v>
      </c>
      <c r="L14" s="141" t="s">
        <v>4073</v>
      </c>
    </row>
    <row r="15" spans="1:12" ht="60" customHeight="1" x14ac:dyDescent="0.2">
      <c r="A15" s="137" t="s">
        <v>442</v>
      </c>
      <c r="B15" s="137" t="s">
        <v>443</v>
      </c>
      <c r="C15" s="138" t="s">
        <v>444</v>
      </c>
      <c r="D15" s="137" t="s">
        <v>230</v>
      </c>
      <c r="E15" s="137" t="s">
        <v>30</v>
      </c>
      <c r="F15" s="137" t="s">
        <v>203</v>
      </c>
      <c r="G15" s="137" t="s">
        <v>204</v>
      </c>
      <c r="H15" s="137" t="s">
        <v>449</v>
      </c>
      <c r="I15" s="137" t="s">
        <v>4150</v>
      </c>
      <c r="J15" s="139">
        <v>2</v>
      </c>
      <c r="K15" s="140">
        <v>0.35416666666666702</v>
      </c>
      <c r="L15" s="137" t="s">
        <v>4073</v>
      </c>
    </row>
    <row r="16" spans="1:12" ht="60.75" customHeight="1" x14ac:dyDescent="0.2">
      <c r="A16" s="141" t="s">
        <v>1289</v>
      </c>
      <c r="B16" s="141" t="s">
        <v>1290</v>
      </c>
      <c r="C16" s="142" t="s">
        <v>1291</v>
      </c>
      <c r="D16" s="141" t="s">
        <v>313</v>
      </c>
      <c r="E16" s="141" t="s">
        <v>30</v>
      </c>
      <c r="F16" s="141" t="s">
        <v>203</v>
      </c>
      <c r="G16" s="141" t="s">
        <v>204</v>
      </c>
      <c r="H16" s="141" t="s">
        <v>1294</v>
      </c>
      <c r="I16" s="141" t="s">
        <v>4151</v>
      </c>
      <c r="J16" s="143">
        <v>1.5</v>
      </c>
      <c r="K16" s="144">
        <v>0.27083333333333298</v>
      </c>
      <c r="L16" s="141" t="s">
        <v>4073</v>
      </c>
    </row>
    <row r="17" spans="1:12" ht="60" customHeight="1" x14ac:dyDescent="0.2">
      <c r="A17" s="137" t="s">
        <v>1409</v>
      </c>
      <c r="B17" s="137" t="s">
        <v>1410</v>
      </c>
      <c r="C17" s="138" t="s">
        <v>1411</v>
      </c>
      <c r="D17" s="137" t="s">
        <v>313</v>
      </c>
      <c r="E17" s="137" t="s">
        <v>30</v>
      </c>
      <c r="F17" s="137" t="s">
        <v>203</v>
      </c>
      <c r="G17" s="137" t="s">
        <v>204</v>
      </c>
      <c r="H17" s="137" t="s">
        <v>1414</v>
      </c>
      <c r="I17" s="137" t="s">
        <v>4152</v>
      </c>
      <c r="J17" s="139">
        <v>1.5</v>
      </c>
      <c r="K17" s="140">
        <v>0.27083333333333298</v>
      </c>
      <c r="L17" s="137" t="s">
        <v>4073</v>
      </c>
    </row>
    <row r="18" spans="1:12" ht="60" customHeight="1" x14ac:dyDescent="0.2">
      <c r="A18" s="141" t="s">
        <v>226</v>
      </c>
      <c r="B18" s="141" t="s">
        <v>227</v>
      </c>
      <c r="C18" s="142" t="s">
        <v>228</v>
      </c>
      <c r="D18" s="141" t="s">
        <v>230</v>
      </c>
      <c r="E18" s="141" t="s">
        <v>30</v>
      </c>
      <c r="F18" s="141" t="s">
        <v>229</v>
      </c>
      <c r="G18" s="141" t="s">
        <v>204</v>
      </c>
      <c r="H18" s="141" t="s">
        <v>234</v>
      </c>
      <c r="I18" s="141" t="s">
        <v>4153</v>
      </c>
      <c r="J18" s="143">
        <v>1</v>
      </c>
      <c r="K18" s="144">
        <v>0.180555555555556</v>
      </c>
      <c r="L18" s="141" t="s">
        <v>4073</v>
      </c>
    </row>
    <row r="19" spans="1:12" ht="72" customHeight="1" x14ac:dyDescent="0.2">
      <c r="A19" s="137" t="s">
        <v>279</v>
      </c>
      <c r="B19" s="137" t="s">
        <v>280</v>
      </c>
      <c r="C19" s="138" t="s">
        <v>281</v>
      </c>
      <c r="D19" s="137" t="s">
        <v>230</v>
      </c>
      <c r="E19" s="137" t="s">
        <v>30</v>
      </c>
      <c r="F19" s="137" t="s">
        <v>203</v>
      </c>
      <c r="G19" s="137" t="s">
        <v>204</v>
      </c>
      <c r="H19" s="137" t="s">
        <v>285</v>
      </c>
      <c r="I19" s="137" t="s">
        <v>4154</v>
      </c>
      <c r="J19" s="139">
        <v>1</v>
      </c>
      <c r="K19" s="140">
        <v>0.180555555555556</v>
      </c>
      <c r="L19" s="137" t="s">
        <v>4073</v>
      </c>
    </row>
    <row r="20" spans="1:12" ht="60" customHeight="1" x14ac:dyDescent="0.2">
      <c r="A20" s="141" t="s">
        <v>319</v>
      </c>
      <c r="B20" s="141" t="s">
        <v>320</v>
      </c>
      <c r="C20" s="142" t="s">
        <v>321</v>
      </c>
      <c r="D20" s="141" t="s">
        <v>230</v>
      </c>
      <c r="E20" s="141" t="s">
        <v>30</v>
      </c>
      <c r="F20" s="141" t="s">
        <v>203</v>
      </c>
      <c r="G20" s="141" t="s">
        <v>204</v>
      </c>
      <c r="H20" s="141" t="s">
        <v>324</v>
      </c>
      <c r="I20" s="141" t="s">
        <v>4155</v>
      </c>
      <c r="J20" s="143">
        <v>1</v>
      </c>
      <c r="K20" s="144">
        <v>0.180555555555556</v>
      </c>
      <c r="L20" s="141" t="s">
        <v>4073</v>
      </c>
    </row>
    <row r="21" spans="1:12" ht="60" customHeight="1" x14ac:dyDescent="0.2">
      <c r="A21" s="137" t="s">
        <v>482</v>
      </c>
      <c r="B21" s="137" t="s">
        <v>483</v>
      </c>
      <c r="C21" s="138" t="s">
        <v>484</v>
      </c>
      <c r="D21" s="137" t="s">
        <v>230</v>
      </c>
      <c r="E21" s="137" t="s">
        <v>30</v>
      </c>
      <c r="F21" s="137" t="s">
        <v>203</v>
      </c>
      <c r="G21" s="137" t="s">
        <v>204</v>
      </c>
      <c r="H21" s="137" t="s">
        <v>487</v>
      </c>
      <c r="I21" s="137" t="s">
        <v>4156</v>
      </c>
      <c r="J21" s="139">
        <v>1</v>
      </c>
      <c r="K21" s="140">
        <v>0.180555555555556</v>
      </c>
      <c r="L21" s="137" t="s">
        <v>4073</v>
      </c>
    </row>
    <row r="22" spans="1:12" ht="64.5" customHeight="1" x14ac:dyDescent="0.2">
      <c r="A22" s="133" t="s">
        <v>696</v>
      </c>
      <c r="B22" s="133" t="s">
        <v>697</v>
      </c>
      <c r="C22" s="134" t="s">
        <v>698</v>
      </c>
      <c r="D22" s="133" t="s">
        <v>205</v>
      </c>
      <c r="E22" s="133" t="s">
        <v>30</v>
      </c>
      <c r="F22" s="133" t="s">
        <v>54</v>
      </c>
      <c r="G22" s="133" t="s">
        <v>204</v>
      </c>
      <c r="H22" s="133" t="s">
        <v>701</v>
      </c>
      <c r="I22" s="133" t="s">
        <v>4157</v>
      </c>
      <c r="J22" s="135">
        <v>1</v>
      </c>
      <c r="K22" s="136">
        <v>0.180555555555556</v>
      </c>
      <c r="L22" s="133" t="s">
        <v>4073</v>
      </c>
    </row>
    <row r="23" spans="1:12" ht="60" customHeight="1" x14ac:dyDescent="0.2">
      <c r="A23" s="137" t="s">
        <v>869</v>
      </c>
      <c r="B23" s="137" t="s">
        <v>870</v>
      </c>
      <c r="C23" s="138" t="s">
        <v>871</v>
      </c>
      <c r="D23" s="137" t="s">
        <v>313</v>
      </c>
      <c r="E23" s="137" t="s">
        <v>30</v>
      </c>
      <c r="F23" s="137" t="s">
        <v>203</v>
      </c>
      <c r="G23" s="137" t="s">
        <v>204</v>
      </c>
      <c r="H23" s="137" t="s">
        <v>874</v>
      </c>
      <c r="I23" s="137" t="s">
        <v>4158</v>
      </c>
      <c r="J23" s="139">
        <v>1</v>
      </c>
      <c r="K23" s="140">
        <v>0.180555555555556</v>
      </c>
      <c r="L23" s="137" t="s">
        <v>4073</v>
      </c>
    </row>
    <row r="24" spans="1:12" ht="60" customHeight="1" x14ac:dyDescent="0.2">
      <c r="A24" s="141" t="s">
        <v>951</v>
      </c>
      <c r="B24" s="141" t="s">
        <v>952</v>
      </c>
      <c r="C24" s="142" t="s">
        <v>953</v>
      </c>
      <c r="D24" s="141" t="s">
        <v>313</v>
      </c>
      <c r="E24" s="141" t="s">
        <v>30</v>
      </c>
      <c r="F24" s="141" t="s">
        <v>203</v>
      </c>
      <c r="G24" s="141" t="s">
        <v>204</v>
      </c>
      <c r="H24" s="141" t="s">
        <v>957</v>
      </c>
      <c r="I24" s="141" t="s">
        <v>4159</v>
      </c>
      <c r="J24" s="143">
        <v>1</v>
      </c>
      <c r="K24" s="144">
        <v>0.180555555555556</v>
      </c>
      <c r="L24" s="141" t="s">
        <v>4073</v>
      </c>
    </row>
    <row r="25" spans="1:12" ht="60" customHeight="1" x14ac:dyDescent="0.2">
      <c r="A25" s="137" t="s">
        <v>990</v>
      </c>
      <c r="B25" s="137" t="s">
        <v>991</v>
      </c>
      <c r="C25" s="138" t="s">
        <v>992</v>
      </c>
      <c r="D25" s="137" t="s">
        <v>313</v>
      </c>
      <c r="E25" s="137" t="s">
        <v>30</v>
      </c>
      <c r="F25" s="137" t="s">
        <v>203</v>
      </c>
      <c r="G25" s="137" t="s">
        <v>204</v>
      </c>
      <c r="H25" s="137" t="s">
        <v>995</v>
      </c>
      <c r="I25" s="137" t="s">
        <v>4160</v>
      </c>
      <c r="J25" s="139">
        <v>1</v>
      </c>
      <c r="K25" s="140">
        <v>0.180555555555556</v>
      </c>
      <c r="L25" s="137" t="s">
        <v>4073</v>
      </c>
    </row>
    <row r="26" spans="1:12" ht="69" customHeight="1" x14ac:dyDescent="0.2">
      <c r="A26" s="141" t="s">
        <v>1017</v>
      </c>
      <c r="B26" s="141" t="s">
        <v>1018</v>
      </c>
      <c r="C26" s="142" t="s">
        <v>1019</v>
      </c>
      <c r="D26" s="141" t="s">
        <v>313</v>
      </c>
      <c r="E26" s="141" t="s">
        <v>30</v>
      </c>
      <c r="F26" s="141"/>
      <c r="G26" s="141" t="s">
        <v>204</v>
      </c>
      <c r="H26" s="141" t="s">
        <v>1022</v>
      </c>
      <c r="I26" s="141" t="s">
        <v>4161</v>
      </c>
      <c r="J26" s="143">
        <v>1</v>
      </c>
      <c r="K26" s="144">
        <v>0.180555555555556</v>
      </c>
      <c r="L26" s="141" t="s">
        <v>4073</v>
      </c>
    </row>
    <row r="27" spans="1:12" ht="60" customHeight="1" x14ac:dyDescent="0.2">
      <c r="A27" s="137" t="s">
        <v>1066</v>
      </c>
      <c r="B27" s="137" t="s">
        <v>1067</v>
      </c>
      <c r="C27" s="138" t="s">
        <v>1068</v>
      </c>
      <c r="D27" s="137" t="s">
        <v>313</v>
      </c>
      <c r="E27" s="137" t="s">
        <v>30</v>
      </c>
      <c r="F27" s="137" t="s">
        <v>203</v>
      </c>
      <c r="G27" s="137" t="s">
        <v>204</v>
      </c>
      <c r="H27" s="137" t="s">
        <v>1071</v>
      </c>
      <c r="I27" s="137" t="s">
        <v>4162</v>
      </c>
      <c r="J27" s="139">
        <v>1</v>
      </c>
      <c r="K27" s="140">
        <v>0.180555555555556</v>
      </c>
      <c r="L27" s="137" t="s">
        <v>4073</v>
      </c>
    </row>
    <row r="28" spans="1:12" ht="60" customHeight="1" x14ac:dyDescent="0.2">
      <c r="A28" s="141" t="s">
        <v>1116</v>
      </c>
      <c r="B28" s="141" t="s">
        <v>1117</v>
      </c>
      <c r="C28" s="142" t="s">
        <v>1118</v>
      </c>
      <c r="D28" s="141" t="s">
        <v>313</v>
      </c>
      <c r="E28" s="141" t="s">
        <v>30</v>
      </c>
      <c r="F28" s="141" t="s">
        <v>203</v>
      </c>
      <c r="G28" s="141" t="s">
        <v>204</v>
      </c>
      <c r="H28" s="141" t="s">
        <v>1121</v>
      </c>
      <c r="I28" s="141" t="s">
        <v>4163</v>
      </c>
      <c r="J28" s="143">
        <v>1</v>
      </c>
      <c r="K28" s="144">
        <v>0.180555555555556</v>
      </c>
      <c r="L28" s="141" t="s">
        <v>4073</v>
      </c>
    </row>
    <row r="29" spans="1:12" ht="60" customHeight="1" x14ac:dyDescent="0.2">
      <c r="A29" s="137" t="s">
        <v>1131</v>
      </c>
      <c r="B29" s="137" t="s">
        <v>1132</v>
      </c>
      <c r="C29" s="138" t="s">
        <v>1133</v>
      </c>
      <c r="D29" s="137" t="s">
        <v>230</v>
      </c>
      <c r="E29" s="137" t="s">
        <v>30</v>
      </c>
      <c r="F29" s="137" t="s">
        <v>203</v>
      </c>
      <c r="G29" s="137" t="s">
        <v>204</v>
      </c>
      <c r="H29" s="137" t="s">
        <v>1136</v>
      </c>
      <c r="I29" s="137" t="s">
        <v>4164</v>
      </c>
      <c r="J29" s="139">
        <v>1</v>
      </c>
      <c r="K29" s="140">
        <v>0.180555555555556</v>
      </c>
      <c r="L29" s="137" t="s">
        <v>4073</v>
      </c>
    </row>
    <row r="30" spans="1:12" ht="60" customHeight="1" x14ac:dyDescent="0.2">
      <c r="A30" s="141" t="s">
        <v>1235</v>
      </c>
      <c r="B30" s="141" t="s">
        <v>1236</v>
      </c>
      <c r="C30" s="142" t="s">
        <v>1237</v>
      </c>
      <c r="D30" s="141" t="s">
        <v>230</v>
      </c>
      <c r="E30" s="141" t="s">
        <v>30</v>
      </c>
      <c r="F30" s="141" t="s">
        <v>203</v>
      </c>
      <c r="G30" s="141" t="s">
        <v>204</v>
      </c>
      <c r="H30" s="141" t="s">
        <v>1240</v>
      </c>
      <c r="I30" s="141" t="s">
        <v>4165</v>
      </c>
      <c r="J30" s="143">
        <v>1</v>
      </c>
      <c r="K30" s="144">
        <v>0.180555555555556</v>
      </c>
      <c r="L30" s="141" t="s">
        <v>4073</v>
      </c>
    </row>
    <row r="31" spans="1:12" ht="60" customHeight="1" x14ac:dyDescent="0.2">
      <c r="A31" s="137" t="s">
        <v>1326</v>
      </c>
      <c r="B31" s="137" t="s">
        <v>1327</v>
      </c>
      <c r="C31" s="138" t="s">
        <v>1328</v>
      </c>
      <c r="D31" s="137" t="s">
        <v>313</v>
      </c>
      <c r="E31" s="137" t="s">
        <v>30</v>
      </c>
      <c r="F31" s="137" t="s">
        <v>203</v>
      </c>
      <c r="G31" s="137" t="s">
        <v>204</v>
      </c>
      <c r="H31" s="137" t="s">
        <v>1331</v>
      </c>
      <c r="I31" s="137" t="s">
        <v>4166</v>
      </c>
      <c r="J31" s="139">
        <v>1</v>
      </c>
      <c r="K31" s="140">
        <v>0.180555555555556</v>
      </c>
      <c r="L31" s="137" t="s">
        <v>4073</v>
      </c>
    </row>
    <row r="32" spans="1:12" ht="72" customHeight="1" x14ac:dyDescent="0.2">
      <c r="A32" s="141" t="s">
        <v>1340</v>
      </c>
      <c r="B32" s="141" t="s">
        <v>1341</v>
      </c>
      <c r="C32" s="142" t="s">
        <v>1342</v>
      </c>
      <c r="D32" s="141" t="s">
        <v>230</v>
      </c>
      <c r="E32" s="141" t="s">
        <v>30</v>
      </c>
      <c r="F32" s="141"/>
      <c r="G32" s="141" t="s">
        <v>204</v>
      </c>
      <c r="H32" s="141" t="s">
        <v>1347</v>
      </c>
      <c r="I32" s="141" t="s">
        <v>4167</v>
      </c>
      <c r="J32" s="143">
        <v>1</v>
      </c>
      <c r="K32" s="144">
        <v>0.180555555555556</v>
      </c>
      <c r="L32" s="141" t="s">
        <v>4073</v>
      </c>
    </row>
    <row r="33" spans="1:12" ht="60" customHeight="1" x14ac:dyDescent="0.2">
      <c r="A33" s="137" t="s">
        <v>1442</v>
      </c>
      <c r="B33" s="137" t="s">
        <v>1443</v>
      </c>
      <c r="C33" s="138" t="s">
        <v>1444</v>
      </c>
      <c r="D33" s="137" t="s">
        <v>313</v>
      </c>
      <c r="E33" s="137" t="s">
        <v>30</v>
      </c>
      <c r="F33" s="137" t="s">
        <v>203</v>
      </c>
      <c r="G33" s="137" t="s">
        <v>204</v>
      </c>
      <c r="H33" s="137" t="s">
        <v>1447</v>
      </c>
      <c r="I33" s="137" t="s">
        <v>4168</v>
      </c>
      <c r="J33" s="139">
        <v>1</v>
      </c>
      <c r="K33" s="140">
        <v>0.180555555555556</v>
      </c>
      <c r="L33" s="137" t="s">
        <v>4073</v>
      </c>
    </row>
    <row r="34" spans="1:12" ht="60" customHeight="1" x14ac:dyDescent="0.2">
      <c r="A34" s="141" t="s">
        <v>1483</v>
      </c>
      <c r="B34" s="141" t="s">
        <v>1484</v>
      </c>
      <c r="C34" s="142" t="s">
        <v>1485</v>
      </c>
      <c r="D34" s="141" t="s">
        <v>230</v>
      </c>
      <c r="E34" s="141" t="s">
        <v>30</v>
      </c>
      <c r="F34" s="141" t="s">
        <v>48</v>
      </c>
      <c r="G34" s="141" t="s">
        <v>204</v>
      </c>
      <c r="H34" s="141" t="s">
        <v>1488</v>
      </c>
      <c r="I34" s="141" t="s">
        <v>4169</v>
      </c>
      <c r="J34" s="143">
        <v>1</v>
      </c>
      <c r="K34" s="144">
        <v>0.180555555555556</v>
      </c>
      <c r="L34" s="141"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1"/>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4170</v>
      </c>
      <c r="B1" s="222"/>
      <c r="C1" s="222"/>
      <c r="D1" s="222"/>
      <c r="E1" s="222"/>
      <c r="F1" s="222"/>
      <c r="G1" s="222"/>
      <c r="H1" s="222"/>
      <c r="I1" s="222"/>
      <c r="J1" s="222"/>
    </row>
    <row r="2" spans="1:12" ht="15" customHeight="1" x14ac:dyDescent="0.2">
      <c r="A2" s="223" t="s">
        <v>45</v>
      </c>
      <c r="B2" s="223"/>
      <c r="C2" s="223"/>
      <c r="D2" s="223"/>
      <c r="E2" s="223"/>
      <c r="F2" s="223"/>
      <c r="G2" s="223"/>
      <c r="H2" s="223"/>
      <c r="I2" s="223"/>
      <c r="J2" s="223"/>
    </row>
    <row r="3" spans="1:12" ht="15" customHeight="1" x14ac:dyDescent="0.2">
      <c r="A3" s="224" t="s">
        <v>4171</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3265</v>
      </c>
      <c r="K5" s="132" t="s">
        <v>3274</v>
      </c>
      <c r="L5" s="132" t="s">
        <v>66</v>
      </c>
    </row>
    <row r="6" spans="1:12" ht="60" customHeight="1" x14ac:dyDescent="0.2">
      <c r="A6" s="133" t="s">
        <v>537</v>
      </c>
      <c r="B6" s="133" t="s">
        <v>538</v>
      </c>
      <c r="C6" s="134" t="s">
        <v>539</v>
      </c>
      <c r="D6" s="133" t="s">
        <v>205</v>
      </c>
      <c r="E6" s="133" t="s">
        <v>54</v>
      </c>
      <c r="F6" s="133" t="s">
        <v>540</v>
      </c>
      <c r="G6" s="133" t="s">
        <v>541</v>
      </c>
      <c r="H6" s="133" t="s">
        <v>545</v>
      </c>
      <c r="I6" s="133" t="s">
        <v>4069</v>
      </c>
      <c r="J6" s="135">
        <v>2.5</v>
      </c>
      <c r="K6" s="136">
        <v>0.78125</v>
      </c>
      <c r="L6" s="133" t="s">
        <v>4070</v>
      </c>
    </row>
    <row r="7" spans="1:12" ht="60" customHeight="1" x14ac:dyDescent="0.2">
      <c r="A7" s="137" t="s">
        <v>1139</v>
      </c>
      <c r="B7" s="137" t="s">
        <v>1140</v>
      </c>
      <c r="C7" s="138" t="s">
        <v>1141</v>
      </c>
      <c r="D7" s="137" t="s">
        <v>230</v>
      </c>
      <c r="E7" s="137" t="s">
        <v>36</v>
      </c>
      <c r="F7" s="137"/>
      <c r="G7" s="137" t="s">
        <v>350</v>
      </c>
      <c r="H7" s="137" t="s">
        <v>1145</v>
      </c>
      <c r="I7" s="137" t="s">
        <v>4172</v>
      </c>
      <c r="J7" s="139">
        <v>4</v>
      </c>
      <c r="K7" s="140">
        <v>0.72222222222222199</v>
      </c>
      <c r="L7" s="137" t="s">
        <v>4073</v>
      </c>
    </row>
    <row r="8" spans="1:12" ht="61.5" customHeight="1" x14ac:dyDescent="0.2">
      <c r="A8" s="133" t="s">
        <v>1491</v>
      </c>
      <c r="B8" s="133" t="s">
        <v>1492</v>
      </c>
      <c r="C8" s="134" t="s">
        <v>1493</v>
      </c>
      <c r="D8" s="133" t="s">
        <v>205</v>
      </c>
      <c r="E8" s="133" t="s">
        <v>36</v>
      </c>
      <c r="F8" s="133" t="s">
        <v>39</v>
      </c>
      <c r="G8" s="133" t="s">
        <v>1219</v>
      </c>
      <c r="H8" s="133" t="s">
        <v>1497</v>
      </c>
      <c r="I8" s="133" t="s">
        <v>4173</v>
      </c>
      <c r="J8" s="135">
        <v>4</v>
      </c>
      <c r="K8" s="136">
        <v>0.59027777777777801</v>
      </c>
      <c r="L8" s="133" t="s">
        <v>4073</v>
      </c>
    </row>
    <row r="9" spans="1:12" ht="60" customHeight="1" x14ac:dyDescent="0.2">
      <c r="A9" s="137" t="s">
        <v>1249</v>
      </c>
      <c r="B9" s="137" t="s">
        <v>1250</v>
      </c>
      <c r="C9" s="138" t="s">
        <v>1251</v>
      </c>
      <c r="D9" s="137" t="s">
        <v>230</v>
      </c>
      <c r="E9" s="137" t="s">
        <v>36</v>
      </c>
      <c r="F9" s="137"/>
      <c r="G9" s="137" t="s">
        <v>1252</v>
      </c>
      <c r="H9" s="137" t="s">
        <v>1256</v>
      </c>
      <c r="I9" s="137" t="s">
        <v>4174</v>
      </c>
      <c r="J9" s="139">
        <v>3</v>
      </c>
      <c r="K9" s="140">
        <v>0.54166666666666696</v>
      </c>
      <c r="L9" s="137" t="s">
        <v>4073</v>
      </c>
    </row>
    <row r="10" spans="1:12" ht="60" customHeight="1" x14ac:dyDescent="0.2">
      <c r="A10" s="141" t="s">
        <v>1357</v>
      </c>
      <c r="B10" s="141" t="s">
        <v>1358</v>
      </c>
      <c r="C10" s="142" t="s">
        <v>1359</v>
      </c>
      <c r="D10" s="141" t="s">
        <v>313</v>
      </c>
      <c r="E10" s="141" t="s">
        <v>36</v>
      </c>
      <c r="F10" s="141"/>
      <c r="G10" s="141" t="s">
        <v>1252</v>
      </c>
      <c r="H10" s="141" t="s">
        <v>1363</v>
      </c>
      <c r="I10" s="141" t="s">
        <v>4175</v>
      </c>
      <c r="J10" s="143">
        <v>3</v>
      </c>
      <c r="K10" s="144">
        <v>0.54166666666666696</v>
      </c>
      <c r="L10" s="141" t="s">
        <v>4073</v>
      </c>
    </row>
    <row r="11" spans="1:12" ht="60" customHeight="1" x14ac:dyDescent="0.2">
      <c r="A11" s="137" t="s">
        <v>663</v>
      </c>
      <c r="B11" s="137" t="s">
        <v>664</v>
      </c>
      <c r="C11" s="138" t="s">
        <v>665</v>
      </c>
      <c r="D11" s="137" t="s">
        <v>230</v>
      </c>
      <c r="E11" s="137" t="s">
        <v>39</v>
      </c>
      <c r="F11" s="137" t="s">
        <v>311</v>
      </c>
      <c r="G11" s="137" t="s">
        <v>350</v>
      </c>
      <c r="H11" s="137" t="s">
        <v>668</v>
      </c>
      <c r="I11" s="137" t="s">
        <v>4176</v>
      </c>
      <c r="J11" s="139">
        <v>4</v>
      </c>
      <c r="K11" s="140">
        <v>0.53125</v>
      </c>
      <c r="L11" s="137" t="s">
        <v>4073</v>
      </c>
    </row>
    <row r="12" spans="1:12" ht="60" customHeight="1" x14ac:dyDescent="0.2">
      <c r="A12" s="141" t="s">
        <v>1101</v>
      </c>
      <c r="B12" s="141" t="s">
        <v>1102</v>
      </c>
      <c r="C12" s="142" t="s">
        <v>1103</v>
      </c>
      <c r="D12" s="141" t="s">
        <v>313</v>
      </c>
      <c r="E12" s="141" t="s">
        <v>36</v>
      </c>
      <c r="F12" s="141"/>
      <c r="G12" s="141" t="s">
        <v>350</v>
      </c>
      <c r="H12" s="141" t="s">
        <v>1107</v>
      </c>
      <c r="I12" s="141" t="s">
        <v>4177</v>
      </c>
      <c r="J12" s="143">
        <v>2.5</v>
      </c>
      <c r="K12" s="144">
        <v>0.45138888888888901</v>
      </c>
      <c r="L12" s="141" t="s">
        <v>4073</v>
      </c>
    </row>
    <row r="13" spans="1:12" ht="60" customHeight="1" x14ac:dyDescent="0.2">
      <c r="A13" s="137" t="s">
        <v>912</v>
      </c>
      <c r="B13" s="137" t="s">
        <v>913</v>
      </c>
      <c r="C13" s="138" t="s">
        <v>914</v>
      </c>
      <c r="D13" s="137" t="s">
        <v>313</v>
      </c>
      <c r="E13" s="137" t="s">
        <v>36</v>
      </c>
      <c r="F13" s="137"/>
      <c r="G13" s="137" t="s">
        <v>915</v>
      </c>
      <c r="H13" s="137" t="s">
        <v>918</v>
      </c>
      <c r="I13" s="137" t="s">
        <v>4178</v>
      </c>
      <c r="J13" s="139">
        <v>2</v>
      </c>
      <c r="K13" s="140">
        <v>0.36111111111111099</v>
      </c>
      <c r="L13" s="137" t="s">
        <v>4073</v>
      </c>
    </row>
    <row r="14" spans="1:12" ht="60" customHeight="1" x14ac:dyDescent="0.2">
      <c r="A14" s="141" t="s">
        <v>1400</v>
      </c>
      <c r="B14" s="141" t="s">
        <v>1401</v>
      </c>
      <c r="C14" s="142" t="s">
        <v>1402</v>
      </c>
      <c r="D14" s="141" t="s">
        <v>230</v>
      </c>
      <c r="E14" s="141" t="s">
        <v>36</v>
      </c>
      <c r="F14" s="141"/>
      <c r="G14" s="141" t="s">
        <v>1252</v>
      </c>
      <c r="H14" s="141" t="s">
        <v>1406</v>
      </c>
      <c r="I14" s="141" t="s">
        <v>4179</v>
      </c>
      <c r="J14" s="143">
        <v>2</v>
      </c>
      <c r="K14" s="144">
        <v>0.36111111111111099</v>
      </c>
      <c r="L14" s="141" t="s">
        <v>4073</v>
      </c>
    </row>
    <row r="15" spans="1:12" ht="66" customHeight="1" x14ac:dyDescent="0.2">
      <c r="A15" s="133" t="s">
        <v>920</v>
      </c>
      <c r="B15" s="133" t="s">
        <v>921</v>
      </c>
      <c r="C15" s="134" t="s">
        <v>922</v>
      </c>
      <c r="D15" s="133" t="s">
        <v>205</v>
      </c>
      <c r="E15" s="133" t="s">
        <v>51</v>
      </c>
      <c r="F15" s="133" t="s">
        <v>923</v>
      </c>
      <c r="G15" s="133" t="s">
        <v>924</v>
      </c>
      <c r="H15" s="133" t="s">
        <v>928</v>
      </c>
      <c r="I15" s="133" t="s">
        <v>4180</v>
      </c>
      <c r="J15" s="135">
        <v>2</v>
      </c>
      <c r="K15" s="136">
        <v>0.35416666666666702</v>
      </c>
      <c r="L15" s="133" t="s">
        <v>4073</v>
      </c>
    </row>
    <row r="16" spans="1:12" ht="60" customHeight="1" x14ac:dyDescent="0.2">
      <c r="A16" s="141" t="s">
        <v>1084</v>
      </c>
      <c r="B16" s="141" t="s">
        <v>1085</v>
      </c>
      <c r="C16" s="142" t="s">
        <v>1086</v>
      </c>
      <c r="D16" s="141" t="s">
        <v>230</v>
      </c>
      <c r="E16" s="141" t="s">
        <v>54</v>
      </c>
      <c r="F16" s="141" t="s">
        <v>972</v>
      </c>
      <c r="G16" s="141" t="s">
        <v>1087</v>
      </c>
      <c r="H16" s="141" t="s">
        <v>1091</v>
      </c>
      <c r="I16" s="141" t="s">
        <v>4181</v>
      </c>
      <c r="J16" s="143">
        <v>1.5</v>
      </c>
      <c r="K16" s="144">
        <v>0.29513888888888901</v>
      </c>
      <c r="L16" s="141" t="s">
        <v>4073</v>
      </c>
    </row>
    <row r="17" spans="1:12" ht="60" customHeight="1" x14ac:dyDescent="0.2">
      <c r="A17" s="137" t="s">
        <v>1349</v>
      </c>
      <c r="B17" s="137" t="s">
        <v>1350</v>
      </c>
      <c r="C17" s="138" t="s">
        <v>1351</v>
      </c>
      <c r="D17" s="137" t="s">
        <v>230</v>
      </c>
      <c r="E17" s="137" t="s">
        <v>36</v>
      </c>
      <c r="F17" s="137"/>
      <c r="G17" s="137" t="s">
        <v>1252</v>
      </c>
      <c r="H17" s="137" t="s">
        <v>1355</v>
      </c>
      <c r="I17" s="137" t="s">
        <v>4182</v>
      </c>
      <c r="J17" s="139">
        <v>1.5</v>
      </c>
      <c r="K17" s="140">
        <v>0.27083333333333298</v>
      </c>
      <c r="L17" s="137" t="s">
        <v>4073</v>
      </c>
    </row>
    <row r="18" spans="1:12" ht="60" customHeight="1" x14ac:dyDescent="0.2">
      <c r="A18" s="133" t="s">
        <v>1391</v>
      </c>
      <c r="B18" s="133" t="s">
        <v>1392</v>
      </c>
      <c r="C18" s="134" t="s">
        <v>1393</v>
      </c>
      <c r="D18" s="133" t="s">
        <v>205</v>
      </c>
      <c r="E18" s="133" t="s">
        <v>36</v>
      </c>
      <c r="F18" s="133"/>
      <c r="G18" s="133" t="s">
        <v>1252</v>
      </c>
      <c r="H18" s="133" t="s">
        <v>1397</v>
      </c>
      <c r="I18" s="133" t="s">
        <v>4183</v>
      </c>
      <c r="J18" s="135">
        <v>1.5</v>
      </c>
      <c r="K18" s="136">
        <v>0.27083333333333298</v>
      </c>
      <c r="L18" s="133" t="s">
        <v>4073</v>
      </c>
    </row>
    <row r="19" spans="1:12" ht="60" customHeight="1" x14ac:dyDescent="0.2">
      <c r="A19" s="133" t="s">
        <v>1206</v>
      </c>
      <c r="B19" s="133" t="s">
        <v>1207</v>
      </c>
      <c r="C19" s="134" t="s">
        <v>1208</v>
      </c>
      <c r="D19" s="133" t="s">
        <v>205</v>
      </c>
      <c r="E19" s="133" t="s">
        <v>36</v>
      </c>
      <c r="F19" s="133"/>
      <c r="G19" s="133" t="s">
        <v>350</v>
      </c>
      <c r="H19" s="133" t="s">
        <v>1212</v>
      </c>
      <c r="I19" s="133" t="s">
        <v>4184</v>
      </c>
      <c r="J19" s="135">
        <v>1</v>
      </c>
      <c r="K19" s="136">
        <v>0.180555555555556</v>
      </c>
      <c r="L19" s="133" t="s">
        <v>4073</v>
      </c>
    </row>
    <row r="20" spans="1:12" ht="60" customHeight="1" x14ac:dyDescent="0.2">
      <c r="A20" s="133" t="s">
        <v>1216</v>
      </c>
      <c r="B20" s="133" t="s">
        <v>1217</v>
      </c>
      <c r="C20" s="134" t="s">
        <v>1218</v>
      </c>
      <c r="D20" s="133" t="s">
        <v>205</v>
      </c>
      <c r="E20" s="133" t="s">
        <v>36</v>
      </c>
      <c r="F20" s="133"/>
      <c r="G20" s="133" t="s">
        <v>1219</v>
      </c>
      <c r="H20" s="133" t="s">
        <v>1222</v>
      </c>
      <c r="I20" s="133" t="s">
        <v>4185</v>
      </c>
      <c r="J20" s="135">
        <v>1</v>
      </c>
      <c r="K20" s="136">
        <v>0.180555555555556</v>
      </c>
      <c r="L20" s="133" t="s">
        <v>4073</v>
      </c>
    </row>
    <row r="21" spans="1:12" ht="75" customHeight="1" x14ac:dyDescent="0.2">
      <c r="A21" s="137" t="s">
        <v>1365</v>
      </c>
      <c r="B21" s="137" t="s">
        <v>1366</v>
      </c>
      <c r="C21" s="138" t="s">
        <v>1367</v>
      </c>
      <c r="D21" s="137" t="s">
        <v>230</v>
      </c>
      <c r="E21" s="137" t="s">
        <v>36</v>
      </c>
      <c r="F21" s="137"/>
      <c r="G21" s="137" t="s">
        <v>1219</v>
      </c>
      <c r="H21" s="137" t="s">
        <v>1370</v>
      </c>
      <c r="I21" s="137" t="s">
        <v>4186</v>
      </c>
      <c r="J21" s="139">
        <v>1</v>
      </c>
      <c r="K21" s="140">
        <v>0.180555555555556</v>
      </c>
      <c r="L21" s="137"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9"/>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4187</v>
      </c>
      <c r="B1" s="222"/>
      <c r="C1" s="222"/>
      <c r="D1" s="222"/>
      <c r="E1" s="222"/>
      <c r="F1" s="222"/>
      <c r="G1" s="222"/>
      <c r="H1" s="222"/>
      <c r="I1" s="222"/>
      <c r="J1" s="222"/>
    </row>
    <row r="2" spans="1:12" ht="15" customHeight="1" x14ac:dyDescent="0.2">
      <c r="A2" s="223" t="s">
        <v>46</v>
      </c>
      <c r="B2" s="223"/>
      <c r="C2" s="223"/>
      <c r="D2" s="223"/>
      <c r="E2" s="223"/>
      <c r="F2" s="223"/>
      <c r="G2" s="223"/>
      <c r="H2" s="223"/>
      <c r="I2" s="223"/>
      <c r="J2" s="223"/>
    </row>
    <row r="3" spans="1:12" ht="15" customHeight="1" x14ac:dyDescent="0.2">
      <c r="A3" s="224" t="s">
        <v>4188</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3266</v>
      </c>
      <c r="K5" s="132" t="s">
        <v>3274</v>
      </c>
      <c r="L5" s="132" t="s">
        <v>66</v>
      </c>
    </row>
    <row r="6" spans="1:12" ht="60" customHeight="1" x14ac:dyDescent="0.2">
      <c r="A6" s="133" t="s">
        <v>537</v>
      </c>
      <c r="B6" s="133" t="s">
        <v>538</v>
      </c>
      <c r="C6" s="134" t="s">
        <v>539</v>
      </c>
      <c r="D6" s="133" t="s">
        <v>205</v>
      </c>
      <c r="E6" s="133" t="s">
        <v>54</v>
      </c>
      <c r="F6" s="133" t="s">
        <v>540</v>
      </c>
      <c r="G6" s="133" t="s">
        <v>541</v>
      </c>
      <c r="H6" s="133" t="s">
        <v>545</v>
      </c>
      <c r="I6" s="133" t="s">
        <v>4069</v>
      </c>
      <c r="J6" s="135">
        <v>2.5</v>
      </c>
      <c r="K6" s="136">
        <v>0.78125</v>
      </c>
      <c r="L6" s="133" t="s">
        <v>4070</v>
      </c>
    </row>
    <row r="7" spans="1:12" ht="72" customHeight="1" x14ac:dyDescent="0.2">
      <c r="A7" s="133" t="s">
        <v>622</v>
      </c>
      <c r="B7" s="133" t="s">
        <v>623</v>
      </c>
      <c r="C7" s="134" t="s">
        <v>624</v>
      </c>
      <c r="D7" s="133" t="s">
        <v>205</v>
      </c>
      <c r="E7" s="133" t="s">
        <v>54</v>
      </c>
      <c r="F7" s="133" t="s">
        <v>474</v>
      </c>
      <c r="G7" s="133" t="s">
        <v>380</v>
      </c>
      <c r="H7" s="133" t="s">
        <v>628</v>
      </c>
      <c r="I7" s="133" t="s">
        <v>4071</v>
      </c>
      <c r="J7" s="135">
        <v>3</v>
      </c>
      <c r="K7" s="136">
        <v>0.78125</v>
      </c>
      <c r="L7" s="133" t="s">
        <v>4070</v>
      </c>
    </row>
    <row r="8" spans="1:12" ht="60" customHeight="1" x14ac:dyDescent="0.2">
      <c r="A8" s="133" t="s">
        <v>400</v>
      </c>
      <c r="B8" s="133" t="s">
        <v>401</v>
      </c>
      <c r="C8" s="134" t="s">
        <v>402</v>
      </c>
      <c r="D8" s="133" t="s">
        <v>205</v>
      </c>
      <c r="E8" s="133" t="s">
        <v>39</v>
      </c>
      <c r="F8" s="133" t="s">
        <v>403</v>
      </c>
      <c r="G8" s="133" t="s">
        <v>404</v>
      </c>
      <c r="H8" s="133" t="s">
        <v>409</v>
      </c>
      <c r="I8" s="133" t="s">
        <v>4189</v>
      </c>
      <c r="J8" s="135">
        <v>3</v>
      </c>
      <c r="K8" s="136">
        <v>0.72916666666666696</v>
      </c>
      <c r="L8" s="133" t="s">
        <v>4070</v>
      </c>
    </row>
    <row r="9" spans="1:12" ht="67.5" customHeight="1" x14ac:dyDescent="0.2">
      <c r="A9" s="133" t="s">
        <v>751</v>
      </c>
      <c r="B9" s="133" t="s">
        <v>752</v>
      </c>
      <c r="C9" s="134" t="s">
        <v>753</v>
      </c>
      <c r="D9" s="133" t="s">
        <v>205</v>
      </c>
      <c r="E9" s="133" t="s">
        <v>54</v>
      </c>
      <c r="F9" s="133" t="s">
        <v>754</v>
      </c>
      <c r="G9" s="133" t="s">
        <v>595</v>
      </c>
      <c r="H9" s="133" t="s">
        <v>757</v>
      </c>
      <c r="I9" s="133" t="s">
        <v>4075</v>
      </c>
      <c r="J9" s="135">
        <v>3</v>
      </c>
      <c r="K9" s="136">
        <v>0.65104166666666696</v>
      </c>
      <c r="L9" s="133" t="s">
        <v>4070</v>
      </c>
    </row>
    <row r="10" spans="1:12" ht="60" customHeight="1" x14ac:dyDescent="0.2">
      <c r="A10" s="141" t="s">
        <v>862</v>
      </c>
      <c r="B10" s="141" t="s">
        <v>863</v>
      </c>
      <c r="C10" s="142" t="s">
        <v>864</v>
      </c>
      <c r="D10" s="141" t="s">
        <v>313</v>
      </c>
      <c r="E10" s="141" t="s">
        <v>39</v>
      </c>
      <c r="F10" s="141" t="s">
        <v>784</v>
      </c>
      <c r="G10" s="141" t="s">
        <v>268</v>
      </c>
      <c r="H10" s="141" t="s">
        <v>868</v>
      </c>
      <c r="I10" s="141" t="s">
        <v>4079</v>
      </c>
      <c r="J10" s="143">
        <v>2</v>
      </c>
      <c r="K10" s="144">
        <v>0.59027777777777801</v>
      </c>
      <c r="L10" s="141" t="s">
        <v>4073</v>
      </c>
    </row>
    <row r="11" spans="1:12" ht="72" customHeight="1" x14ac:dyDescent="0.2">
      <c r="A11" s="137" t="s">
        <v>979</v>
      </c>
      <c r="B11" s="137" t="s">
        <v>980</v>
      </c>
      <c r="C11" s="138" t="s">
        <v>981</v>
      </c>
      <c r="D11" s="137" t="s">
        <v>230</v>
      </c>
      <c r="E11" s="137" t="s">
        <v>24</v>
      </c>
      <c r="F11" s="137" t="s">
        <v>982</v>
      </c>
      <c r="G11" s="137" t="s">
        <v>475</v>
      </c>
      <c r="H11" s="137" t="s">
        <v>987</v>
      </c>
      <c r="I11" s="137" t="s">
        <v>4080</v>
      </c>
      <c r="J11" s="139">
        <v>2</v>
      </c>
      <c r="K11" s="140">
        <v>0.59027777777777801</v>
      </c>
      <c r="L11" s="137" t="s">
        <v>4073</v>
      </c>
    </row>
    <row r="12" spans="1:12" ht="61.5" customHeight="1" x14ac:dyDescent="0.2">
      <c r="A12" s="133" t="s">
        <v>1491</v>
      </c>
      <c r="B12" s="133" t="s">
        <v>1492</v>
      </c>
      <c r="C12" s="134" t="s">
        <v>1493</v>
      </c>
      <c r="D12" s="133" t="s">
        <v>205</v>
      </c>
      <c r="E12" s="133" t="s">
        <v>36</v>
      </c>
      <c r="F12" s="133" t="s">
        <v>39</v>
      </c>
      <c r="G12" s="133" t="s">
        <v>1219</v>
      </c>
      <c r="H12" s="133" t="s">
        <v>1497</v>
      </c>
      <c r="I12" s="133" t="s">
        <v>4173</v>
      </c>
      <c r="J12" s="135">
        <v>1</v>
      </c>
      <c r="K12" s="136">
        <v>0.59027777777777801</v>
      </c>
      <c r="L12" s="133" t="s">
        <v>4073</v>
      </c>
    </row>
    <row r="13" spans="1:12" ht="75" customHeight="1" x14ac:dyDescent="0.2">
      <c r="A13" s="137" t="s">
        <v>811</v>
      </c>
      <c r="B13" s="137" t="s">
        <v>812</v>
      </c>
      <c r="C13" s="138" t="s">
        <v>813</v>
      </c>
      <c r="D13" s="137" t="s">
        <v>230</v>
      </c>
      <c r="E13" s="137" t="s">
        <v>54</v>
      </c>
      <c r="F13" s="137" t="s">
        <v>814</v>
      </c>
      <c r="G13" s="137" t="s">
        <v>380</v>
      </c>
      <c r="H13" s="137" t="s">
        <v>817</v>
      </c>
      <c r="I13" s="137" t="s">
        <v>4083</v>
      </c>
      <c r="J13" s="139">
        <v>0.5</v>
      </c>
      <c r="K13" s="140">
        <v>0.56423611111111105</v>
      </c>
      <c r="L13" s="137" t="s">
        <v>4070</v>
      </c>
    </row>
    <row r="14" spans="1:12" ht="84.75" customHeight="1" x14ac:dyDescent="0.2">
      <c r="A14" s="141" t="s">
        <v>1531</v>
      </c>
      <c r="B14" s="141" t="s">
        <v>1532</v>
      </c>
      <c r="C14" s="142" t="s">
        <v>1533</v>
      </c>
      <c r="D14" s="141" t="s">
        <v>230</v>
      </c>
      <c r="E14" s="141" t="s">
        <v>24</v>
      </c>
      <c r="F14" s="141" t="s">
        <v>1534</v>
      </c>
      <c r="G14" s="141" t="s">
        <v>475</v>
      </c>
      <c r="H14" s="141" t="s">
        <v>1541</v>
      </c>
      <c r="I14" s="141" t="s">
        <v>4084</v>
      </c>
      <c r="J14" s="143">
        <v>0.5</v>
      </c>
      <c r="K14" s="144">
        <v>0.56423611111111105</v>
      </c>
      <c r="L14" s="141" t="s">
        <v>4070</v>
      </c>
    </row>
    <row r="15" spans="1:12" ht="60" customHeight="1" x14ac:dyDescent="0.2">
      <c r="A15" s="137" t="s">
        <v>1073</v>
      </c>
      <c r="B15" s="137" t="s">
        <v>1074</v>
      </c>
      <c r="C15" s="138" t="s">
        <v>1075</v>
      </c>
      <c r="D15" s="137" t="s">
        <v>230</v>
      </c>
      <c r="E15" s="137" t="s">
        <v>39</v>
      </c>
      <c r="F15" s="137" t="s">
        <v>229</v>
      </c>
      <c r="G15" s="137" t="s">
        <v>268</v>
      </c>
      <c r="H15" s="137" t="s">
        <v>1079</v>
      </c>
      <c r="I15" s="137" t="s">
        <v>4087</v>
      </c>
      <c r="J15" s="139">
        <v>2</v>
      </c>
      <c r="K15" s="140">
        <v>0.53472222222222199</v>
      </c>
      <c r="L15" s="137" t="s">
        <v>4073</v>
      </c>
    </row>
    <row r="16" spans="1:12" ht="60" customHeight="1" x14ac:dyDescent="0.2">
      <c r="A16" s="141" t="s">
        <v>663</v>
      </c>
      <c r="B16" s="141" t="s">
        <v>664</v>
      </c>
      <c r="C16" s="142" t="s">
        <v>665</v>
      </c>
      <c r="D16" s="141" t="s">
        <v>230</v>
      </c>
      <c r="E16" s="141" t="s">
        <v>39</v>
      </c>
      <c r="F16" s="141" t="s">
        <v>311</v>
      </c>
      <c r="G16" s="141" t="s">
        <v>350</v>
      </c>
      <c r="H16" s="141" t="s">
        <v>668</v>
      </c>
      <c r="I16" s="141" t="s">
        <v>4176</v>
      </c>
      <c r="J16" s="143">
        <v>0.5</v>
      </c>
      <c r="K16" s="144">
        <v>0.53125</v>
      </c>
      <c r="L16" s="141" t="s">
        <v>4073</v>
      </c>
    </row>
    <row r="17" spans="1:12" ht="64.5" customHeight="1" x14ac:dyDescent="0.2">
      <c r="A17" s="137" t="s">
        <v>688</v>
      </c>
      <c r="B17" s="137" t="s">
        <v>689</v>
      </c>
      <c r="C17" s="138" t="s">
        <v>690</v>
      </c>
      <c r="D17" s="137" t="s">
        <v>230</v>
      </c>
      <c r="E17" s="137" t="s">
        <v>24</v>
      </c>
      <c r="F17" s="137" t="s">
        <v>691</v>
      </c>
      <c r="G17" s="137" t="s">
        <v>475</v>
      </c>
      <c r="H17" s="137" t="s">
        <v>694</v>
      </c>
      <c r="I17" s="137" t="s">
        <v>4088</v>
      </c>
      <c r="J17" s="139">
        <v>1.5</v>
      </c>
      <c r="K17" s="140">
        <v>0.53125</v>
      </c>
      <c r="L17" s="137" t="s">
        <v>4073</v>
      </c>
    </row>
    <row r="18" spans="1:12" ht="75.75" customHeight="1" x14ac:dyDescent="0.2">
      <c r="A18" s="141" t="s">
        <v>264</v>
      </c>
      <c r="B18" s="141" t="s">
        <v>265</v>
      </c>
      <c r="C18" s="142" t="s">
        <v>266</v>
      </c>
      <c r="D18" s="141" t="s">
        <v>230</v>
      </c>
      <c r="E18" s="141" t="s">
        <v>39</v>
      </c>
      <c r="F18" s="141" t="s">
        <v>267</v>
      </c>
      <c r="G18" s="141" t="s">
        <v>268</v>
      </c>
      <c r="H18" s="141" t="s">
        <v>274</v>
      </c>
      <c r="I18" s="141" t="s">
        <v>4089</v>
      </c>
      <c r="J18" s="143">
        <v>1</v>
      </c>
      <c r="K18" s="144">
        <v>0.48611111111111099</v>
      </c>
      <c r="L18" s="141" t="s">
        <v>4070</v>
      </c>
    </row>
    <row r="19" spans="1:12" ht="60" customHeight="1" x14ac:dyDescent="0.2">
      <c r="A19" s="137" t="s">
        <v>832</v>
      </c>
      <c r="B19" s="137" t="s">
        <v>833</v>
      </c>
      <c r="C19" s="138" t="s">
        <v>834</v>
      </c>
      <c r="D19" s="137" t="s">
        <v>230</v>
      </c>
      <c r="E19" s="137" t="s">
        <v>39</v>
      </c>
      <c r="F19" s="137" t="s">
        <v>229</v>
      </c>
      <c r="G19" s="137" t="s">
        <v>268</v>
      </c>
      <c r="H19" s="137" t="s">
        <v>838</v>
      </c>
      <c r="I19" s="137" t="s">
        <v>4091</v>
      </c>
      <c r="J19" s="139">
        <v>1.5</v>
      </c>
      <c r="K19" s="140">
        <v>0.48611111111111099</v>
      </c>
      <c r="L19" s="137" t="s">
        <v>4073</v>
      </c>
    </row>
    <row r="20" spans="1:12" ht="78" customHeight="1" x14ac:dyDescent="0.2">
      <c r="A20" s="133" t="s">
        <v>471</v>
      </c>
      <c r="B20" s="133" t="s">
        <v>472</v>
      </c>
      <c r="C20" s="134" t="s">
        <v>473</v>
      </c>
      <c r="D20" s="133" t="s">
        <v>205</v>
      </c>
      <c r="E20" s="133" t="s">
        <v>24</v>
      </c>
      <c r="F20" s="133" t="s">
        <v>474</v>
      </c>
      <c r="G20" s="133" t="s">
        <v>475</v>
      </c>
      <c r="H20" s="133" t="s">
        <v>480</v>
      </c>
      <c r="I20" s="133" t="s">
        <v>4094</v>
      </c>
      <c r="J20" s="135">
        <v>1</v>
      </c>
      <c r="K20" s="136">
        <v>0.47222222222222199</v>
      </c>
      <c r="L20" s="133" t="s">
        <v>4073</v>
      </c>
    </row>
    <row r="21" spans="1:12" ht="76.5" customHeight="1" x14ac:dyDescent="0.2">
      <c r="A21" s="137" t="s">
        <v>1464</v>
      </c>
      <c r="B21" s="137" t="s">
        <v>1465</v>
      </c>
      <c r="C21" s="138" t="s">
        <v>1466</v>
      </c>
      <c r="D21" s="137" t="s">
        <v>230</v>
      </c>
      <c r="E21" s="137" t="s">
        <v>24</v>
      </c>
      <c r="F21" s="137" t="s">
        <v>39</v>
      </c>
      <c r="G21" s="137" t="s">
        <v>475</v>
      </c>
      <c r="H21" s="137" t="s">
        <v>1470</v>
      </c>
      <c r="I21" s="137" t="s">
        <v>4101</v>
      </c>
      <c r="J21" s="139">
        <v>1</v>
      </c>
      <c r="K21" s="140">
        <v>0.47222222222222199</v>
      </c>
      <c r="L21" s="137" t="s">
        <v>4073</v>
      </c>
    </row>
    <row r="22" spans="1:12" ht="69.75" customHeight="1" x14ac:dyDescent="0.2">
      <c r="A22" s="141" t="s">
        <v>1519</v>
      </c>
      <c r="B22" s="141" t="s">
        <v>1520</v>
      </c>
      <c r="C22" s="142" t="s">
        <v>1521</v>
      </c>
      <c r="D22" s="141" t="s">
        <v>230</v>
      </c>
      <c r="E22" s="141" t="s">
        <v>48</v>
      </c>
      <c r="F22" s="141" t="s">
        <v>1522</v>
      </c>
      <c r="G22" s="141" t="s">
        <v>561</v>
      </c>
      <c r="H22" s="141" t="s">
        <v>1527</v>
      </c>
      <c r="I22" s="141" t="s">
        <v>4190</v>
      </c>
      <c r="J22" s="143">
        <v>1</v>
      </c>
      <c r="K22" s="144">
        <v>0.41319444444444398</v>
      </c>
      <c r="L22" s="141" t="s">
        <v>4073</v>
      </c>
    </row>
    <row r="23" spans="1:12" ht="76.5" customHeight="1" x14ac:dyDescent="0.2">
      <c r="A23" s="133" t="s">
        <v>462</v>
      </c>
      <c r="B23" s="133" t="s">
        <v>463</v>
      </c>
      <c r="C23" s="134" t="s">
        <v>464</v>
      </c>
      <c r="D23" s="133" t="s">
        <v>205</v>
      </c>
      <c r="E23" s="133" t="s">
        <v>24</v>
      </c>
      <c r="F23" s="133" t="s">
        <v>465</v>
      </c>
      <c r="G23" s="133" t="s">
        <v>466</v>
      </c>
      <c r="H23" s="133" t="s">
        <v>470</v>
      </c>
      <c r="I23" s="133" t="s">
        <v>4115</v>
      </c>
      <c r="J23" s="135">
        <v>1</v>
      </c>
      <c r="K23" s="136">
        <v>0.29166666666666702</v>
      </c>
      <c r="L23" s="133" t="s">
        <v>4070</v>
      </c>
    </row>
    <row r="24" spans="1:12" ht="76.5" customHeight="1" x14ac:dyDescent="0.2">
      <c r="A24" s="133" t="s">
        <v>894</v>
      </c>
      <c r="B24" s="133" t="s">
        <v>895</v>
      </c>
      <c r="C24" s="134" t="s">
        <v>896</v>
      </c>
      <c r="D24" s="133" t="s">
        <v>205</v>
      </c>
      <c r="E24" s="133" t="s">
        <v>24</v>
      </c>
      <c r="F24" s="133" t="s">
        <v>465</v>
      </c>
      <c r="G24" s="133" t="s">
        <v>466</v>
      </c>
      <c r="H24" s="133" t="s">
        <v>900</v>
      </c>
      <c r="I24" s="133" t="s">
        <v>4116</v>
      </c>
      <c r="J24" s="135">
        <v>1</v>
      </c>
      <c r="K24" s="136">
        <v>0.29166666666666702</v>
      </c>
      <c r="L24" s="133" t="s">
        <v>4070</v>
      </c>
    </row>
    <row r="25" spans="1:12" ht="60" customHeight="1" x14ac:dyDescent="0.2">
      <c r="A25" s="137" t="s">
        <v>528</v>
      </c>
      <c r="B25" s="137" t="s">
        <v>529</v>
      </c>
      <c r="C25" s="138" t="s">
        <v>530</v>
      </c>
      <c r="D25" s="137" t="s">
        <v>230</v>
      </c>
      <c r="E25" s="137" t="s">
        <v>39</v>
      </c>
      <c r="F25" s="137" t="s">
        <v>302</v>
      </c>
      <c r="G25" s="137" t="s">
        <v>350</v>
      </c>
      <c r="H25" s="137" t="s">
        <v>534</v>
      </c>
      <c r="I25" s="137" t="s">
        <v>4191</v>
      </c>
      <c r="J25" s="139">
        <v>1</v>
      </c>
      <c r="K25" s="140">
        <v>0.17708333333333301</v>
      </c>
      <c r="L25" s="137" t="s">
        <v>4073</v>
      </c>
    </row>
    <row r="26" spans="1:12" ht="60" customHeight="1" x14ac:dyDescent="0.2">
      <c r="A26" s="141" t="s">
        <v>760</v>
      </c>
      <c r="B26" s="141" t="s">
        <v>761</v>
      </c>
      <c r="C26" s="142" t="s">
        <v>762</v>
      </c>
      <c r="D26" s="141" t="s">
        <v>230</v>
      </c>
      <c r="E26" s="141" t="s">
        <v>39</v>
      </c>
      <c r="F26" s="141" t="s">
        <v>763</v>
      </c>
      <c r="G26" s="141" t="s">
        <v>404</v>
      </c>
      <c r="H26" s="141" t="s">
        <v>767</v>
      </c>
      <c r="I26" s="141" t="s">
        <v>4192</v>
      </c>
      <c r="J26" s="143">
        <v>0.5</v>
      </c>
      <c r="K26" s="144">
        <v>0.118055555555556</v>
      </c>
      <c r="L26" s="141" t="s">
        <v>4193</v>
      </c>
    </row>
    <row r="27" spans="1:12" ht="60" customHeight="1" x14ac:dyDescent="0.2">
      <c r="A27" s="137" t="s">
        <v>930</v>
      </c>
      <c r="B27" s="137" t="s">
        <v>931</v>
      </c>
      <c r="C27" s="138" t="s">
        <v>932</v>
      </c>
      <c r="D27" s="137" t="s">
        <v>313</v>
      </c>
      <c r="E27" s="137" t="s">
        <v>39</v>
      </c>
      <c r="F27" s="137" t="s">
        <v>42</v>
      </c>
      <c r="G27" s="137" t="s">
        <v>350</v>
      </c>
      <c r="H27" s="137" t="s">
        <v>935</v>
      </c>
      <c r="I27" s="137" t="s">
        <v>4194</v>
      </c>
      <c r="J27" s="139">
        <v>0.5</v>
      </c>
      <c r="K27" s="140">
        <v>0.118055555555556</v>
      </c>
      <c r="L27" s="137" t="s">
        <v>4193</v>
      </c>
    </row>
    <row r="28" spans="1:12" ht="60" customHeight="1" x14ac:dyDescent="0.2">
      <c r="A28" s="141" t="s">
        <v>1259</v>
      </c>
      <c r="B28" s="141" t="s">
        <v>1260</v>
      </c>
      <c r="C28" s="142" t="s">
        <v>1261</v>
      </c>
      <c r="D28" s="141" t="s">
        <v>313</v>
      </c>
      <c r="E28" s="141" t="s">
        <v>39</v>
      </c>
      <c r="F28" s="141" t="s">
        <v>42</v>
      </c>
      <c r="G28" s="141" t="s">
        <v>268</v>
      </c>
      <c r="H28" s="141" t="s">
        <v>1264</v>
      </c>
      <c r="I28" s="141" t="s">
        <v>4195</v>
      </c>
      <c r="J28" s="143">
        <v>0.5</v>
      </c>
      <c r="K28" s="144">
        <v>0.118055555555556</v>
      </c>
      <c r="L28" s="141" t="s">
        <v>4193</v>
      </c>
    </row>
    <row r="29" spans="1:12" ht="60" customHeight="1" x14ac:dyDescent="0.2">
      <c r="A29" s="137" t="s">
        <v>581</v>
      </c>
      <c r="B29" s="137" t="s">
        <v>582</v>
      </c>
      <c r="C29" s="138" t="s">
        <v>583</v>
      </c>
      <c r="D29" s="137" t="s">
        <v>230</v>
      </c>
      <c r="E29" s="137" t="s">
        <v>39</v>
      </c>
      <c r="F29" s="137" t="s">
        <v>584</v>
      </c>
      <c r="G29" s="137" t="s">
        <v>404</v>
      </c>
      <c r="H29" s="137" t="s">
        <v>589</v>
      </c>
      <c r="I29" s="137" t="s">
        <v>4196</v>
      </c>
      <c r="J29" s="139">
        <v>0.5</v>
      </c>
      <c r="K29" s="140">
        <v>9.0277777777777804E-2</v>
      </c>
      <c r="L29" s="137" t="s">
        <v>4193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4"/>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4197</v>
      </c>
      <c r="B1" s="222"/>
      <c r="C1" s="222"/>
      <c r="D1" s="222"/>
      <c r="E1" s="222"/>
      <c r="F1" s="222"/>
      <c r="G1" s="222"/>
      <c r="H1" s="222"/>
      <c r="I1" s="222"/>
      <c r="J1" s="222"/>
    </row>
    <row r="2" spans="1:12" ht="15" customHeight="1" x14ac:dyDescent="0.2">
      <c r="A2" s="223" t="s">
        <v>47</v>
      </c>
      <c r="B2" s="223"/>
      <c r="C2" s="223"/>
      <c r="D2" s="223"/>
      <c r="E2" s="223"/>
      <c r="F2" s="223"/>
      <c r="G2" s="223"/>
      <c r="H2" s="223"/>
      <c r="I2" s="223"/>
      <c r="J2" s="223"/>
    </row>
    <row r="3" spans="1:12" ht="15" customHeight="1" x14ac:dyDescent="0.2">
      <c r="A3" s="224" t="s">
        <v>4198</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3267</v>
      </c>
      <c r="K5" s="132" t="s">
        <v>3274</v>
      </c>
      <c r="L5" s="132" t="s">
        <v>66</v>
      </c>
    </row>
    <row r="6" spans="1:12" ht="60" customHeight="1" x14ac:dyDescent="0.2">
      <c r="A6" s="133" t="s">
        <v>400</v>
      </c>
      <c r="B6" s="133" t="s">
        <v>401</v>
      </c>
      <c r="C6" s="134" t="s">
        <v>402</v>
      </c>
      <c r="D6" s="133" t="s">
        <v>205</v>
      </c>
      <c r="E6" s="133" t="s">
        <v>39</v>
      </c>
      <c r="F6" s="133" t="s">
        <v>403</v>
      </c>
      <c r="G6" s="133" t="s">
        <v>404</v>
      </c>
      <c r="H6" s="133" t="s">
        <v>409</v>
      </c>
      <c r="I6" s="133" t="s">
        <v>4189</v>
      </c>
      <c r="J6" s="135">
        <v>2</v>
      </c>
      <c r="K6" s="136">
        <v>0.72916666666666696</v>
      </c>
      <c r="L6" s="133" t="s">
        <v>4070</v>
      </c>
    </row>
    <row r="7" spans="1:12" ht="84.75" customHeight="1" x14ac:dyDescent="0.2">
      <c r="A7" s="137" t="s">
        <v>1531</v>
      </c>
      <c r="B7" s="137" t="s">
        <v>1532</v>
      </c>
      <c r="C7" s="138" t="s">
        <v>1533</v>
      </c>
      <c r="D7" s="137" t="s">
        <v>230</v>
      </c>
      <c r="E7" s="137" t="s">
        <v>24</v>
      </c>
      <c r="F7" s="137" t="s">
        <v>1534</v>
      </c>
      <c r="G7" s="137" t="s">
        <v>475</v>
      </c>
      <c r="H7" s="137" t="s">
        <v>1541</v>
      </c>
      <c r="I7" s="137" t="s">
        <v>4084</v>
      </c>
      <c r="J7" s="139">
        <v>1</v>
      </c>
      <c r="K7" s="140">
        <v>0.56423611111111105</v>
      </c>
      <c r="L7" s="137" t="s">
        <v>4070</v>
      </c>
    </row>
    <row r="8" spans="1:12" ht="75.75" customHeight="1" x14ac:dyDescent="0.2">
      <c r="A8" s="141" t="s">
        <v>264</v>
      </c>
      <c r="B8" s="141" t="s">
        <v>265</v>
      </c>
      <c r="C8" s="142" t="s">
        <v>266</v>
      </c>
      <c r="D8" s="141" t="s">
        <v>230</v>
      </c>
      <c r="E8" s="141" t="s">
        <v>39</v>
      </c>
      <c r="F8" s="141" t="s">
        <v>267</v>
      </c>
      <c r="G8" s="141" t="s">
        <v>268</v>
      </c>
      <c r="H8" s="141" t="s">
        <v>274</v>
      </c>
      <c r="I8" s="141" t="s">
        <v>4089</v>
      </c>
      <c r="J8" s="143">
        <v>1</v>
      </c>
      <c r="K8" s="144">
        <v>0.48611111111111099</v>
      </c>
      <c r="L8" s="141" t="s">
        <v>4070</v>
      </c>
    </row>
    <row r="9" spans="1:12" ht="60" customHeight="1" x14ac:dyDescent="0.2">
      <c r="A9" s="133" t="s">
        <v>720</v>
      </c>
      <c r="B9" s="133" t="s">
        <v>721</v>
      </c>
      <c r="C9" s="134" t="s">
        <v>722</v>
      </c>
      <c r="D9" s="133" t="s">
        <v>205</v>
      </c>
      <c r="E9" s="133" t="s">
        <v>54</v>
      </c>
      <c r="F9" s="133" t="s">
        <v>403</v>
      </c>
      <c r="G9" s="133" t="s">
        <v>380</v>
      </c>
      <c r="H9" s="133" t="s">
        <v>725</v>
      </c>
      <c r="I9" s="133" t="s">
        <v>4199</v>
      </c>
      <c r="J9" s="135">
        <v>1</v>
      </c>
      <c r="K9" s="136">
        <v>0.48611111111111099</v>
      </c>
      <c r="L9" s="133" t="s">
        <v>4070</v>
      </c>
    </row>
    <row r="10" spans="1:12" ht="60" customHeight="1" x14ac:dyDescent="0.2">
      <c r="A10" s="133" t="s">
        <v>997</v>
      </c>
      <c r="B10" s="133" t="s">
        <v>998</v>
      </c>
      <c r="C10" s="134" t="s">
        <v>999</v>
      </c>
      <c r="D10" s="133" t="s">
        <v>205</v>
      </c>
      <c r="E10" s="133" t="s">
        <v>24</v>
      </c>
      <c r="F10" s="133" t="s">
        <v>42</v>
      </c>
      <c r="G10" s="133" t="s">
        <v>475</v>
      </c>
      <c r="H10" s="133" t="s">
        <v>1003</v>
      </c>
      <c r="I10" s="133" t="s">
        <v>4096</v>
      </c>
      <c r="J10" s="135">
        <v>1</v>
      </c>
      <c r="K10" s="136">
        <v>0.47222222222222199</v>
      </c>
      <c r="L10" s="133" t="s">
        <v>4073</v>
      </c>
    </row>
    <row r="11" spans="1:12" ht="69" customHeight="1" x14ac:dyDescent="0.2">
      <c r="A11" s="137" t="s">
        <v>1007</v>
      </c>
      <c r="B11" s="137" t="s">
        <v>1008</v>
      </c>
      <c r="C11" s="138" t="s">
        <v>1009</v>
      </c>
      <c r="D11" s="137" t="s">
        <v>230</v>
      </c>
      <c r="E11" s="137" t="s">
        <v>24</v>
      </c>
      <c r="F11" s="137" t="s">
        <v>42</v>
      </c>
      <c r="G11" s="137" t="s">
        <v>475</v>
      </c>
      <c r="H11" s="137" t="s">
        <v>1013</v>
      </c>
      <c r="I11" s="137" t="s">
        <v>4097</v>
      </c>
      <c r="J11" s="139">
        <v>1</v>
      </c>
      <c r="K11" s="140">
        <v>0.47222222222222199</v>
      </c>
      <c r="L11" s="137" t="s">
        <v>4073</v>
      </c>
    </row>
    <row r="12" spans="1:12" ht="63" customHeight="1" x14ac:dyDescent="0.2">
      <c r="A12" s="133" t="s">
        <v>1039</v>
      </c>
      <c r="B12" s="133" t="s">
        <v>1040</v>
      </c>
      <c r="C12" s="134" t="s">
        <v>1041</v>
      </c>
      <c r="D12" s="133" t="s">
        <v>205</v>
      </c>
      <c r="E12" s="133" t="s">
        <v>24</v>
      </c>
      <c r="F12" s="133" t="s">
        <v>42</v>
      </c>
      <c r="G12" s="133" t="s">
        <v>475</v>
      </c>
      <c r="H12" s="133" t="s">
        <v>1045</v>
      </c>
      <c r="I12" s="133" t="s">
        <v>4098</v>
      </c>
      <c r="J12" s="135">
        <v>1</v>
      </c>
      <c r="K12" s="136">
        <v>0.47222222222222199</v>
      </c>
      <c r="L12" s="133" t="s">
        <v>4073</v>
      </c>
    </row>
    <row r="13" spans="1:12" ht="75.75" customHeight="1" x14ac:dyDescent="0.2">
      <c r="A13" s="133" t="s">
        <v>1049</v>
      </c>
      <c r="B13" s="133" t="s">
        <v>1050</v>
      </c>
      <c r="C13" s="134" t="s">
        <v>1051</v>
      </c>
      <c r="D13" s="133" t="s">
        <v>205</v>
      </c>
      <c r="E13" s="133" t="s">
        <v>24</v>
      </c>
      <c r="F13" s="133" t="s">
        <v>42</v>
      </c>
      <c r="G13" s="133" t="s">
        <v>475</v>
      </c>
      <c r="H13" s="133" t="s">
        <v>1055</v>
      </c>
      <c r="I13" s="133" t="s">
        <v>4099</v>
      </c>
      <c r="J13" s="135">
        <v>1</v>
      </c>
      <c r="K13" s="136">
        <v>0.47222222222222199</v>
      </c>
      <c r="L13" s="133" t="s">
        <v>4073</v>
      </c>
    </row>
    <row r="14" spans="1:12" ht="63.75" customHeight="1" x14ac:dyDescent="0.2">
      <c r="A14" s="133" t="s">
        <v>326</v>
      </c>
      <c r="B14" s="133" t="s">
        <v>327</v>
      </c>
      <c r="C14" s="134" t="s">
        <v>328</v>
      </c>
      <c r="D14" s="133" t="s">
        <v>205</v>
      </c>
      <c r="E14" s="133" t="s">
        <v>42</v>
      </c>
      <c r="F14" s="133" t="s">
        <v>36</v>
      </c>
      <c r="G14" s="133" t="s">
        <v>329</v>
      </c>
      <c r="H14" s="133" t="s">
        <v>334</v>
      </c>
      <c r="I14" s="133" t="s">
        <v>4200</v>
      </c>
      <c r="J14" s="135">
        <v>2</v>
      </c>
      <c r="K14" s="136">
        <v>0.36111111111111099</v>
      </c>
      <c r="L14" s="133" t="s">
        <v>4073</v>
      </c>
    </row>
    <row r="15" spans="1:12" ht="73.5" customHeight="1" x14ac:dyDescent="0.2">
      <c r="A15" s="133" t="s">
        <v>602</v>
      </c>
      <c r="B15" s="133" t="s">
        <v>603</v>
      </c>
      <c r="C15" s="134" t="s">
        <v>604</v>
      </c>
      <c r="D15" s="133" t="s">
        <v>205</v>
      </c>
      <c r="E15" s="133" t="s">
        <v>42</v>
      </c>
      <c r="F15" s="133" t="s">
        <v>605</v>
      </c>
      <c r="G15" s="133" t="s">
        <v>329</v>
      </c>
      <c r="H15" s="133" t="s">
        <v>609</v>
      </c>
      <c r="I15" s="133" t="s">
        <v>4201</v>
      </c>
      <c r="J15" s="135">
        <v>2</v>
      </c>
      <c r="K15" s="136">
        <v>0.36111111111111099</v>
      </c>
      <c r="L15" s="133" t="s">
        <v>4073</v>
      </c>
    </row>
    <row r="16" spans="1:12" ht="76.5" customHeight="1" x14ac:dyDescent="0.2">
      <c r="A16" s="133" t="s">
        <v>462</v>
      </c>
      <c r="B16" s="133" t="s">
        <v>463</v>
      </c>
      <c r="C16" s="134" t="s">
        <v>464</v>
      </c>
      <c r="D16" s="133" t="s">
        <v>205</v>
      </c>
      <c r="E16" s="133" t="s">
        <v>24</v>
      </c>
      <c r="F16" s="133" t="s">
        <v>465</v>
      </c>
      <c r="G16" s="133" t="s">
        <v>466</v>
      </c>
      <c r="H16" s="133" t="s">
        <v>470</v>
      </c>
      <c r="I16" s="133" t="s">
        <v>4115</v>
      </c>
      <c r="J16" s="135">
        <v>1</v>
      </c>
      <c r="K16" s="136">
        <v>0.29166666666666702</v>
      </c>
      <c r="L16" s="133" t="s">
        <v>4070</v>
      </c>
    </row>
    <row r="17" spans="1:12" ht="76.5" customHeight="1" x14ac:dyDescent="0.2">
      <c r="A17" s="133" t="s">
        <v>894</v>
      </c>
      <c r="B17" s="133" t="s">
        <v>895</v>
      </c>
      <c r="C17" s="134" t="s">
        <v>896</v>
      </c>
      <c r="D17" s="133" t="s">
        <v>205</v>
      </c>
      <c r="E17" s="133" t="s">
        <v>24</v>
      </c>
      <c r="F17" s="133" t="s">
        <v>465</v>
      </c>
      <c r="G17" s="133" t="s">
        <v>466</v>
      </c>
      <c r="H17" s="133" t="s">
        <v>900</v>
      </c>
      <c r="I17" s="133" t="s">
        <v>4116</v>
      </c>
      <c r="J17" s="135">
        <v>1</v>
      </c>
      <c r="K17" s="136">
        <v>0.29166666666666702</v>
      </c>
      <c r="L17" s="133" t="s">
        <v>4070</v>
      </c>
    </row>
    <row r="18" spans="1:12" ht="70.5" customHeight="1" x14ac:dyDescent="0.2">
      <c r="A18" s="133" t="s">
        <v>632</v>
      </c>
      <c r="B18" s="133" t="s">
        <v>633</v>
      </c>
      <c r="C18" s="134" t="s">
        <v>634</v>
      </c>
      <c r="D18" s="133" t="s">
        <v>205</v>
      </c>
      <c r="E18" s="133" t="s">
        <v>42</v>
      </c>
      <c r="F18" s="133" t="s">
        <v>48</v>
      </c>
      <c r="G18" s="133" t="s">
        <v>329</v>
      </c>
      <c r="H18" s="133" t="s">
        <v>638</v>
      </c>
      <c r="I18" s="133" t="s">
        <v>4202</v>
      </c>
      <c r="J18" s="135">
        <v>1.5</v>
      </c>
      <c r="K18" s="136">
        <v>0.27083333333333298</v>
      </c>
      <c r="L18" s="133" t="s">
        <v>4073</v>
      </c>
    </row>
    <row r="19" spans="1:12" ht="72.75" customHeight="1" x14ac:dyDescent="0.2">
      <c r="A19" s="137" t="s">
        <v>1171</v>
      </c>
      <c r="B19" s="137" t="s">
        <v>1172</v>
      </c>
      <c r="C19" s="138" t="s">
        <v>1173</v>
      </c>
      <c r="D19" s="137" t="s">
        <v>313</v>
      </c>
      <c r="E19" s="137" t="s">
        <v>42</v>
      </c>
      <c r="F19" s="137" t="s">
        <v>605</v>
      </c>
      <c r="G19" s="137" t="s">
        <v>329</v>
      </c>
      <c r="H19" s="137" t="s">
        <v>1177</v>
      </c>
      <c r="I19" s="137" t="s">
        <v>4203</v>
      </c>
      <c r="J19" s="139">
        <v>1</v>
      </c>
      <c r="K19" s="140">
        <v>0.180555555555556</v>
      </c>
      <c r="L19" s="137" t="s">
        <v>4073</v>
      </c>
    </row>
    <row r="20" spans="1:12" ht="60" customHeight="1" x14ac:dyDescent="0.2">
      <c r="A20" s="141" t="s">
        <v>1372</v>
      </c>
      <c r="B20" s="141" t="s">
        <v>1373</v>
      </c>
      <c r="C20" s="142" t="s">
        <v>1374</v>
      </c>
      <c r="D20" s="141" t="s">
        <v>230</v>
      </c>
      <c r="E20" s="141" t="s">
        <v>42</v>
      </c>
      <c r="F20" s="141"/>
      <c r="G20" s="141" t="s">
        <v>1375</v>
      </c>
      <c r="H20" s="141" t="s">
        <v>1378</v>
      </c>
      <c r="I20" s="141" t="s">
        <v>4204</v>
      </c>
      <c r="J20" s="143">
        <v>1</v>
      </c>
      <c r="K20" s="144">
        <v>0.180555555555556</v>
      </c>
      <c r="L20" s="141" t="s">
        <v>4073</v>
      </c>
    </row>
    <row r="21" spans="1:12" ht="60" customHeight="1" x14ac:dyDescent="0.2">
      <c r="A21" s="137" t="s">
        <v>1457</v>
      </c>
      <c r="B21" s="137" t="s">
        <v>1458</v>
      </c>
      <c r="C21" s="138" t="s">
        <v>1459</v>
      </c>
      <c r="D21" s="137" t="s">
        <v>313</v>
      </c>
      <c r="E21" s="137" t="s">
        <v>42</v>
      </c>
      <c r="F21" s="137"/>
      <c r="G21" s="137" t="s">
        <v>1375</v>
      </c>
      <c r="H21" s="137" t="s">
        <v>1462</v>
      </c>
      <c r="I21" s="137" t="s">
        <v>4205</v>
      </c>
      <c r="J21" s="139">
        <v>1</v>
      </c>
      <c r="K21" s="140">
        <v>0.180555555555556</v>
      </c>
      <c r="L21" s="137" t="s">
        <v>4073</v>
      </c>
    </row>
    <row r="22" spans="1:12" ht="60" customHeight="1" x14ac:dyDescent="0.2">
      <c r="A22" s="141" t="s">
        <v>760</v>
      </c>
      <c r="B22" s="141" t="s">
        <v>761</v>
      </c>
      <c r="C22" s="142" t="s">
        <v>762</v>
      </c>
      <c r="D22" s="141" t="s">
        <v>230</v>
      </c>
      <c r="E22" s="141" t="s">
        <v>39</v>
      </c>
      <c r="F22" s="141" t="s">
        <v>763</v>
      </c>
      <c r="G22" s="141" t="s">
        <v>404</v>
      </c>
      <c r="H22" s="141" t="s">
        <v>767</v>
      </c>
      <c r="I22" s="141" t="s">
        <v>4192</v>
      </c>
      <c r="J22" s="143">
        <v>0.5</v>
      </c>
      <c r="K22" s="144">
        <v>0.118055555555556</v>
      </c>
      <c r="L22" s="141" t="s">
        <v>4193</v>
      </c>
    </row>
    <row r="23" spans="1:12" ht="60" customHeight="1" x14ac:dyDescent="0.2">
      <c r="A23" s="137" t="s">
        <v>930</v>
      </c>
      <c r="B23" s="137" t="s">
        <v>931</v>
      </c>
      <c r="C23" s="138" t="s">
        <v>932</v>
      </c>
      <c r="D23" s="137" t="s">
        <v>313</v>
      </c>
      <c r="E23" s="137" t="s">
        <v>39</v>
      </c>
      <c r="F23" s="137" t="s">
        <v>42</v>
      </c>
      <c r="G23" s="137" t="s">
        <v>350</v>
      </c>
      <c r="H23" s="137" t="s">
        <v>935</v>
      </c>
      <c r="I23" s="137" t="s">
        <v>4194</v>
      </c>
      <c r="J23" s="139">
        <v>0.5</v>
      </c>
      <c r="K23" s="140">
        <v>0.118055555555556</v>
      </c>
      <c r="L23" s="137" t="s">
        <v>4193</v>
      </c>
    </row>
    <row r="24" spans="1:12" ht="60" customHeight="1" x14ac:dyDescent="0.2">
      <c r="A24" s="141" t="s">
        <v>1259</v>
      </c>
      <c r="B24" s="141" t="s">
        <v>1260</v>
      </c>
      <c r="C24" s="142" t="s">
        <v>1261</v>
      </c>
      <c r="D24" s="141" t="s">
        <v>313</v>
      </c>
      <c r="E24" s="141" t="s">
        <v>39</v>
      </c>
      <c r="F24" s="141" t="s">
        <v>42</v>
      </c>
      <c r="G24" s="141" t="s">
        <v>268</v>
      </c>
      <c r="H24" s="141" t="s">
        <v>1264</v>
      </c>
      <c r="I24" s="141" t="s">
        <v>4195</v>
      </c>
      <c r="J24" s="143">
        <v>0.5</v>
      </c>
      <c r="K24" s="144">
        <v>0.118055555555556</v>
      </c>
      <c r="L24" s="141" t="s">
        <v>4193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2"/>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4206</v>
      </c>
      <c r="B1" s="222"/>
      <c r="C1" s="222"/>
      <c r="D1" s="222"/>
      <c r="E1" s="222"/>
      <c r="F1" s="222"/>
      <c r="G1" s="222"/>
      <c r="H1" s="222"/>
      <c r="I1" s="222"/>
      <c r="J1" s="222"/>
    </row>
    <row r="2" spans="1:12" ht="15" customHeight="1" x14ac:dyDescent="0.2">
      <c r="A2" s="223" t="s">
        <v>57</v>
      </c>
      <c r="B2" s="223"/>
      <c r="C2" s="223"/>
      <c r="D2" s="223"/>
      <c r="E2" s="223"/>
      <c r="F2" s="223"/>
      <c r="G2" s="223"/>
      <c r="H2" s="223"/>
      <c r="I2" s="223"/>
      <c r="J2" s="223"/>
    </row>
    <row r="3" spans="1:12" ht="15" customHeight="1" x14ac:dyDescent="0.2">
      <c r="A3" s="224" t="s">
        <v>4207</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3268</v>
      </c>
      <c r="K5" s="132" t="s">
        <v>3274</v>
      </c>
      <c r="L5" s="132" t="s">
        <v>66</v>
      </c>
    </row>
    <row r="6" spans="1:12" ht="72" customHeight="1" x14ac:dyDescent="0.2">
      <c r="A6" s="133" t="s">
        <v>622</v>
      </c>
      <c r="B6" s="133" t="s">
        <v>623</v>
      </c>
      <c r="C6" s="134" t="s">
        <v>624</v>
      </c>
      <c r="D6" s="133" t="s">
        <v>205</v>
      </c>
      <c r="E6" s="133" t="s">
        <v>54</v>
      </c>
      <c r="F6" s="133" t="s">
        <v>474</v>
      </c>
      <c r="G6" s="133" t="s">
        <v>380</v>
      </c>
      <c r="H6" s="133" t="s">
        <v>628</v>
      </c>
      <c r="I6" s="133" t="s">
        <v>4071</v>
      </c>
      <c r="J6" s="135">
        <v>3</v>
      </c>
      <c r="K6" s="136">
        <v>0.78125</v>
      </c>
      <c r="L6" s="133" t="s">
        <v>4070</v>
      </c>
    </row>
    <row r="7" spans="1:12" ht="60" customHeight="1" x14ac:dyDescent="0.2">
      <c r="A7" s="133" t="s">
        <v>400</v>
      </c>
      <c r="B7" s="133" t="s">
        <v>401</v>
      </c>
      <c r="C7" s="134" t="s">
        <v>402</v>
      </c>
      <c r="D7" s="133" t="s">
        <v>205</v>
      </c>
      <c r="E7" s="133" t="s">
        <v>39</v>
      </c>
      <c r="F7" s="133" t="s">
        <v>403</v>
      </c>
      <c r="G7" s="133" t="s">
        <v>404</v>
      </c>
      <c r="H7" s="133" t="s">
        <v>409</v>
      </c>
      <c r="I7" s="133" t="s">
        <v>4189</v>
      </c>
      <c r="J7" s="135">
        <v>2.5</v>
      </c>
      <c r="K7" s="136">
        <v>0.72916666666666696</v>
      </c>
      <c r="L7" s="133" t="s">
        <v>4070</v>
      </c>
    </row>
    <row r="8" spans="1:12" ht="67.5" customHeight="1" x14ac:dyDescent="0.2">
      <c r="A8" s="133" t="s">
        <v>751</v>
      </c>
      <c r="B8" s="133" t="s">
        <v>752</v>
      </c>
      <c r="C8" s="134" t="s">
        <v>753</v>
      </c>
      <c r="D8" s="133" t="s">
        <v>205</v>
      </c>
      <c r="E8" s="133" t="s">
        <v>54</v>
      </c>
      <c r="F8" s="133" t="s">
        <v>754</v>
      </c>
      <c r="G8" s="133" t="s">
        <v>595</v>
      </c>
      <c r="H8" s="133" t="s">
        <v>757</v>
      </c>
      <c r="I8" s="133" t="s">
        <v>4075</v>
      </c>
      <c r="J8" s="135">
        <v>2.5</v>
      </c>
      <c r="K8" s="136">
        <v>0.65104166666666696</v>
      </c>
      <c r="L8" s="133" t="s">
        <v>4070</v>
      </c>
    </row>
    <row r="9" spans="1:12" ht="60" customHeight="1" x14ac:dyDescent="0.2">
      <c r="A9" s="137" t="s">
        <v>451</v>
      </c>
      <c r="B9" s="137" t="s">
        <v>452</v>
      </c>
      <c r="C9" s="138" t="s">
        <v>453</v>
      </c>
      <c r="D9" s="137" t="s">
        <v>230</v>
      </c>
      <c r="E9" s="137" t="s">
        <v>24</v>
      </c>
      <c r="F9" s="137" t="s">
        <v>48</v>
      </c>
      <c r="G9" s="137" t="s">
        <v>454</v>
      </c>
      <c r="H9" s="137" t="s">
        <v>458</v>
      </c>
      <c r="I9" s="137" t="s">
        <v>4076</v>
      </c>
      <c r="J9" s="139">
        <v>2.5</v>
      </c>
      <c r="K9" s="140">
        <v>0.64930555555555602</v>
      </c>
      <c r="L9" s="137" t="s">
        <v>4073</v>
      </c>
    </row>
    <row r="10" spans="1:12" ht="72" customHeight="1" x14ac:dyDescent="0.2">
      <c r="A10" s="133" t="s">
        <v>771</v>
      </c>
      <c r="B10" s="133" t="s">
        <v>772</v>
      </c>
      <c r="C10" s="134" t="s">
        <v>773</v>
      </c>
      <c r="D10" s="133" t="s">
        <v>205</v>
      </c>
      <c r="E10" s="133" t="s">
        <v>54</v>
      </c>
      <c r="F10" s="133" t="s">
        <v>302</v>
      </c>
      <c r="G10" s="133" t="s">
        <v>380</v>
      </c>
      <c r="H10" s="133" t="s">
        <v>776</v>
      </c>
      <c r="I10" s="133" t="s">
        <v>4081</v>
      </c>
      <c r="J10" s="135">
        <v>3</v>
      </c>
      <c r="K10" s="136">
        <v>0.58333333333333304</v>
      </c>
      <c r="L10" s="133" t="s">
        <v>4070</v>
      </c>
    </row>
    <row r="11" spans="1:12" ht="66" customHeight="1" x14ac:dyDescent="0.2">
      <c r="A11" s="133" t="s">
        <v>1149</v>
      </c>
      <c r="B11" s="133" t="s">
        <v>1150</v>
      </c>
      <c r="C11" s="134" t="s">
        <v>1151</v>
      </c>
      <c r="D11" s="133" t="s">
        <v>205</v>
      </c>
      <c r="E11" s="133" t="s">
        <v>54</v>
      </c>
      <c r="F11" s="133" t="s">
        <v>784</v>
      </c>
      <c r="G11" s="133" t="s">
        <v>541</v>
      </c>
      <c r="H11" s="133" t="s">
        <v>1154</v>
      </c>
      <c r="I11" s="133" t="s">
        <v>4082</v>
      </c>
      <c r="J11" s="135">
        <v>3</v>
      </c>
      <c r="K11" s="136">
        <v>0.58333333333333304</v>
      </c>
      <c r="L11" s="133" t="s">
        <v>4070</v>
      </c>
    </row>
    <row r="12" spans="1:12" ht="60" customHeight="1" x14ac:dyDescent="0.2">
      <c r="A12" s="133" t="s">
        <v>720</v>
      </c>
      <c r="B12" s="133" t="s">
        <v>721</v>
      </c>
      <c r="C12" s="134" t="s">
        <v>722</v>
      </c>
      <c r="D12" s="133" t="s">
        <v>205</v>
      </c>
      <c r="E12" s="133" t="s">
        <v>54</v>
      </c>
      <c r="F12" s="133" t="s">
        <v>403</v>
      </c>
      <c r="G12" s="133" t="s">
        <v>380</v>
      </c>
      <c r="H12" s="133" t="s">
        <v>725</v>
      </c>
      <c r="I12" s="133" t="s">
        <v>4199</v>
      </c>
      <c r="J12" s="135">
        <v>3</v>
      </c>
      <c r="K12" s="136">
        <v>0.48611111111111099</v>
      </c>
      <c r="L12" s="133" t="s">
        <v>4070</v>
      </c>
    </row>
    <row r="13" spans="1:12" ht="69.75" customHeight="1" x14ac:dyDescent="0.2">
      <c r="A13" s="133" t="s">
        <v>781</v>
      </c>
      <c r="B13" s="133" t="s">
        <v>782</v>
      </c>
      <c r="C13" s="134" t="s">
        <v>783</v>
      </c>
      <c r="D13" s="133" t="s">
        <v>205</v>
      </c>
      <c r="E13" s="133" t="s">
        <v>54</v>
      </c>
      <c r="F13" s="133" t="s">
        <v>784</v>
      </c>
      <c r="G13" s="133" t="s">
        <v>541</v>
      </c>
      <c r="H13" s="133" t="s">
        <v>788</v>
      </c>
      <c r="I13" s="133" t="s">
        <v>4090</v>
      </c>
      <c r="J13" s="135">
        <v>2</v>
      </c>
      <c r="K13" s="136">
        <v>0.48611111111111099</v>
      </c>
      <c r="L13" s="133" t="s">
        <v>4070</v>
      </c>
    </row>
    <row r="14" spans="1:12" ht="72" customHeight="1" x14ac:dyDescent="0.2">
      <c r="A14" s="141" t="s">
        <v>902</v>
      </c>
      <c r="B14" s="141" t="s">
        <v>903</v>
      </c>
      <c r="C14" s="142" t="s">
        <v>904</v>
      </c>
      <c r="D14" s="141" t="s">
        <v>230</v>
      </c>
      <c r="E14" s="141" t="s">
        <v>54</v>
      </c>
      <c r="F14" s="141" t="s">
        <v>302</v>
      </c>
      <c r="G14" s="141" t="s">
        <v>380</v>
      </c>
      <c r="H14" s="141" t="s">
        <v>908</v>
      </c>
      <c r="I14" s="141" t="s">
        <v>4092</v>
      </c>
      <c r="J14" s="143">
        <v>2</v>
      </c>
      <c r="K14" s="144">
        <v>0.48611111111111099</v>
      </c>
      <c r="L14" s="141" t="s">
        <v>4070</v>
      </c>
    </row>
    <row r="15" spans="1:12" ht="60" customHeight="1" x14ac:dyDescent="0.2">
      <c r="A15" s="133" t="s">
        <v>424</v>
      </c>
      <c r="B15" s="133" t="s">
        <v>425</v>
      </c>
      <c r="C15" s="134" t="s">
        <v>426</v>
      </c>
      <c r="D15" s="133" t="s">
        <v>205</v>
      </c>
      <c r="E15" s="133" t="s">
        <v>24</v>
      </c>
      <c r="F15" s="133" t="s">
        <v>416</v>
      </c>
      <c r="G15" s="133" t="s">
        <v>417</v>
      </c>
      <c r="H15" s="133" t="s">
        <v>430</v>
      </c>
      <c r="I15" s="133" t="s">
        <v>4093</v>
      </c>
      <c r="J15" s="135">
        <v>2</v>
      </c>
      <c r="K15" s="136">
        <v>0.47222222222222199</v>
      </c>
      <c r="L15" s="133" t="s">
        <v>4073</v>
      </c>
    </row>
    <row r="16" spans="1:12" ht="67.5" customHeight="1" x14ac:dyDescent="0.2">
      <c r="A16" s="141" t="s">
        <v>558</v>
      </c>
      <c r="B16" s="141" t="s">
        <v>559</v>
      </c>
      <c r="C16" s="142" t="s">
        <v>560</v>
      </c>
      <c r="D16" s="141" t="s">
        <v>230</v>
      </c>
      <c r="E16" s="141" t="s">
        <v>48</v>
      </c>
      <c r="F16" s="141"/>
      <c r="G16" s="141" t="s">
        <v>561</v>
      </c>
      <c r="H16" s="141" t="s">
        <v>566</v>
      </c>
      <c r="I16" s="141" t="s">
        <v>4208</v>
      </c>
      <c r="J16" s="143">
        <v>2.5</v>
      </c>
      <c r="K16" s="144">
        <v>0.45138888888888901</v>
      </c>
      <c r="L16" s="141" t="s">
        <v>4073</v>
      </c>
    </row>
    <row r="17" spans="1:12" ht="72.75" customHeight="1" x14ac:dyDescent="0.2">
      <c r="A17" s="133" t="s">
        <v>377</v>
      </c>
      <c r="B17" s="133" t="s">
        <v>378</v>
      </c>
      <c r="C17" s="134" t="s">
        <v>379</v>
      </c>
      <c r="D17" s="133" t="s">
        <v>205</v>
      </c>
      <c r="E17" s="133" t="s">
        <v>54</v>
      </c>
      <c r="F17" s="133" t="s">
        <v>302</v>
      </c>
      <c r="G17" s="133" t="s">
        <v>380</v>
      </c>
      <c r="H17" s="133" t="s">
        <v>384</v>
      </c>
      <c r="I17" s="133" t="s">
        <v>4102</v>
      </c>
      <c r="J17" s="135">
        <v>1.5</v>
      </c>
      <c r="K17" s="136">
        <v>0.4375</v>
      </c>
      <c r="L17" s="133" t="s">
        <v>4070</v>
      </c>
    </row>
    <row r="18" spans="1:12" ht="60" customHeight="1" x14ac:dyDescent="0.2">
      <c r="A18" s="141" t="s">
        <v>822</v>
      </c>
      <c r="B18" s="141" t="s">
        <v>823</v>
      </c>
      <c r="C18" s="142" t="s">
        <v>824</v>
      </c>
      <c r="D18" s="141" t="s">
        <v>230</v>
      </c>
      <c r="E18" s="141" t="s">
        <v>54</v>
      </c>
      <c r="F18" s="141" t="s">
        <v>302</v>
      </c>
      <c r="G18" s="141" t="s">
        <v>380</v>
      </c>
      <c r="H18" s="141" t="s">
        <v>828</v>
      </c>
      <c r="I18" s="141" t="s">
        <v>4209</v>
      </c>
      <c r="J18" s="143">
        <v>2.5</v>
      </c>
      <c r="K18" s="144">
        <v>0.41319444444444398</v>
      </c>
      <c r="L18" s="141" t="s">
        <v>4073</v>
      </c>
    </row>
    <row r="19" spans="1:12" ht="69.75" customHeight="1" x14ac:dyDescent="0.2">
      <c r="A19" s="137" t="s">
        <v>1519</v>
      </c>
      <c r="B19" s="137" t="s">
        <v>1520</v>
      </c>
      <c r="C19" s="138" t="s">
        <v>1521</v>
      </c>
      <c r="D19" s="137" t="s">
        <v>230</v>
      </c>
      <c r="E19" s="137" t="s">
        <v>48</v>
      </c>
      <c r="F19" s="137" t="s">
        <v>1522</v>
      </c>
      <c r="G19" s="137" t="s">
        <v>561</v>
      </c>
      <c r="H19" s="137" t="s">
        <v>1527</v>
      </c>
      <c r="I19" s="137" t="s">
        <v>4190</v>
      </c>
      <c r="J19" s="139">
        <v>2.5</v>
      </c>
      <c r="K19" s="140">
        <v>0.41319444444444398</v>
      </c>
      <c r="L19" s="137" t="s">
        <v>4073</v>
      </c>
    </row>
    <row r="20" spans="1:12" ht="60" customHeight="1" x14ac:dyDescent="0.2">
      <c r="A20" s="141" t="s">
        <v>568</v>
      </c>
      <c r="B20" s="141" t="s">
        <v>569</v>
      </c>
      <c r="C20" s="142" t="s">
        <v>570</v>
      </c>
      <c r="D20" s="141" t="s">
        <v>230</v>
      </c>
      <c r="E20" s="141" t="s">
        <v>48</v>
      </c>
      <c r="F20" s="141"/>
      <c r="G20" s="141" t="s">
        <v>561</v>
      </c>
      <c r="H20" s="141" t="s">
        <v>573</v>
      </c>
      <c r="I20" s="141" t="s">
        <v>4210</v>
      </c>
      <c r="J20" s="143">
        <v>2</v>
      </c>
      <c r="K20" s="144">
        <v>0.36111111111111099</v>
      </c>
      <c r="L20" s="141" t="s">
        <v>4073</v>
      </c>
    </row>
    <row r="21" spans="1:12" ht="60" customHeight="1" x14ac:dyDescent="0.2">
      <c r="A21" s="137" t="s">
        <v>574</v>
      </c>
      <c r="B21" s="137" t="s">
        <v>575</v>
      </c>
      <c r="C21" s="138" t="s">
        <v>576</v>
      </c>
      <c r="D21" s="137" t="s">
        <v>230</v>
      </c>
      <c r="E21" s="137" t="s">
        <v>48</v>
      </c>
      <c r="F21" s="137"/>
      <c r="G21" s="137" t="s">
        <v>561</v>
      </c>
      <c r="H21" s="137" t="s">
        <v>579</v>
      </c>
      <c r="I21" s="137" t="s">
        <v>4211</v>
      </c>
      <c r="J21" s="139">
        <v>2</v>
      </c>
      <c r="K21" s="140">
        <v>0.36111111111111099</v>
      </c>
      <c r="L21" s="137" t="s">
        <v>4073</v>
      </c>
    </row>
    <row r="22" spans="1:12" ht="60" customHeight="1" x14ac:dyDescent="0.2">
      <c r="A22" s="141" t="s">
        <v>413</v>
      </c>
      <c r="B22" s="141" t="s">
        <v>414</v>
      </c>
      <c r="C22" s="142" t="s">
        <v>415</v>
      </c>
      <c r="D22" s="141" t="s">
        <v>313</v>
      </c>
      <c r="E22" s="141" t="s">
        <v>24</v>
      </c>
      <c r="F22" s="141" t="s">
        <v>416</v>
      </c>
      <c r="G22" s="141" t="s">
        <v>417</v>
      </c>
      <c r="H22" s="141" t="s">
        <v>421</v>
      </c>
      <c r="I22" s="141" t="s">
        <v>4108</v>
      </c>
      <c r="J22" s="143">
        <v>1</v>
      </c>
      <c r="K22" s="144">
        <v>0.35416666666666702</v>
      </c>
      <c r="L22" s="141" t="s">
        <v>4073</v>
      </c>
    </row>
    <row r="23" spans="1:12" ht="60" customHeight="1" x14ac:dyDescent="0.2">
      <c r="A23" s="137" t="s">
        <v>1242</v>
      </c>
      <c r="B23" s="137" t="s">
        <v>1243</v>
      </c>
      <c r="C23" s="138" t="s">
        <v>1244</v>
      </c>
      <c r="D23" s="137" t="s">
        <v>230</v>
      </c>
      <c r="E23" s="137" t="s">
        <v>24</v>
      </c>
      <c r="F23" s="137" t="s">
        <v>416</v>
      </c>
      <c r="G23" s="137" t="s">
        <v>417</v>
      </c>
      <c r="H23" s="137" t="s">
        <v>1247</v>
      </c>
      <c r="I23" s="137" t="s">
        <v>4110</v>
      </c>
      <c r="J23" s="139">
        <v>1</v>
      </c>
      <c r="K23" s="140">
        <v>0.35416666666666702</v>
      </c>
      <c r="L23" s="137" t="s">
        <v>4073</v>
      </c>
    </row>
    <row r="24" spans="1:12" ht="60" customHeight="1" x14ac:dyDescent="0.2">
      <c r="A24" s="141" t="s">
        <v>1426</v>
      </c>
      <c r="B24" s="141" t="s">
        <v>1427</v>
      </c>
      <c r="C24" s="142" t="s">
        <v>1428</v>
      </c>
      <c r="D24" s="141" t="s">
        <v>313</v>
      </c>
      <c r="E24" s="141" t="s">
        <v>24</v>
      </c>
      <c r="F24" s="141" t="s">
        <v>48</v>
      </c>
      <c r="G24" s="141" t="s">
        <v>392</v>
      </c>
      <c r="H24" s="141" t="s">
        <v>1432</v>
      </c>
      <c r="I24" s="141" t="s">
        <v>4111</v>
      </c>
      <c r="J24" s="143">
        <v>2</v>
      </c>
      <c r="K24" s="144">
        <v>0.35416666666666702</v>
      </c>
      <c r="L24" s="141" t="s">
        <v>4073</v>
      </c>
    </row>
    <row r="25" spans="1:12" ht="60" customHeight="1" x14ac:dyDescent="0.2">
      <c r="A25" s="137" t="s">
        <v>1434</v>
      </c>
      <c r="B25" s="137" t="s">
        <v>1435</v>
      </c>
      <c r="C25" s="138" t="s">
        <v>1436</v>
      </c>
      <c r="D25" s="137" t="s">
        <v>313</v>
      </c>
      <c r="E25" s="137" t="s">
        <v>24</v>
      </c>
      <c r="F25" s="137" t="s">
        <v>1306</v>
      </c>
      <c r="G25" s="137" t="s">
        <v>392</v>
      </c>
      <c r="H25" s="137" t="s">
        <v>1440</v>
      </c>
      <c r="I25" s="137" t="s">
        <v>4112</v>
      </c>
      <c r="J25" s="139">
        <v>2</v>
      </c>
      <c r="K25" s="140">
        <v>0.35416666666666702</v>
      </c>
      <c r="L25" s="137" t="s">
        <v>4073</v>
      </c>
    </row>
    <row r="26" spans="1:12" ht="60" customHeight="1" x14ac:dyDescent="0.2">
      <c r="A26" s="141" t="s">
        <v>489</v>
      </c>
      <c r="B26" s="141" t="s">
        <v>490</v>
      </c>
      <c r="C26" s="142" t="s">
        <v>491</v>
      </c>
      <c r="D26" s="141" t="s">
        <v>230</v>
      </c>
      <c r="E26" s="141" t="s">
        <v>24</v>
      </c>
      <c r="F26" s="141" t="s">
        <v>416</v>
      </c>
      <c r="G26" s="141" t="s">
        <v>417</v>
      </c>
      <c r="H26" s="141" t="s">
        <v>494</v>
      </c>
      <c r="I26" s="141" t="s">
        <v>4114</v>
      </c>
      <c r="J26" s="143">
        <v>0.5</v>
      </c>
      <c r="K26" s="144">
        <v>0.29513888888888901</v>
      </c>
      <c r="L26" s="141" t="s">
        <v>4073</v>
      </c>
    </row>
    <row r="27" spans="1:12" ht="60" customHeight="1" x14ac:dyDescent="0.2">
      <c r="A27" s="137" t="s">
        <v>367</v>
      </c>
      <c r="B27" s="137" t="s">
        <v>368</v>
      </c>
      <c r="C27" s="138" t="s">
        <v>369</v>
      </c>
      <c r="D27" s="137" t="s">
        <v>230</v>
      </c>
      <c r="E27" s="137" t="s">
        <v>24</v>
      </c>
      <c r="F27" s="137" t="s">
        <v>291</v>
      </c>
      <c r="G27" s="137" t="s">
        <v>370</v>
      </c>
      <c r="H27" s="137" t="s">
        <v>374</v>
      </c>
      <c r="I27" s="137" t="s">
        <v>4117</v>
      </c>
      <c r="J27" s="139">
        <v>0.5</v>
      </c>
      <c r="K27" s="140">
        <v>0.23611111111111099</v>
      </c>
      <c r="L27" s="137" t="s">
        <v>4073</v>
      </c>
    </row>
    <row r="28" spans="1:12" ht="60" customHeight="1" x14ac:dyDescent="0.2">
      <c r="A28" s="141" t="s">
        <v>1381</v>
      </c>
      <c r="B28" s="141" t="s">
        <v>1382</v>
      </c>
      <c r="C28" s="142" t="s">
        <v>1383</v>
      </c>
      <c r="D28" s="141" t="s">
        <v>230</v>
      </c>
      <c r="E28" s="141" t="s">
        <v>24</v>
      </c>
      <c r="F28" s="141" t="s">
        <v>48</v>
      </c>
      <c r="G28" s="141" t="s">
        <v>392</v>
      </c>
      <c r="H28" s="141" t="s">
        <v>1387</v>
      </c>
      <c r="I28" s="141" t="s">
        <v>4118</v>
      </c>
      <c r="J28" s="143">
        <v>1</v>
      </c>
      <c r="K28" s="144">
        <v>0.23611111111111099</v>
      </c>
      <c r="L28" s="141" t="s">
        <v>4073</v>
      </c>
    </row>
    <row r="29" spans="1:12" ht="60" customHeight="1" x14ac:dyDescent="0.2">
      <c r="A29" s="137" t="s">
        <v>389</v>
      </c>
      <c r="B29" s="137" t="s">
        <v>390</v>
      </c>
      <c r="C29" s="138" t="s">
        <v>391</v>
      </c>
      <c r="D29" s="137" t="s">
        <v>230</v>
      </c>
      <c r="E29" s="137" t="s">
        <v>24</v>
      </c>
      <c r="F29" s="137" t="s">
        <v>48</v>
      </c>
      <c r="G29" s="137" t="s">
        <v>392</v>
      </c>
      <c r="H29" s="137" t="s">
        <v>397</v>
      </c>
      <c r="I29" s="137" t="s">
        <v>4119</v>
      </c>
      <c r="J29" s="139">
        <v>0.5</v>
      </c>
      <c r="K29" s="140">
        <v>0.17708333333333301</v>
      </c>
      <c r="L29" s="137" t="s">
        <v>4073</v>
      </c>
    </row>
    <row r="30" spans="1:12" ht="60" customHeight="1" x14ac:dyDescent="0.2">
      <c r="A30" s="141" t="s">
        <v>528</v>
      </c>
      <c r="B30" s="141" t="s">
        <v>529</v>
      </c>
      <c r="C30" s="142" t="s">
        <v>530</v>
      </c>
      <c r="D30" s="141" t="s">
        <v>230</v>
      </c>
      <c r="E30" s="141" t="s">
        <v>39</v>
      </c>
      <c r="F30" s="141" t="s">
        <v>302</v>
      </c>
      <c r="G30" s="141" t="s">
        <v>350</v>
      </c>
      <c r="H30" s="141" t="s">
        <v>534</v>
      </c>
      <c r="I30" s="141" t="s">
        <v>4191</v>
      </c>
      <c r="J30" s="143">
        <v>0.5</v>
      </c>
      <c r="K30" s="144">
        <v>0.17708333333333301</v>
      </c>
      <c r="L30" s="141" t="s">
        <v>4073</v>
      </c>
    </row>
    <row r="31" spans="1:12" ht="60" customHeight="1" x14ac:dyDescent="0.2">
      <c r="A31" s="137" t="s">
        <v>1093</v>
      </c>
      <c r="B31" s="137" t="s">
        <v>1094</v>
      </c>
      <c r="C31" s="138" t="s">
        <v>1095</v>
      </c>
      <c r="D31" s="137" t="s">
        <v>313</v>
      </c>
      <c r="E31" s="137" t="s">
        <v>24</v>
      </c>
      <c r="F31" s="137" t="s">
        <v>48</v>
      </c>
      <c r="G31" s="137" t="s">
        <v>392</v>
      </c>
      <c r="H31" s="137" t="s">
        <v>1099</v>
      </c>
      <c r="I31" s="137" t="s">
        <v>4120</v>
      </c>
      <c r="J31" s="139">
        <v>0.5</v>
      </c>
      <c r="K31" s="140">
        <v>0.17708333333333301</v>
      </c>
      <c r="L31" s="137" t="s">
        <v>4073</v>
      </c>
    </row>
    <row r="32" spans="1:12" ht="60" customHeight="1" x14ac:dyDescent="0.2">
      <c r="A32" s="141" t="s">
        <v>1449</v>
      </c>
      <c r="B32" s="141" t="s">
        <v>1450</v>
      </c>
      <c r="C32" s="142" t="s">
        <v>1451</v>
      </c>
      <c r="D32" s="141" t="s">
        <v>313</v>
      </c>
      <c r="E32" s="141" t="s">
        <v>24</v>
      </c>
      <c r="F32" s="141" t="s">
        <v>48</v>
      </c>
      <c r="G32" s="141" t="s">
        <v>392</v>
      </c>
      <c r="H32" s="141" t="s">
        <v>1455</v>
      </c>
      <c r="I32" s="141" t="s">
        <v>4121</v>
      </c>
      <c r="J32" s="143">
        <v>0.5</v>
      </c>
      <c r="K32" s="144">
        <v>0.17708333333333301</v>
      </c>
      <c r="L32" s="141"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3"/>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4212</v>
      </c>
      <c r="B1" s="222"/>
      <c r="C1" s="222"/>
      <c r="D1" s="222"/>
      <c r="E1" s="222"/>
      <c r="F1" s="222"/>
      <c r="G1" s="222"/>
      <c r="H1" s="222"/>
      <c r="I1" s="222"/>
      <c r="J1" s="222"/>
    </row>
    <row r="2" spans="1:12" ht="15" customHeight="1" x14ac:dyDescent="0.2">
      <c r="A2" s="223" t="s">
        <v>58</v>
      </c>
      <c r="B2" s="223"/>
      <c r="C2" s="223"/>
      <c r="D2" s="223"/>
      <c r="E2" s="223"/>
      <c r="F2" s="223"/>
      <c r="G2" s="223"/>
      <c r="H2" s="223"/>
      <c r="I2" s="223"/>
      <c r="J2" s="223"/>
    </row>
    <row r="3" spans="1:12" ht="15" customHeight="1" x14ac:dyDescent="0.2">
      <c r="A3" s="224" t="s">
        <v>4213</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3269</v>
      </c>
      <c r="K5" s="132" t="s">
        <v>3274</v>
      </c>
      <c r="L5" s="132" t="s">
        <v>66</v>
      </c>
    </row>
    <row r="6" spans="1:12" ht="75.75" customHeight="1" x14ac:dyDescent="0.2">
      <c r="A6" s="133" t="s">
        <v>739</v>
      </c>
      <c r="B6" s="133" t="s">
        <v>740</v>
      </c>
      <c r="C6" s="134" t="s">
        <v>741</v>
      </c>
      <c r="D6" s="133" t="s">
        <v>205</v>
      </c>
      <c r="E6" s="133" t="s">
        <v>54</v>
      </c>
      <c r="F6" s="133" t="s">
        <v>742</v>
      </c>
      <c r="G6" s="133" t="s">
        <v>380</v>
      </c>
      <c r="H6" s="133" t="s">
        <v>746</v>
      </c>
      <c r="I6" s="133" t="s">
        <v>4103</v>
      </c>
      <c r="J6" s="135">
        <v>1</v>
      </c>
      <c r="K6" s="136">
        <v>0.43402777777777801</v>
      </c>
      <c r="L6" s="133" t="s">
        <v>4070</v>
      </c>
    </row>
    <row r="7" spans="1:12" ht="76.5" customHeight="1" x14ac:dyDescent="0.2">
      <c r="A7" s="133" t="s">
        <v>680</v>
      </c>
      <c r="B7" s="133" t="s">
        <v>681</v>
      </c>
      <c r="C7" s="134" t="s">
        <v>682</v>
      </c>
      <c r="D7" s="133" t="s">
        <v>205</v>
      </c>
      <c r="E7" s="133" t="s">
        <v>51</v>
      </c>
      <c r="F7" s="133" t="s">
        <v>36</v>
      </c>
      <c r="G7" s="133" t="s">
        <v>516</v>
      </c>
      <c r="H7" s="133" t="s">
        <v>686</v>
      </c>
      <c r="I7" s="133" t="s">
        <v>4214</v>
      </c>
      <c r="J7" s="135">
        <v>2</v>
      </c>
      <c r="K7" s="136">
        <v>0.36111111111111099</v>
      </c>
      <c r="L7" s="133" t="s">
        <v>4073</v>
      </c>
    </row>
    <row r="8" spans="1:12" ht="60" customHeight="1" x14ac:dyDescent="0.2">
      <c r="A8" s="141" t="s">
        <v>442</v>
      </c>
      <c r="B8" s="141" t="s">
        <v>443</v>
      </c>
      <c r="C8" s="142" t="s">
        <v>444</v>
      </c>
      <c r="D8" s="141" t="s">
        <v>230</v>
      </c>
      <c r="E8" s="141" t="s">
        <v>30</v>
      </c>
      <c r="F8" s="141" t="s">
        <v>203</v>
      </c>
      <c r="G8" s="141" t="s">
        <v>204</v>
      </c>
      <c r="H8" s="141" t="s">
        <v>449</v>
      </c>
      <c r="I8" s="141" t="s">
        <v>4150</v>
      </c>
      <c r="J8" s="143">
        <v>1</v>
      </c>
      <c r="K8" s="144">
        <v>0.35416666666666702</v>
      </c>
      <c r="L8" s="141" t="s">
        <v>4073</v>
      </c>
    </row>
    <row r="9" spans="1:12" ht="66" customHeight="1" x14ac:dyDescent="0.2">
      <c r="A9" s="133" t="s">
        <v>920</v>
      </c>
      <c r="B9" s="133" t="s">
        <v>921</v>
      </c>
      <c r="C9" s="134" t="s">
        <v>922</v>
      </c>
      <c r="D9" s="133" t="s">
        <v>205</v>
      </c>
      <c r="E9" s="133" t="s">
        <v>51</v>
      </c>
      <c r="F9" s="133" t="s">
        <v>923</v>
      </c>
      <c r="G9" s="133" t="s">
        <v>924</v>
      </c>
      <c r="H9" s="133" t="s">
        <v>928</v>
      </c>
      <c r="I9" s="133" t="s">
        <v>4180</v>
      </c>
      <c r="J9" s="135">
        <v>1</v>
      </c>
      <c r="K9" s="136">
        <v>0.35416666666666702</v>
      </c>
      <c r="L9" s="133" t="s">
        <v>4073</v>
      </c>
    </row>
    <row r="10" spans="1:12" ht="63" customHeight="1" x14ac:dyDescent="0.2">
      <c r="A10" s="133" t="s">
        <v>1296</v>
      </c>
      <c r="B10" s="133" t="s">
        <v>1297</v>
      </c>
      <c r="C10" s="134" t="s">
        <v>1298</v>
      </c>
      <c r="D10" s="133" t="s">
        <v>205</v>
      </c>
      <c r="E10" s="133" t="s">
        <v>51</v>
      </c>
      <c r="F10" s="133"/>
      <c r="G10" s="133" t="s">
        <v>516</v>
      </c>
      <c r="H10" s="133" t="s">
        <v>1301</v>
      </c>
      <c r="I10" s="133" t="s">
        <v>4215</v>
      </c>
      <c r="J10" s="135">
        <v>1.5</v>
      </c>
      <c r="K10" s="136">
        <v>0.27083333333333298</v>
      </c>
      <c r="L10" s="133" t="s">
        <v>4073</v>
      </c>
    </row>
    <row r="11" spans="1:12" ht="69" customHeight="1" x14ac:dyDescent="0.2">
      <c r="A11" s="133" t="s">
        <v>214</v>
      </c>
      <c r="B11" s="133" t="s">
        <v>215</v>
      </c>
      <c r="C11" s="134" t="s">
        <v>216</v>
      </c>
      <c r="D11" s="133" t="s">
        <v>205</v>
      </c>
      <c r="E11" s="133" t="s">
        <v>51</v>
      </c>
      <c r="F11" s="133" t="s">
        <v>36</v>
      </c>
      <c r="G11" s="133" t="s">
        <v>217</v>
      </c>
      <c r="H11" s="133" t="s">
        <v>223</v>
      </c>
      <c r="I11" s="133" t="s">
        <v>4216</v>
      </c>
      <c r="J11" s="135">
        <v>1</v>
      </c>
      <c r="K11" s="136">
        <v>0.180555555555556</v>
      </c>
      <c r="L11" s="133" t="s">
        <v>4073</v>
      </c>
    </row>
    <row r="12" spans="1:12" ht="60.75" customHeight="1" x14ac:dyDescent="0.2">
      <c r="A12" s="141" t="s">
        <v>513</v>
      </c>
      <c r="B12" s="141" t="s">
        <v>514</v>
      </c>
      <c r="C12" s="142" t="s">
        <v>515</v>
      </c>
      <c r="D12" s="141" t="s">
        <v>230</v>
      </c>
      <c r="E12" s="141" t="s">
        <v>51</v>
      </c>
      <c r="F12" s="141"/>
      <c r="G12" s="141" t="s">
        <v>516</v>
      </c>
      <c r="H12" s="141" t="s">
        <v>519</v>
      </c>
      <c r="I12" s="141" t="s">
        <v>4217</v>
      </c>
      <c r="J12" s="143">
        <v>1</v>
      </c>
      <c r="K12" s="144">
        <v>0.180555555555556</v>
      </c>
      <c r="L12" s="141" t="s">
        <v>4073</v>
      </c>
    </row>
    <row r="13" spans="1:12" ht="66" customHeight="1" x14ac:dyDescent="0.2">
      <c r="A13" s="133" t="s">
        <v>704</v>
      </c>
      <c r="B13" s="133" t="s">
        <v>705</v>
      </c>
      <c r="C13" s="134" t="s">
        <v>706</v>
      </c>
      <c r="D13" s="133" t="s">
        <v>205</v>
      </c>
      <c r="E13" s="133" t="s">
        <v>51</v>
      </c>
      <c r="F13" s="133" t="s">
        <v>36</v>
      </c>
      <c r="G13" s="133" t="s">
        <v>516</v>
      </c>
      <c r="H13" s="133" t="s">
        <v>710</v>
      </c>
      <c r="I13" s="133" t="s">
        <v>4218</v>
      </c>
      <c r="J13" s="135">
        <v>1</v>
      </c>
      <c r="K13" s="136">
        <v>0.180555555555556</v>
      </c>
      <c r="L13" s="133" t="s">
        <v>4073</v>
      </c>
    </row>
    <row r="14" spans="1:12" ht="66.75" customHeight="1" x14ac:dyDescent="0.2">
      <c r="A14" s="133" t="s">
        <v>846</v>
      </c>
      <c r="B14" s="133" t="s">
        <v>847</v>
      </c>
      <c r="C14" s="134" t="s">
        <v>848</v>
      </c>
      <c r="D14" s="133" t="s">
        <v>205</v>
      </c>
      <c r="E14" s="133" t="s">
        <v>51</v>
      </c>
      <c r="F14" s="133" t="s">
        <v>48</v>
      </c>
      <c r="G14" s="133" t="s">
        <v>516</v>
      </c>
      <c r="H14" s="133" t="s">
        <v>852</v>
      </c>
      <c r="I14" s="133" t="s">
        <v>4219</v>
      </c>
      <c r="J14" s="135">
        <v>1</v>
      </c>
      <c r="K14" s="136">
        <v>0.180555555555556</v>
      </c>
      <c r="L14" s="133" t="s">
        <v>4073</v>
      </c>
    </row>
    <row r="15" spans="1:12" ht="70.5" customHeight="1" x14ac:dyDescent="0.2">
      <c r="A15" s="133" t="s">
        <v>877</v>
      </c>
      <c r="B15" s="133" t="s">
        <v>878</v>
      </c>
      <c r="C15" s="134" t="s">
        <v>879</v>
      </c>
      <c r="D15" s="133" t="s">
        <v>205</v>
      </c>
      <c r="E15" s="133" t="s">
        <v>51</v>
      </c>
      <c r="F15" s="133" t="s">
        <v>36</v>
      </c>
      <c r="G15" s="133" t="s">
        <v>516</v>
      </c>
      <c r="H15" s="133" t="s">
        <v>883</v>
      </c>
      <c r="I15" s="133" t="s">
        <v>4220</v>
      </c>
      <c r="J15" s="135">
        <v>1</v>
      </c>
      <c r="K15" s="136">
        <v>0.180555555555556</v>
      </c>
      <c r="L15" s="133" t="s">
        <v>4073</v>
      </c>
    </row>
    <row r="16" spans="1:12" ht="69.75" customHeight="1" x14ac:dyDescent="0.2">
      <c r="A16" s="133" t="s">
        <v>885</v>
      </c>
      <c r="B16" s="133" t="s">
        <v>886</v>
      </c>
      <c r="C16" s="134" t="s">
        <v>887</v>
      </c>
      <c r="D16" s="133" t="s">
        <v>205</v>
      </c>
      <c r="E16" s="133" t="s">
        <v>51</v>
      </c>
      <c r="F16" s="133"/>
      <c r="G16" s="133" t="s">
        <v>516</v>
      </c>
      <c r="H16" s="133" t="s">
        <v>891</v>
      </c>
      <c r="I16" s="133" t="s">
        <v>4221</v>
      </c>
      <c r="J16" s="135">
        <v>1</v>
      </c>
      <c r="K16" s="136">
        <v>0.180555555555556</v>
      </c>
      <c r="L16" s="133" t="s">
        <v>4073</v>
      </c>
    </row>
    <row r="17" spans="1:12" ht="60" customHeight="1" x14ac:dyDescent="0.2">
      <c r="A17" s="137" t="s">
        <v>937</v>
      </c>
      <c r="B17" s="137" t="s">
        <v>938</v>
      </c>
      <c r="C17" s="138" t="s">
        <v>939</v>
      </c>
      <c r="D17" s="137" t="s">
        <v>313</v>
      </c>
      <c r="E17" s="137" t="s">
        <v>51</v>
      </c>
      <c r="F17" s="137"/>
      <c r="G17" s="137" t="s">
        <v>516</v>
      </c>
      <c r="H17" s="137" t="s">
        <v>942</v>
      </c>
      <c r="I17" s="137" t="s">
        <v>4222</v>
      </c>
      <c r="J17" s="139">
        <v>1</v>
      </c>
      <c r="K17" s="140">
        <v>0.180555555555556</v>
      </c>
      <c r="L17" s="137" t="s">
        <v>4073</v>
      </c>
    </row>
    <row r="18" spans="1:12" ht="61.5" customHeight="1" x14ac:dyDescent="0.2">
      <c r="A18" s="133" t="s">
        <v>943</v>
      </c>
      <c r="B18" s="133" t="s">
        <v>944</v>
      </c>
      <c r="C18" s="134" t="s">
        <v>945</v>
      </c>
      <c r="D18" s="133" t="s">
        <v>205</v>
      </c>
      <c r="E18" s="133" t="s">
        <v>51</v>
      </c>
      <c r="F18" s="133" t="s">
        <v>48</v>
      </c>
      <c r="G18" s="133" t="s">
        <v>516</v>
      </c>
      <c r="H18" s="133" t="s">
        <v>949</v>
      </c>
      <c r="I18" s="133" t="s">
        <v>4223</v>
      </c>
      <c r="J18" s="135">
        <v>1</v>
      </c>
      <c r="K18" s="136">
        <v>0.180555555555556</v>
      </c>
      <c r="L18" s="133" t="s">
        <v>4073</v>
      </c>
    </row>
    <row r="19" spans="1:12" ht="66" customHeight="1" x14ac:dyDescent="0.2">
      <c r="A19" s="133" t="s">
        <v>1031</v>
      </c>
      <c r="B19" s="133" t="s">
        <v>1032</v>
      </c>
      <c r="C19" s="134" t="s">
        <v>1033</v>
      </c>
      <c r="D19" s="133" t="s">
        <v>205</v>
      </c>
      <c r="E19" s="133" t="s">
        <v>51</v>
      </c>
      <c r="F19" s="133" t="s">
        <v>584</v>
      </c>
      <c r="G19" s="133" t="s">
        <v>516</v>
      </c>
      <c r="H19" s="133" t="s">
        <v>1037</v>
      </c>
      <c r="I19" s="133" t="s">
        <v>4224</v>
      </c>
      <c r="J19" s="135">
        <v>1</v>
      </c>
      <c r="K19" s="136">
        <v>0.180555555555556</v>
      </c>
      <c r="L19" s="133" t="s">
        <v>4073</v>
      </c>
    </row>
    <row r="20" spans="1:12" ht="72" customHeight="1" x14ac:dyDescent="0.2">
      <c r="A20" s="133" t="s">
        <v>1179</v>
      </c>
      <c r="B20" s="133" t="s">
        <v>1180</v>
      </c>
      <c r="C20" s="134" t="s">
        <v>1181</v>
      </c>
      <c r="D20" s="133" t="s">
        <v>205</v>
      </c>
      <c r="E20" s="133" t="s">
        <v>51</v>
      </c>
      <c r="F20" s="133" t="s">
        <v>48</v>
      </c>
      <c r="G20" s="133" t="s">
        <v>516</v>
      </c>
      <c r="H20" s="133" t="s">
        <v>1185</v>
      </c>
      <c r="I20" s="133" t="s">
        <v>4225</v>
      </c>
      <c r="J20" s="135">
        <v>1</v>
      </c>
      <c r="K20" s="136">
        <v>0.180555555555556</v>
      </c>
      <c r="L20" s="133" t="s">
        <v>4073</v>
      </c>
    </row>
    <row r="21" spans="1:12" ht="60" customHeight="1" x14ac:dyDescent="0.2">
      <c r="A21" s="137" t="s">
        <v>1226</v>
      </c>
      <c r="B21" s="137" t="s">
        <v>1227</v>
      </c>
      <c r="C21" s="138" t="s">
        <v>1228</v>
      </c>
      <c r="D21" s="137" t="s">
        <v>230</v>
      </c>
      <c r="E21" s="137" t="s">
        <v>51</v>
      </c>
      <c r="F21" s="137"/>
      <c r="G21" s="137" t="s">
        <v>516</v>
      </c>
      <c r="H21" s="137" t="s">
        <v>1232</v>
      </c>
      <c r="I21" s="137" t="s">
        <v>4226</v>
      </c>
      <c r="J21" s="139">
        <v>1</v>
      </c>
      <c r="K21" s="140">
        <v>0.180555555555556</v>
      </c>
      <c r="L21" s="137" t="s">
        <v>4073</v>
      </c>
    </row>
    <row r="22" spans="1:12" ht="64.5" customHeight="1" x14ac:dyDescent="0.2">
      <c r="A22" s="133" t="s">
        <v>1273</v>
      </c>
      <c r="B22" s="133" t="s">
        <v>1274</v>
      </c>
      <c r="C22" s="134" t="s">
        <v>1275</v>
      </c>
      <c r="D22" s="133" t="s">
        <v>205</v>
      </c>
      <c r="E22" s="133" t="s">
        <v>51</v>
      </c>
      <c r="F22" s="133"/>
      <c r="G22" s="133" t="s">
        <v>516</v>
      </c>
      <c r="H22" s="133" t="s">
        <v>1279</v>
      </c>
      <c r="I22" s="133" t="s">
        <v>4227</v>
      </c>
      <c r="J22" s="135">
        <v>1</v>
      </c>
      <c r="K22" s="136">
        <v>0.180555555555556</v>
      </c>
      <c r="L22" s="133" t="s">
        <v>4073</v>
      </c>
    </row>
    <row r="23" spans="1:12" ht="63.75" customHeight="1" x14ac:dyDescent="0.2">
      <c r="A23" s="137" t="s">
        <v>1281</v>
      </c>
      <c r="B23" s="137" t="s">
        <v>1282</v>
      </c>
      <c r="C23" s="138" t="s">
        <v>1283</v>
      </c>
      <c r="D23" s="137" t="s">
        <v>230</v>
      </c>
      <c r="E23" s="137" t="s">
        <v>51</v>
      </c>
      <c r="F23" s="137"/>
      <c r="G23" s="137" t="s">
        <v>516</v>
      </c>
      <c r="H23" s="137" t="s">
        <v>1287</v>
      </c>
      <c r="I23" s="137" t="s">
        <v>4228</v>
      </c>
      <c r="J23" s="139">
        <v>1</v>
      </c>
      <c r="K23" s="140">
        <v>0.180555555555556</v>
      </c>
      <c r="L23" s="137"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7"/>
  <sheetViews>
    <sheetView zoomScaleNormal="100" workbookViewId="0">
      <pane ySplit="5" topLeftCell="A6" activePane="bottomLeft" state="frozen"/>
      <selection pane="bottomLeft"/>
    </sheetView>
  </sheetViews>
  <sheetFormatPr baseColWidth="10" defaultColWidth="8.6640625" defaultRowHeight="15" x14ac:dyDescent="0.2"/>
  <cols>
    <col min="1" max="1" width="8" customWidth="1"/>
    <col min="2" max="2" width="9" customWidth="1"/>
    <col min="3" max="3" width="28" customWidth="1"/>
    <col min="4" max="4" width="8" customWidth="1"/>
    <col min="5" max="5" width="11" customWidth="1"/>
    <col min="6" max="6" width="12" customWidth="1"/>
    <col min="7" max="7" width="22" customWidth="1"/>
    <col min="8" max="8" width="60" customWidth="1"/>
    <col min="9" max="9" width="80" customWidth="1"/>
    <col min="10" max="10" width="9" customWidth="1"/>
    <col min="11" max="11" width="11" customWidth="1"/>
    <col min="12" max="12" width="13" customWidth="1"/>
  </cols>
  <sheetData>
    <row r="1" spans="1:12" ht="21.75" customHeight="1" x14ac:dyDescent="0.3">
      <c r="A1" s="222" t="s">
        <v>4229</v>
      </c>
      <c r="B1" s="222"/>
      <c r="C1" s="222"/>
      <c r="D1" s="222"/>
      <c r="E1" s="222"/>
      <c r="F1" s="222"/>
      <c r="G1" s="222"/>
      <c r="H1" s="222"/>
      <c r="I1" s="222"/>
      <c r="J1" s="222"/>
    </row>
    <row r="2" spans="1:12" ht="15" customHeight="1" x14ac:dyDescent="0.2">
      <c r="A2" s="223" t="s">
        <v>59</v>
      </c>
      <c r="B2" s="223"/>
      <c r="C2" s="223"/>
      <c r="D2" s="223"/>
      <c r="E2" s="223"/>
      <c r="F2" s="223"/>
      <c r="G2" s="223"/>
      <c r="H2" s="223"/>
      <c r="I2" s="223"/>
      <c r="J2" s="223"/>
    </row>
    <row r="3" spans="1:12" ht="15" customHeight="1" x14ac:dyDescent="0.2">
      <c r="A3" s="224" t="s">
        <v>4230</v>
      </c>
      <c r="B3" s="224"/>
      <c r="C3" s="224"/>
      <c r="D3" s="224"/>
      <c r="E3" s="224"/>
      <c r="F3" s="224"/>
      <c r="G3" s="224"/>
      <c r="H3" s="224"/>
      <c r="I3" s="224"/>
      <c r="J3" s="224"/>
    </row>
    <row r="5" spans="1:12" ht="27.75" customHeight="1" x14ac:dyDescent="0.2">
      <c r="A5" s="132" t="s">
        <v>3416</v>
      </c>
      <c r="B5" s="132" t="s">
        <v>183</v>
      </c>
      <c r="C5" s="132" t="s">
        <v>3344</v>
      </c>
      <c r="D5" s="132" t="s">
        <v>64</v>
      </c>
      <c r="E5" s="132" t="s">
        <v>3430</v>
      </c>
      <c r="F5" s="132" t="s">
        <v>4067</v>
      </c>
      <c r="G5" s="132" t="s">
        <v>94</v>
      </c>
      <c r="H5" s="132" t="s">
        <v>3472</v>
      </c>
      <c r="I5" s="132" t="s">
        <v>4068</v>
      </c>
      <c r="J5" s="132" t="s">
        <v>3270</v>
      </c>
      <c r="K5" s="132" t="s">
        <v>3274</v>
      </c>
      <c r="L5" s="132" t="s">
        <v>66</v>
      </c>
    </row>
    <row r="6" spans="1:12" ht="60" customHeight="1" x14ac:dyDescent="0.2">
      <c r="A6" s="133" t="s">
        <v>537</v>
      </c>
      <c r="B6" s="133" t="s">
        <v>538</v>
      </c>
      <c r="C6" s="134" t="s">
        <v>539</v>
      </c>
      <c r="D6" s="133" t="s">
        <v>205</v>
      </c>
      <c r="E6" s="133" t="s">
        <v>54</v>
      </c>
      <c r="F6" s="133" t="s">
        <v>540</v>
      </c>
      <c r="G6" s="133" t="s">
        <v>541</v>
      </c>
      <c r="H6" s="133" t="s">
        <v>545</v>
      </c>
      <c r="I6" s="133" t="s">
        <v>4069</v>
      </c>
      <c r="J6" s="135">
        <v>1</v>
      </c>
      <c r="K6" s="136">
        <v>0.78125</v>
      </c>
      <c r="L6" s="133" t="s">
        <v>4070</v>
      </c>
    </row>
    <row r="7" spans="1:12" ht="72" customHeight="1" x14ac:dyDescent="0.2">
      <c r="A7" s="133" t="s">
        <v>622</v>
      </c>
      <c r="B7" s="133" t="s">
        <v>623</v>
      </c>
      <c r="C7" s="134" t="s">
        <v>624</v>
      </c>
      <c r="D7" s="133" t="s">
        <v>205</v>
      </c>
      <c r="E7" s="133" t="s">
        <v>54</v>
      </c>
      <c r="F7" s="133" t="s">
        <v>474</v>
      </c>
      <c r="G7" s="133" t="s">
        <v>380</v>
      </c>
      <c r="H7" s="133" t="s">
        <v>628</v>
      </c>
      <c r="I7" s="133" t="s">
        <v>4071</v>
      </c>
      <c r="J7" s="135">
        <v>1</v>
      </c>
      <c r="K7" s="136">
        <v>0.78125</v>
      </c>
      <c r="L7" s="133" t="s">
        <v>4070</v>
      </c>
    </row>
    <row r="8" spans="1:12" ht="67.5" customHeight="1" x14ac:dyDescent="0.2">
      <c r="A8" s="133" t="s">
        <v>751</v>
      </c>
      <c r="B8" s="133" t="s">
        <v>752</v>
      </c>
      <c r="C8" s="134" t="s">
        <v>753</v>
      </c>
      <c r="D8" s="133" t="s">
        <v>205</v>
      </c>
      <c r="E8" s="133" t="s">
        <v>54</v>
      </c>
      <c r="F8" s="133" t="s">
        <v>754</v>
      </c>
      <c r="G8" s="133" t="s">
        <v>595</v>
      </c>
      <c r="H8" s="133" t="s">
        <v>757</v>
      </c>
      <c r="I8" s="133" t="s">
        <v>4075</v>
      </c>
      <c r="J8" s="135">
        <v>1</v>
      </c>
      <c r="K8" s="136">
        <v>0.65104166666666696</v>
      </c>
      <c r="L8" s="133" t="s">
        <v>4070</v>
      </c>
    </row>
    <row r="9" spans="1:12" ht="72" customHeight="1" x14ac:dyDescent="0.2">
      <c r="A9" s="133" t="s">
        <v>771</v>
      </c>
      <c r="B9" s="133" t="s">
        <v>772</v>
      </c>
      <c r="C9" s="134" t="s">
        <v>773</v>
      </c>
      <c r="D9" s="133" t="s">
        <v>205</v>
      </c>
      <c r="E9" s="133" t="s">
        <v>54</v>
      </c>
      <c r="F9" s="133" t="s">
        <v>302</v>
      </c>
      <c r="G9" s="133" t="s">
        <v>380</v>
      </c>
      <c r="H9" s="133" t="s">
        <v>776</v>
      </c>
      <c r="I9" s="133" t="s">
        <v>4081</v>
      </c>
      <c r="J9" s="135">
        <v>1</v>
      </c>
      <c r="K9" s="136">
        <v>0.58333333333333304</v>
      </c>
      <c r="L9" s="133" t="s">
        <v>4070</v>
      </c>
    </row>
    <row r="10" spans="1:12" ht="66" customHeight="1" x14ac:dyDescent="0.2">
      <c r="A10" s="133" t="s">
        <v>1149</v>
      </c>
      <c r="B10" s="133" t="s">
        <v>1150</v>
      </c>
      <c r="C10" s="134" t="s">
        <v>1151</v>
      </c>
      <c r="D10" s="133" t="s">
        <v>205</v>
      </c>
      <c r="E10" s="133" t="s">
        <v>54</v>
      </c>
      <c r="F10" s="133" t="s">
        <v>784</v>
      </c>
      <c r="G10" s="133" t="s">
        <v>541</v>
      </c>
      <c r="H10" s="133" t="s">
        <v>1154</v>
      </c>
      <c r="I10" s="133" t="s">
        <v>4082</v>
      </c>
      <c r="J10" s="135">
        <v>1</v>
      </c>
      <c r="K10" s="136">
        <v>0.58333333333333304</v>
      </c>
      <c r="L10" s="133" t="s">
        <v>4070</v>
      </c>
    </row>
    <row r="11" spans="1:12" ht="75" customHeight="1" x14ac:dyDescent="0.2">
      <c r="A11" s="137" t="s">
        <v>811</v>
      </c>
      <c r="B11" s="137" t="s">
        <v>812</v>
      </c>
      <c r="C11" s="138" t="s">
        <v>813</v>
      </c>
      <c r="D11" s="137" t="s">
        <v>230</v>
      </c>
      <c r="E11" s="137" t="s">
        <v>54</v>
      </c>
      <c r="F11" s="137" t="s">
        <v>814</v>
      </c>
      <c r="G11" s="137" t="s">
        <v>380</v>
      </c>
      <c r="H11" s="137" t="s">
        <v>817</v>
      </c>
      <c r="I11" s="137" t="s">
        <v>4083</v>
      </c>
      <c r="J11" s="139">
        <v>1</v>
      </c>
      <c r="K11" s="140">
        <v>0.56423611111111105</v>
      </c>
      <c r="L11" s="137" t="s">
        <v>4070</v>
      </c>
    </row>
    <row r="12" spans="1:12" ht="60" customHeight="1" x14ac:dyDescent="0.2">
      <c r="A12" s="133" t="s">
        <v>720</v>
      </c>
      <c r="B12" s="133" t="s">
        <v>721</v>
      </c>
      <c r="C12" s="134" t="s">
        <v>722</v>
      </c>
      <c r="D12" s="133" t="s">
        <v>205</v>
      </c>
      <c r="E12" s="133" t="s">
        <v>54</v>
      </c>
      <c r="F12" s="133" t="s">
        <v>403</v>
      </c>
      <c r="G12" s="133" t="s">
        <v>380</v>
      </c>
      <c r="H12" s="133" t="s">
        <v>725</v>
      </c>
      <c r="I12" s="133" t="s">
        <v>4199</v>
      </c>
      <c r="J12" s="135">
        <v>1</v>
      </c>
      <c r="K12" s="136">
        <v>0.48611111111111099</v>
      </c>
      <c r="L12" s="133" t="s">
        <v>4070</v>
      </c>
    </row>
    <row r="13" spans="1:12" ht="69.75" customHeight="1" x14ac:dyDescent="0.2">
      <c r="A13" s="133" t="s">
        <v>781</v>
      </c>
      <c r="B13" s="133" t="s">
        <v>782</v>
      </c>
      <c r="C13" s="134" t="s">
        <v>783</v>
      </c>
      <c r="D13" s="133" t="s">
        <v>205</v>
      </c>
      <c r="E13" s="133" t="s">
        <v>54</v>
      </c>
      <c r="F13" s="133" t="s">
        <v>784</v>
      </c>
      <c r="G13" s="133" t="s">
        <v>541</v>
      </c>
      <c r="H13" s="133" t="s">
        <v>788</v>
      </c>
      <c r="I13" s="133" t="s">
        <v>4090</v>
      </c>
      <c r="J13" s="135">
        <v>1</v>
      </c>
      <c r="K13" s="136">
        <v>0.48611111111111099</v>
      </c>
      <c r="L13" s="133" t="s">
        <v>4070</v>
      </c>
    </row>
    <row r="14" spans="1:12" ht="72" customHeight="1" x14ac:dyDescent="0.2">
      <c r="A14" s="141" t="s">
        <v>902</v>
      </c>
      <c r="B14" s="141" t="s">
        <v>903</v>
      </c>
      <c r="C14" s="142" t="s">
        <v>904</v>
      </c>
      <c r="D14" s="141" t="s">
        <v>230</v>
      </c>
      <c r="E14" s="141" t="s">
        <v>54</v>
      </c>
      <c r="F14" s="141" t="s">
        <v>302</v>
      </c>
      <c r="G14" s="141" t="s">
        <v>380</v>
      </c>
      <c r="H14" s="141" t="s">
        <v>908</v>
      </c>
      <c r="I14" s="141" t="s">
        <v>4092</v>
      </c>
      <c r="J14" s="143">
        <v>1</v>
      </c>
      <c r="K14" s="144">
        <v>0.48611111111111099</v>
      </c>
      <c r="L14" s="141" t="s">
        <v>4070</v>
      </c>
    </row>
    <row r="15" spans="1:12" ht="70.5" customHeight="1" x14ac:dyDescent="0.2">
      <c r="A15" s="133" t="s">
        <v>793</v>
      </c>
      <c r="B15" s="133" t="s">
        <v>794</v>
      </c>
      <c r="C15" s="134" t="s">
        <v>795</v>
      </c>
      <c r="D15" s="133" t="s">
        <v>205</v>
      </c>
      <c r="E15" s="133" t="s">
        <v>54</v>
      </c>
      <c r="F15" s="133" t="s">
        <v>24</v>
      </c>
      <c r="G15" s="133" t="s">
        <v>541</v>
      </c>
      <c r="H15" s="133" t="s">
        <v>799</v>
      </c>
      <c r="I15" s="133" t="s">
        <v>4095</v>
      </c>
      <c r="J15" s="135">
        <v>2</v>
      </c>
      <c r="K15" s="136">
        <v>0.47222222222222199</v>
      </c>
      <c r="L15" s="133" t="s">
        <v>4073</v>
      </c>
    </row>
    <row r="16" spans="1:12" ht="72.75" customHeight="1" x14ac:dyDescent="0.2">
      <c r="A16" s="133" t="s">
        <v>377</v>
      </c>
      <c r="B16" s="133" t="s">
        <v>378</v>
      </c>
      <c r="C16" s="134" t="s">
        <v>379</v>
      </c>
      <c r="D16" s="133" t="s">
        <v>205</v>
      </c>
      <c r="E16" s="133" t="s">
        <v>54</v>
      </c>
      <c r="F16" s="133" t="s">
        <v>302</v>
      </c>
      <c r="G16" s="133" t="s">
        <v>380</v>
      </c>
      <c r="H16" s="133" t="s">
        <v>384</v>
      </c>
      <c r="I16" s="133" t="s">
        <v>4102</v>
      </c>
      <c r="J16" s="135">
        <v>1</v>
      </c>
      <c r="K16" s="136">
        <v>0.4375</v>
      </c>
      <c r="L16" s="133" t="s">
        <v>4070</v>
      </c>
    </row>
    <row r="17" spans="1:12" ht="75.75" customHeight="1" x14ac:dyDescent="0.2">
      <c r="A17" s="133" t="s">
        <v>739</v>
      </c>
      <c r="B17" s="133" t="s">
        <v>740</v>
      </c>
      <c r="C17" s="134" t="s">
        <v>741</v>
      </c>
      <c r="D17" s="133" t="s">
        <v>205</v>
      </c>
      <c r="E17" s="133" t="s">
        <v>54</v>
      </c>
      <c r="F17" s="133" t="s">
        <v>742</v>
      </c>
      <c r="G17" s="133" t="s">
        <v>380</v>
      </c>
      <c r="H17" s="133" t="s">
        <v>746</v>
      </c>
      <c r="I17" s="133" t="s">
        <v>4103</v>
      </c>
      <c r="J17" s="135">
        <v>1</v>
      </c>
      <c r="K17" s="136">
        <v>0.43402777777777801</v>
      </c>
      <c r="L17" s="133" t="s">
        <v>4070</v>
      </c>
    </row>
    <row r="18" spans="1:12" ht="76.5" customHeight="1" x14ac:dyDescent="0.2">
      <c r="A18" s="141" t="s">
        <v>592</v>
      </c>
      <c r="B18" s="141" t="s">
        <v>593</v>
      </c>
      <c r="C18" s="142" t="s">
        <v>594</v>
      </c>
      <c r="D18" s="141" t="s">
        <v>313</v>
      </c>
      <c r="E18" s="141" t="s">
        <v>54</v>
      </c>
      <c r="F18" s="141" t="s">
        <v>302</v>
      </c>
      <c r="G18" s="141" t="s">
        <v>595</v>
      </c>
      <c r="H18" s="141" t="s">
        <v>598</v>
      </c>
      <c r="I18" s="141" t="s">
        <v>4130</v>
      </c>
      <c r="J18" s="143">
        <v>0.5</v>
      </c>
      <c r="K18" s="144">
        <v>0.41319444444444398</v>
      </c>
      <c r="L18" s="141" t="s">
        <v>4073</v>
      </c>
    </row>
    <row r="19" spans="1:12" ht="60" customHeight="1" x14ac:dyDescent="0.2">
      <c r="A19" s="137" t="s">
        <v>822</v>
      </c>
      <c r="B19" s="137" t="s">
        <v>823</v>
      </c>
      <c r="C19" s="138" t="s">
        <v>824</v>
      </c>
      <c r="D19" s="137" t="s">
        <v>230</v>
      </c>
      <c r="E19" s="137" t="s">
        <v>54</v>
      </c>
      <c r="F19" s="137" t="s">
        <v>302</v>
      </c>
      <c r="G19" s="137" t="s">
        <v>380</v>
      </c>
      <c r="H19" s="137" t="s">
        <v>828</v>
      </c>
      <c r="I19" s="137" t="s">
        <v>4209</v>
      </c>
      <c r="J19" s="139">
        <v>1</v>
      </c>
      <c r="K19" s="140">
        <v>0.41319444444444398</v>
      </c>
      <c r="L19" s="137" t="s">
        <v>4073</v>
      </c>
    </row>
    <row r="20" spans="1:12" ht="75" customHeight="1" x14ac:dyDescent="0.2">
      <c r="A20" s="141" t="s">
        <v>640</v>
      </c>
      <c r="B20" s="141" t="s">
        <v>641</v>
      </c>
      <c r="C20" s="142" t="s">
        <v>642</v>
      </c>
      <c r="D20" s="141" t="s">
        <v>230</v>
      </c>
      <c r="E20" s="141" t="s">
        <v>54</v>
      </c>
      <c r="F20" s="141" t="s">
        <v>605</v>
      </c>
      <c r="G20" s="141" t="s">
        <v>248</v>
      </c>
      <c r="H20" s="141" t="s">
        <v>646</v>
      </c>
      <c r="I20" s="141" t="s">
        <v>4231</v>
      </c>
      <c r="J20" s="143">
        <v>2</v>
      </c>
      <c r="K20" s="144">
        <v>0.36111111111111099</v>
      </c>
      <c r="L20" s="141" t="s">
        <v>4073</v>
      </c>
    </row>
    <row r="21" spans="1:12" ht="63.75" customHeight="1" x14ac:dyDescent="0.2">
      <c r="A21" s="133" t="s">
        <v>671</v>
      </c>
      <c r="B21" s="133" t="s">
        <v>672</v>
      </c>
      <c r="C21" s="134" t="s">
        <v>673</v>
      </c>
      <c r="D21" s="133" t="s">
        <v>205</v>
      </c>
      <c r="E21" s="133" t="s">
        <v>54</v>
      </c>
      <c r="F21" s="133" t="s">
        <v>674</v>
      </c>
      <c r="G21" s="133" t="s">
        <v>248</v>
      </c>
      <c r="H21" s="133" t="s">
        <v>678</v>
      </c>
      <c r="I21" s="133" t="s">
        <v>4232</v>
      </c>
      <c r="J21" s="135">
        <v>2</v>
      </c>
      <c r="K21" s="136">
        <v>0.36111111111111099</v>
      </c>
      <c r="L21" s="133" t="s">
        <v>4073</v>
      </c>
    </row>
    <row r="22" spans="1:12" ht="69.75" customHeight="1" x14ac:dyDescent="0.2">
      <c r="A22" s="141" t="s">
        <v>803</v>
      </c>
      <c r="B22" s="141" t="s">
        <v>804</v>
      </c>
      <c r="C22" s="142" t="s">
        <v>805</v>
      </c>
      <c r="D22" s="141" t="s">
        <v>230</v>
      </c>
      <c r="E22" s="141" t="s">
        <v>54</v>
      </c>
      <c r="F22" s="141" t="s">
        <v>247</v>
      </c>
      <c r="G22" s="141" t="s">
        <v>380</v>
      </c>
      <c r="H22" s="141" t="s">
        <v>808</v>
      </c>
      <c r="I22" s="141" t="s">
        <v>4109</v>
      </c>
      <c r="J22" s="143">
        <v>1</v>
      </c>
      <c r="K22" s="144">
        <v>0.35416666666666702</v>
      </c>
      <c r="L22" s="141" t="s">
        <v>4073</v>
      </c>
    </row>
    <row r="23" spans="1:12" ht="78" customHeight="1" x14ac:dyDescent="0.2">
      <c r="A23" s="137" t="s">
        <v>244</v>
      </c>
      <c r="B23" s="137" t="s">
        <v>245</v>
      </c>
      <c r="C23" s="138" t="s">
        <v>246</v>
      </c>
      <c r="D23" s="137" t="s">
        <v>230</v>
      </c>
      <c r="E23" s="137" t="s">
        <v>54</v>
      </c>
      <c r="F23" s="137" t="s">
        <v>247</v>
      </c>
      <c r="G23" s="137" t="s">
        <v>248</v>
      </c>
      <c r="H23" s="137" t="s">
        <v>252</v>
      </c>
      <c r="I23" s="137" t="s">
        <v>4113</v>
      </c>
      <c r="J23" s="139">
        <v>1</v>
      </c>
      <c r="K23" s="140">
        <v>0.29513888888888901</v>
      </c>
      <c r="L23" s="137" t="s">
        <v>4073</v>
      </c>
    </row>
    <row r="24" spans="1:12" ht="60" customHeight="1" x14ac:dyDescent="0.2">
      <c r="A24" s="141" t="s">
        <v>1084</v>
      </c>
      <c r="B24" s="141" t="s">
        <v>1085</v>
      </c>
      <c r="C24" s="142" t="s">
        <v>1086</v>
      </c>
      <c r="D24" s="141" t="s">
        <v>230</v>
      </c>
      <c r="E24" s="141" t="s">
        <v>54</v>
      </c>
      <c r="F24" s="141" t="s">
        <v>972</v>
      </c>
      <c r="G24" s="141" t="s">
        <v>1087</v>
      </c>
      <c r="H24" s="141" t="s">
        <v>1091</v>
      </c>
      <c r="I24" s="141" t="s">
        <v>4181</v>
      </c>
      <c r="J24" s="143">
        <v>1</v>
      </c>
      <c r="K24" s="144">
        <v>0.29513888888888901</v>
      </c>
      <c r="L24" s="141" t="s">
        <v>4073</v>
      </c>
    </row>
    <row r="25" spans="1:12" ht="60" customHeight="1" x14ac:dyDescent="0.2">
      <c r="A25" s="137" t="s">
        <v>496</v>
      </c>
      <c r="B25" s="137" t="s">
        <v>497</v>
      </c>
      <c r="C25" s="138" t="s">
        <v>498</v>
      </c>
      <c r="D25" s="137" t="s">
        <v>313</v>
      </c>
      <c r="E25" s="137" t="s">
        <v>54</v>
      </c>
      <c r="F25" s="137" t="s">
        <v>54</v>
      </c>
      <c r="G25" s="137" t="s">
        <v>248</v>
      </c>
      <c r="H25" s="137" t="s">
        <v>502</v>
      </c>
      <c r="I25" s="137" t="s">
        <v>4233</v>
      </c>
      <c r="J25" s="139">
        <v>1</v>
      </c>
      <c r="K25" s="140">
        <v>0.180555555555556</v>
      </c>
      <c r="L25" s="137" t="s">
        <v>4073</v>
      </c>
    </row>
    <row r="26" spans="1:12" ht="76.5" customHeight="1" x14ac:dyDescent="0.2">
      <c r="A26" s="141" t="s">
        <v>1196</v>
      </c>
      <c r="B26" s="141" t="s">
        <v>1197</v>
      </c>
      <c r="C26" s="142" t="s">
        <v>1198</v>
      </c>
      <c r="D26" s="141" t="s">
        <v>230</v>
      </c>
      <c r="E26" s="141" t="s">
        <v>54</v>
      </c>
      <c r="F26" s="141" t="s">
        <v>1199</v>
      </c>
      <c r="G26" s="141" t="s">
        <v>248</v>
      </c>
      <c r="H26" s="141" t="s">
        <v>1203</v>
      </c>
      <c r="I26" s="141" t="s">
        <v>4234</v>
      </c>
      <c r="J26" s="143">
        <v>1</v>
      </c>
      <c r="K26" s="144">
        <v>0.180555555555556</v>
      </c>
      <c r="L26" s="141" t="s">
        <v>4073</v>
      </c>
    </row>
    <row r="27" spans="1:12" ht="63.75" customHeight="1" x14ac:dyDescent="0.2">
      <c r="A27" s="137" t="s">
        <v>1319</v>
      </c>
      <c r="B27" s="137" t="s">
        <v>1320</v>
      </c>
      <c r="C27" s="138" t="s">
        <v>1321</v>
      </c>
      <c r="D27" s="137" t="s">
        <v>313</v>
      </c>
      <c r="E27" s="137" t="s">
        <v>54</v>
      </c>
      <c r="F27" s="137" t="s">
        <v>54</v>
      </c>
      <c r="G27" s="137" t="s">
        <v>248</v>
      </c>
      <c r="H27" s="137" t="s">
        <v>1324</v>
      </c>
      <c r="I27" s="137" t="s">
        <v>4235</v>
      </c>
      <c r="J27" s="139">
        <v>1</v>
      </c>
      <c r="K27" s="140">
        <v>0.180555555555556</v>
      </c>
      <c r="L27" s="137" t="s">
        <v>4073</v>
      </c>
    </row>
  </sheetData>
  <mergeCells count="3">
    <mergeCell ref="A1:J1"/>
    <mergeCell ref="A2:J2"/>
    <mergeCell ref="A3:J3"/>
  </mergeCells>
  <pageMargins left="0.75" right="0.75" top="1" bottom="1" header="0.511811023622047" footer="0.511811023622047"/>
  <pageSetup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152"/>
  <sheetViews>
    <sheetView zoomScaleNormal="100" workbookViewId="0">
      <pane xSplit="3" ySplit="1" topLeftCell="D2" activePane="bottomRight" state="frozen"/>
      <selection pane="topRight" activeCell="D1" sqref="D1"/>
      <selection pane="bottomLeft" activeCell="A2" sqref="A2"/>
      <selection pane="bottomRight"/>
    </sheetView>
  </sheetViews>
  <sheetFormatPr baseColWidth="10" defaultColWidth="8.6640625" defaultRowHeight="15" x14ac:dyDescent="0.2"/>
  <cols>
    <col min="1" max="1" width="8" customWidth="1"/>
    <col min="2" max="2" width="10" customWidth="1"/>
    <col min="3" max="3" width="38" customWidth="1"/>
    <col min="4" max="4" width="7" customWidth="1"/>
    <col min="5" max="5" width="10" customWidth="1"/>
    <col min="6" max="7" width="22" customWidth="1"/>
    <col min="8" max="8" width="12" customWidth="1"/>
    <col min="9" max="10" width="11" customWidth="1"/>
    <col min="11" max="19" width="5" customWidth="1"/>
    <col min="20" max="20" width="9" customWidth="1"/>
    <col min="21" max="21" width="11" customWidth="1"/>
    <col min="22" max="22" width="10" customWidth="1"/>
    <col min="23" max="23" width="22" customWidth="1"/>
    <col min="24" max="24" width="60" customWidth="1"/>
  </cols>
  <sheetData>
    <row r="1" spans="1:24" ht="15" customHeight="1" x14ac:dyDescent="0.2">
      <c r="A1" t="s">
        <v>3416</v>
      </c>
      <c r="B1" t="s">
        <v>4236</v>
      </c>
      <c r="C1" t="s">
        <v>63</v>
      </c>
      <c r="D1" t="s">
        <v>64</v>
      </c>
      <c r="E1" t="s">
        <v>4237</v>
      </c>
      <c r="F1" t="s">
        <v>94</v>
      </c>
      <c r="G1" t="s">
        <v>3461</v>
      </c>
      <c r="H1" t="s">
        <v>3449</v>
      </c>
      <c r="I1" t="s">
        <v>1570</v>
      </c>
      <c r="J1" t="s">
        <v>3486</v>
      </c>
      <c r="K1" t="s">
        <v>24</v>
      </c>
      <c r="L1" t="s">
        <v>27</v>
      </c>
      <c r="M1" t="s">
        <v>30</v>
      </c>
      <c r="N1" t="s">
        <v>36</v>
      </c>
      <c r="O1" t="s">
        <v>39</v>
      </c>
      <c r="P1" t="s">
        <v>42</v>
      </c>
      <c r="Q1" t="s">
        <v>48</v>
      </c>
      <c r="R1" t="s">
        <v>51</v>
      </c>
      <c r="S1" t="s">
        <v>54</v>
      </c>
      <c r="T1" t="s">
        <v>3502</v>
      </c>
      <c r="U1" t="s">
        <v>3507</v>
      </c>
      <c r="V1" t="s">
        <v>3512</v>
      </c>
      <c r="W1" t="s">
        <v>66</v>
      </c>
      <c r="X1" t="s">
        <v>3472</v>
      </c>
    </row>
    <row r="2" spans="1:24" ht="15" customHeight="1" x14ac:dyDescent="0.2">
      <c r="A2" t="s">
        <v>200</v>
      </c>
      <c r="B2" t="s">
        <v>201</v>
      </c>
      <c r="C2" t="s">
        <v>202</v>
      </c>
      <c r="D2" t="s">
        <v>205</v>
      </c>
      <c r="E2" t="s">
        <v>30</v>
      </c>
      <c r="F2" t="s">
        <v>204</v>
      </c>
      <c r="G2" t="s">
        <v>209</v>
      </c>
      <c r="H2" t="s">
        <v>206</v>
      </c>
      <c r="I2" t="str">
        <f t="shared" ref="I2:I15" si="0">IF(G7="","",IF(OR(G7="Tier 3"),"No",IF(AND(S7&lt;&gt;"",OR(ISNUMBER(SEARCH("OFAC",S7)),ISNUMBER(SEARCH("penal",S7)),ISNUMBER(SEARCH("rojo pendiente",S7)))),"Revisar","Sí")))</f>
        <v>Sí</v>
      </c>
      <c r="J2" t="s">
        <v>213</v>
      </c>
      <c r="K2">
        <f t="shared" ref="K2:K33" si="1">IF(E9="Sí",1,IF(E9="Parcial",0.5,0))+IF(F9="Sí",1,IF(F9="Parcial",0.5,0))+IF(G9="Sí",1,IF(G9="Parcial",0.5,0))+IF(H9="Sí",1,IF(H9="Parcial",0.5,0))</f>
        <v>0</v>
      </c>
      <c r="L2">
        <f t="shared" ref="L2:L33" si="2">IF(I9="Sí",1,IF(I9="Parcial",0.5,0))+IF(J9="Sí",1,IF(J9="Parcial",0.5,0))+IF(K9="Sí",1,IF(K9="Parcial",0.5,0))</f>
        <v>1</v>
      </c>
      <c r="M2">
        <f t="shared" ref="M2:M33" si="3">IF(L9="Sí",1,IF(L9="Parcial",0.5,0))+IF(M9="Sí",1,IF(M9="Parcial",0.5,0))+IF(N9="Sí",1,IF(N9="Parcial",0.5,0))+IF(O9="Sí",1,IF(O9="Parcial",0.5,0))</f>
        <v>0</v>
      </c>
      <c r="N2">
        <f t="shared" ref="N2:N33" si="4">IF(P9="Sí",1,IF(P9="Parcial",0.5,0))+IF(Q9="Sí",1,IF(Q9="Parcial",0.5,0))+IF(R9="Sí",1,IF(R9="Parcial",0.5,0))+IF(S9="Sí",1,IF(S9="Parcial",0.5,0))+IF(T9="Sí",1,IF(T9="Parcial",0.5,0))+IF(U9="Sí",1,IF(U9="Parcial",0.5,0))</f>
        <v>0</v>
      </c>
      <c r="O2">
        <f t="shared" ref="O2:O33" si="5">IF(V9="Sí",1,IF(V9="Parcial",0.5,0))+IF(W9="Sí",1,IF(W9="Parcial",0.5,0))+IF(X9="Sí",1,IF(X9="Parcial",0.5,0))+IF(Y9="Sí",1,IF(Y9="Parcial",0.5,0))</f>
        <v>0</v>
      </c>
      <c r="P2">
        <f t="shared" ref="P2:P33" si="6">IF(Z9="Sí",1,IF(Z9="Parcial",0.5,0))+IF(AA9="Sí",1,IF(AA9="Parcial",0.5,0))+IF(AB9="Sí",1,IF(AB9="Parcial",0.5,0))</f>
        <v>0</v>
      </c>
      <c r="Q2">
        <f t="shared" ref="Q2:Q33" si="7">IF(AC9="Sí",1,IF(AC9="Parcial",0.5,0))+IF(AD9="Sí",1,IF(AD9="Parcial",0.5,0))+IF(AE9="Sí",1,IF(AE9="Parcial",0.5,0))</f>
        <v>0</v>
      </c>
      <c r="R2">
        <f t="shared" ref="R2:R33" si="8">IF(AF9="Sí",1,IF(AF9="Parcial",0.5,0))+IF(AG9="Sí",1,IF(AG9="Parcial",0.5,0))+IF(AH9="Sí",1,IF(AH9="Parcial",0.5,0))</f>
        <v>0</v>
      </c>
      <c r="S2">
        <f t="shared" ref="S2:S33" si="9">IF(AI9="Sí",1,IF(AI9="Parcial",0.5,0))+IF(AJ9="Sí",1,IF(AJ9="Parcial",0.5,0))+IF(AK9="Sí",1,IF(AK9="Parcial",0.5,0))</f>
        <v>0</v>
      </c>
      <c r="T2">
        <f t="shared" ref="T2:T33" si="10">SUM(AL9,AM9,AN9,AO9,AP9,AQ9,AR9,AS9,AT9)</f>
        <v>0</v>
      </c>
      <c r="U2" t="str">
        <f t="shared" ref="U2:U33" si="11">IFERROR(IF(OR(A9="",AU9=0),"",AU9/(IF(AL9&gt;0,1,0)+IF(AM9&gt;0,1,0)+IF(AN9&gt;0,1,0)+IF(AO9&gt;0,1,0)+IF(AP9&gt;0,1,0)+IF(AQ9&gt;0,1,0)+IF(AR9&gt;0,1,0)+IF(AS9&gt;0,1,0)+IF(AT9&gt;0,1,0))),"")</f>
        <v/>
      </c>
      <c r="V2" t="str">
        <f t="shared" ref="V2:V33" si="12">IFERROR(IF(OR(A9="",AU9=""),"",IF(AND(MAX($AU$9:$AU$159)=0,MAX($AW$9:$AW$159)=0),"",0.5*(AU9/MAX($AU$9:$AU$159))+0.5*(AW9/MAX($AW$9:$AW$159)))),"")</f>
        <v/>
      </c>
      <c r="W2" t="str">
        <f t="shared" ref="W2:W33" si="13">IF(A9="","",IF((IF(AL9&gt;=1,1,0)+IF(AM9&gt;=1,1,0)+IF(AN9&gt;=1,1,0)+IF(AO9&gt;=1,1,0)+IF(AP9&gt;=1,1,0)+IF(AQ9&gt;=1,1,0)+IF(AR9&gt;=1,1,0)+IF(AS9&gt;=1,1,0)+IF(AT9&gt;=1,1,0))&gt;=5,"Diversificado (5+ verticales)",IF((IF(AL9&gt;=1,1,0)+IF(AM9&gt;=1,1,0)+IF(AN9&gt;=1,1,0)+IF(AO9&gt;=1,1,0)+IF(AP9&gt;=1,1,0)+IF(AQ9&gt;=1,1,0)+IF(AR9&gt;=1,1,0)+IF(AS9&gt;=1,1,0)+IF(AT9&gt;=1,1,0))&gt;=3,"Multi-capacidad (3-4 verticales)",IF((IF(AL9&gt;=1,1,0)+IF(AM9&gt;=1,1,0)+IF(AN9&gt;=1,1,0)+IF(AO9&gt;=1,1,0)+IF(AP9&gt;=1,1,0)+IF(AQ9&gt;=1,1,0)+IF(AR9&gt;=1,1,0)+IF(AS9&gt;=1,1,0)+IF(AT9&gt;=1,1,0))&gt;=1,"Especialista (1-2 verticales)","Sin función mapeada"))))</f>
        <v>Sin función mapeada</v>
      </c>
      <c r="X2" t="s">
        <v>211</v>
      </c>
    </row>
    <row r="3" spans="1:24" ht="15" customHeight="1" x14ac:dyDescent="0.2">
      <c r="A3" t="s">
        <v>214</v>
      </c>
      <c r="B3" t="s">
        <v>215</v>
      </c>
      <c r="C3" t="s">
        <v>216</v>
      </c>
      <c r="D3" t="s">
        <v>205</v>
      </c>
      <c r="E3" t="s">
        <v>51</v>
      </c>
      <c r="F3" t="s">
        <v>217</v>
      </c>
      <c r="G3" t="s">
        <v>209</v>
      </c>
      <c r="H3" t="s">
        <v>218</v>
      </c>
      <c r="I3" t="str">
        <f t="shared" si="0"/>
        <v>Sí</v>
      </c>
      <c r="J3" t="s">
        <v>225</v>
      </c>
      <c r="K3">
        <f t="shared" si="1"/>
        <v>0</v>
      </c>
      <c r="L3">
        <f t="shared" si="2"/>
        <v>0</v>
      </c>
      <c r="M3">
        <f t="shared" si="3"/>
        <v>0</v>
      </c>
      <c r="N3">
        <f t="shared" si="4"/>
        <v>0</v>
      </c>
      <c r="O3">
        <f t="shared" si="5"/>
        <v>0</v>
      </c>
      <c r="P3">
        <f t="shared" si="6"/>
        <v>0</v>
      </c>
      <c r="Q3">
        <f t="shared" si="7"/>
        <v>0</v>
      </c>
      <c r="R3">
        <f t="shared" si="8"/>
        <v>0</v>
      </c>
      <c r="S3">
        <f t="shared" si="9"/>
        <v>0</v>
      </c>
      <c r="T3">
        <f t="shared" si="10"/>
        <v>0</v>
      </c>
      <c r="U3" t="str">
        <f t="shared" si="11"/>
        <v/>
      </c>
      <c r="V3" t="str">
        <f t="shared" si="12"/>
        <v/>
      </c>
      <c r="W3" t="str">
        <f t="shared" si="13"/>
        <v>Sin función mapeada</v>
      </c>
      <c r="X3" t="s">
        <v>223</v>
      </c>
    </row>
    <row r="4" spans="1:24" ht="15" customHeight="1" x14ac:dyDescent="0.2">
      <c r="A4" t="s">
        <v>226</v>
      </c>
      <c r="B4" t="s">
        <v>227</v>
      </c>
      <c r="C4" t="s">
        <v>228</v>
      </c>
      <c r="D4" t="s">
        <v>230</v>
      </c>
      <c r="E4" t="s">
        <v>30</v>
      </c>
      <c r="F4" t="s">
        <v>204</v>
      </c>
      <c r="G4" t="s">
        <v>209</v>
      </c>
      <c r="H4" t="s">
        <v>218</v>
      </c>
      <c r="I4" t="str">
        <f t="shared" si="0"/>
        <v>Sí</v>
      </c>
      <c r="J4" t="s">
        <v>225</v>
      </c>
      <c r="K4">
        <f t="shared" si="1"/>
        <v>0</v>
      </c>
      <c r="L4">
        <f t="shared" si="2"/>
        <v>1</v>
      </c>
      <c r="M4">
        <f t="shared" si="3"/>
        <v>0</v>
      </c>
      <c r="N4">
        <f t="shared" si="4"/>
        <v>0</v>
      </c>
      <c r="O4">
        <f t="shared" si="5"/>
        <v>0</v>
      </c>
      <c r="P4">
        <f t="shared" si="6"/>
        <v>0</v>
      </c>
      <c r="Q4">
        <f t="shared" si="7"/>
        <v>0</v>
      </c>
      <c r="R4">
        <f t="shared" si="8"/>
        <v>0</v>
      </c>
      <c r="S4">
        <f t="shared" si="9"/>
        <v>0</v>
      </c>
      <c r="T4">
        <f t="shared" si="10"/>
        <v>0</v>
      </c>
      <c r="U4" t="str">
        <f t="shared" si="11"/>
        <v/>
      </c>
      <c r="V4" t="str">
        <f t="shared" si="12"/>
        <v/>
      </c>
      <c r="W4" t="str">
        <f t="shared" si="13"/>
        <v>Sin función mapeada</v>
      </c>
      <c r="X4" t="s">
        <v>234</v>
      </c>
    </row>
    <row r="5" spans="1:24" ht="15" customHeight="1" x14ac:dyDescent="0.2">
      <c r="A5" t="s">
        <v>236</v>
      </c>
      <c r="B5" t="s">
        <v>237</v>
      </c>
      <c r="C5" t="s">
        <v>238</v>
      </c>
      <c r="D5" t="s">
        <v>230</v>
      </c>
      <c r="E5" t="s">
        <v>27</v>
      </c>
      <c r="F5" t="s">
        <v>217</v>
      </c>
      <c r="G5" t="s">
        <v>209</v>
      </c>
      <c r="H5" t="s">
        <v>218</v>
      </c>
      <c r="I5" t="str">
        <f t="shared" si="0"/>
        <v>Sí</v>
      </c>
      <c r="J5" t="s">
        <v>225</v>
      </c>
      <c r="K5">
        <f t="shared" si="1"/>
        <v>0</v>
      </c>
      <c r="L5">
        <f t="shared" si="2"/>
        <v>1</v>
      </c>
      <c r="M5">
        <f t="shared" si="3"/>
        <v>0</v>
      </c>
      <c r="N5">
        <f t="shared" si="4"/>
        <v>0</v>
      </c>
      <c r="O5">
        <f t="shared" si="5"/>
        <v>0</v>
      </c>
      <c r="P5">
        <f t="shared" si="6"/>
        <v>0</v>
      </c>
      <c r="Q5">
        <f t="shared" si="7"/>
        <v>0</v>
      </c>
      <c r="R5">
        <f t="shared" si="8"/>
        <v>0</v>
      </c>
      <c r="S5">
        <f t="shared" si="9"/>
        <v>0</v>
      </c>
      <c r="T5">
        <f t="shared" si="10"/>
        <v>0</v>
      </c>
      <c r="U5" t="str">
        <f t="shared" si="11"/>
        <v/>
      </c>
      <c r="V5" t="str">
        <f t="shared" si="12"/>
        <v/>
      </c>
      <c r="W5" t="str">
        <f t="shared" si="13"/>
        <v>Sin función mapeada</v>
      </c>
      <c r="X5" t="s">
        <v>242</v>
      </c>
    </row>
    <row r="6" spans="1:24" ht="15" customHeight="1" x14ac:dyDescent="0.2">
      <c r="A6" t="s">
        <v>244</v>
      </c>
      <c r="B6" t="s">
        <v>245</v>
      </c>
      <c r="C6" t="s">
        <v>246</v>
      </c>
      <c r="D6" t="s">
        <v>230</v>
      </c>
      <c r="E6" t="s">
        <v>54</v>
      </c>
      <c r="F6" t="s">
        <v>248</v>
      </c>
      <c r="G6" t="s">
        <v>209</v>
      </c>
      <c r="H6" t="s">
        <v>218</v>
      </c>
      <c r="I6" t="str">
        <f t="shared" si="0"/>
        <v>Sí</v>
      </c>
      <c r="J6" t="s">
        <v>213</v>
      </c>
      <c r="K6">
        <f t="shared" si="1"/>
        <v>0</v>
      </c>
      <c r="L6">
        <f t="shared" si="2"/>
        <v>0</v>
      </c>
      <c r="M6">
        <f t="shared" si="3"/>
        <v>0</v>
      </c>
      <c r="N6">
        <f t="shared" si="4"/>
        <v>0</v>
      </c>
      <c r="O6">
        <f t="shared" si="5"/>
        <v>0</v>
      </c>
      <c r="P6">
        <f t="shared" si="6"/>
        <v>0</v>
      </c>
      <c r="Q6">
        <f t="shared" si="7"/>
        <v>0</v>
      </c>
      <c r="R6">
        <f t="shared" si="8"/>
        <v>0</v>
      </c>
      <c r="S6">
        <f t="shared" si="9"/>
        <v>0</v>
      </c>
      <c r="T6">
        <f t="shared" si="10"/>
        <v>0</v>
      </c>
      <c r="U6" t="str">
        <f t="shared" si="11"/>
        <v/>
      </c>
      <c r="V6" t="str">
        <f t="shared" si="12"/>
        <v/>
      </c>
      <c r="W6" t="str">
        <f t="shared" si="13"/>
        <v>Sin función mapeada</v>
      </c>
      <c r="X6" t="s">
        <v>252</v>
      </c>
    </row>
    <row r="7" spans="1:24" ht="15" customHeight="1" x14ac:dyDescent="0.2">
      <c r="A7" t="s">
        <v>255</v>
      </c>
      <c r="B7" t="s">
        <v>256</v>
      </c>
      <c r="C7" t="s">
        <v>257</v>
      </c>
      <c r="D7" t="s">
        <v>230</v>
      </c>
      <c r="E7" t="s">
        <v>27</v>
      </c>
      <c r="F7" t="s">
        <v>217</v>
      </c>
      <c r="G7" t="s">
        <v>209</v>
      </c>
      <c r="H7" t="s">
        <v>218</v>
      </c>
      <c r="I7" t="str">
        <f t="shared" si="0"/>
        <v>Sí</v>
      </c>
      <c r="J7" t="s">
        <v>225</v>
      </c>
      <c r="K7">
        <f t="shared" si="1"/>
        <v>0</v>
      </c>
      <c r="L7">
        <f t="shared" si="2"/>
        <v>1</v>
      </c>
      <c r="M7">
        <f t="shared" si="3"/>
        <v>0</v>
      </c>
      <c r="N7">
        <f t="shared" si="4"/>
        <v>0</v>
      </c>
      <c r="O7">
        <f t="shared" si="5"/>
        <v>0</v>
      </c>
      <c r="P7">
        <f t="shared" si="6"/>
        <v>0</v>
      </c>
      <c r="Q7">
        <f t="shared" si="7"/>
        <v>0</v>
      </c>
      <c r="R7">
        <f t="shared" si="8"/>
        <v>0</v>
      </c>
      <c r="S7">
        <f t="shared" si="9"/>
        <v>0</v>
      </c>
      <c r="T7">
        <f t="shared" si="10"/>
        <v>0</v>
      </c>
      <c r="U7" t="str">
        <f t="shared" si="11"/>
        <v/>
      </c>
      <c r="V7" t="str">
        <f t="shared" si="12"/>
        <v/>
      </c>
      <c r="W7" t="str">
        <f t="shared" si="13"/>
        <v>Sin función mapeada</v>
      </c>
      <c r="X7" t="s">
        <v>262</v>
      </c>
    </row>
    <row r="8" spans="1:24" ht="15" customHeight="1" x14ac:dyDescent="0.2">
      <c r="A8" t="s">
        <v>264</v>
      </c>
      <c r="B8" t="s">
        <v>265</v>
      </c>
      <c r="C8" t="s">
        <v>266</v>
      </c>
      <c r="D8" t="s">
        <v>230</v>
      </c>
      <c r="E8" t="s">
        <v>39</v>
      </c>
      <c r="F8" t="s">
        <v>268</v>
      </c>
      <c r="G8" t="s">
        <v>271</v>
      </c>
      <c r="H8" t="s">
        <v>269</v>
      </c>
      <c r="I8" t="str">
        <f t="shared" si="0"/>
        <v>Sí</v>
      </c>
      <c r="J8" t="s">
        <v>225</v>
      </c>
      <c r="K8">
        <f t="shared" si="1"/>
        <v>0</v>
      </c>
      <c r="L8">
        <f t="shared" si="2"/>
        <v>1</v>
      </c>
      <c r="M8">
        <f t="shared" si="3"/>
        <v>0</v>
      </c>
      <c r="N8">
        <f t="shared" si="4"/>
        <v>0</v>
      </c>
      <c r="O8">
        <f t="shared" si="5"/>
        <v>0</v>
      </c>
      <c r="P8">
        <f t="shared" si="6"/>
        <v>0</v>
      </c>
      <c r="Q8">
        <f t="shared" si="7"/>
        <v>0</v>
      </c>
      <c r="R8">
        <f t="shared" si="8"/>
        <v>0</v>
      </c>
      <c r="S8">
        <f t="shared" si="9"/>
        <v>0</v>
      </c>
      <c r="T8">
        <f t="shared" si="10"/>
        <v>0</v>
      </c>
      <c r="U8" t="str">
        <f t="shared" si="11"/>
        <v/>
      </c>
      <c r="V8" t="str">
        <f t="shared" si="12"/>
        <v/>
      </c>
      <c r="W8" t="str">
        <f t="shared" si="13"/>
        <v>Sin función mapeada</v>
      </c>
      <c r="X8" t="s">
        <v>274</v>
      </c>
    </row>
    <row r="9" spans="1:24" ht="15" customHeight="1" x14ac:dyDescent="0.2">
      <c r="A9" t="s">
        <v>279</v>
      </c>
      <c r="B9" t="s">
        <v>280</v>
      </c>
      <c r="C9" t="s">
        <v>281</v>
      </c>
      <c r="D9" t="s">
        <v>230</v>
      </c>
      <c r="E9" t="s">
        <v>30</v>
      </c>
      <c r="F9" t="s">
        <v>204</v>
      </c>
      <c r="G9" t="s">
        <v>209</v>
      </c>
      <c r="H9" t="s">
        <v>282</v>
      </c>
      <c r="I9" t="str">
        <f t="shared" si="0"/>
        <v>Sí</v>
      </c>
      <c r="J9" t="s">
        <v>225</v>
      </c>
      <c r="K9">
        <f t="shared" si="1"/>
        <v>0</v>
      </c>
      <c r="L9">
        <f t="shared" si="2"/>
        <v>0</v>
      </c>
      <c r="M9">
        <f t="shared" si="3"/>
        <v>0</v>
      </c>
      <c r="N9">
        <f t="shared" si="4"/>
        <v>0</v>
      </c>
      <c r="O9">
        <f t="shared" si="5"/>
        <v>0</v>
      </c>
      <c r="P9">
        <f t="shared" si="6"/>
        <v>0</v>
      </c>
      <c r="Q9">
        <f t="shared" si="7"/>
        <v>0</v>
      </c>
      <c r="R9">
        <f t="shared" si="8"/>
        <v>0</v>
      </c>
      <c r="S9">
        <f t="shared" si="9"/>
        <v>0</v>
      </c>
      <c r="T9">
        <f t="shared" si="10"/>
        <v>0</v>
      </c>
      <c r="U9" t="str">
        <f t="shared" si="11"/>
        <v/>
      </c>
      <c r="V9" t="str">
        <f t="shared" si="12"/>
        <v/>
      </c>
      <c r="W9" t="str">
        <f t="shared" si="13"/>
        <v>Sin función mapeada</v>
      </c>
      <c r="X9" t="s">
        <v>285</v>
      </c>
    </row>
    <row r="10" spans="1:24" ht="15" customHeight="1" x14ac:dyDescent="0.2">
      <c r="A10" t="s">
        <v>288</v>
      </c>
      <c r="B10" t="s">
        <v>289</v>
      </c>
      <c r="C10" t="s">
        <v>290</v>
      </c>
      <c r="D10" t="s">
        <v>205</v>
      </c>
      <c r="E10" t="s">
        <v>30</v>
      </c>
      <c r="F10" t="s">
        <v>204</v>
      </c>
      <c r="G10" t="s">
        <v>293</v>
      </c>
      <c r="H10" t="s">
        <v>269</v>
      </c>
      <c r="I10" t="str">
        <f t="shared" si="0"/>
        <v/>
      </c>
      <c r="J10" t="s">
        <v>213</v>
      </c>
      <c r="K10">
        <f t="shared" si="1"/>
        <v>0</v>
      </c>
      <c r="L10">
        <f t="shared" si="2"/>
        <v>1</v>
      </c>
      <c r="M10">
        <f t="shared" si="3"/>
        <v>0</v>
      </c>
      <c r="N10">
        <f t="shared" si="4"/>
        <v>0</v>
      </c>
      <c r="O10">
        <f t="shared" si="5"/>
        <v>0</v>
      </c>
      <c r="P10">
        <f t="shared" si="6"/>
        <v>0</v>
      </c>
      <c r="Q10">
        <f t="shared" si="7"/>
        <v>0</v>
      </c>
      <c r="R10">
        <f t="shared" si="8"/>
        <v>0</v>
      </c>
      <c r="S10">
        <f t="shared" si="9"/>
        <v>0</v>
      </c>
      <c r="T10">
        <f t="shared" si="10"/>
        <v>0</v>
      </c>
      <c r="U10" t="str">
        <f t="shared" si="11"/>
        <v/>
      </c>
      <c r="V10" t="str">
        <f t="shared" si="12"/>
        <v/>
      </c>
      <c r="W10" t="str">
        <f t="shared" si="13"/>
        <v>Sin función mapeada</v>
      </c>
      <c r="X10" t="s">
        <v>296</v>
      </c>
    </row>
    <row r="11" spans="1:24" ht="15" customHeight="1" x14ac:dyDescent="0.2">
      <c r="A11" t="s">
        <v>299</v>
      </c>
      <c r="B11" t="s">
        <v>300</v>
      </c>
      <c r="C11" t="s">
        <v>301</v>
      </c>
      <c r="D11" t="s">
        <v>205</v>
      </c>
      <c r="E11" t="s">
        <v>30</v>
      </c>
      <c r="F11" t="s">
        <v>204</v>
      </c>
      <c r="G11" t="s">
        <v>209</v>
      </c>
      <c r="H11" t="s">
        <v>303</v>
      </c>
      <c r="I11" t="str">
        <f t="shared" si="0"/>
        <v>Sí</v>
      </c>
      <c r="J11" t="s">
        <v>225</v>
      </c>
      <c r="K11">
        <f t="shared" si="1"/>
        <v>0</v>
      </c>
      <c r="L11">
        <f t="shared" si="2"/>
        <v>1</v>
      </c>
      <c r="M11">
        <f t="shared" si="3"/>
        <v>0</v>
      </c>
      <c r="N11">
        <f t="shared" si="4"/>
        <v>0</v>
      </c>
      <c r="O11">
        <f t="shared" si="5"/>
        <v>0</v>
      </c>
      <c r="P11">
        <f t="shared" si="6"/>
        <v>0</v>
      </c>
      <c r="Q11">
        <f t="shared" si="7"/>
        <v>0</v>
      </c>
      <c r="R11">
        <f t="shared" si="8"/>
        <v>0</v>
      </c>
      <c r="S11">
        <f t="shared" si="9"/>
        <v>0</v>
      </c>
      <c r="T11">
        <f t="shared" si="10"/>
        <v>0</v>
      </c>
      <c r="U11" t="str">
        <f t="shared" si="11"/>
        <v/>
      </c>
      <c r="V11" t="str">
        <f t="shared" si="12"/>
        <v/>
      </c>
      <c r="W11" t="str">
        <f t="shared" si="13"/>
        <v>Sin función mapeada</v>
      </c>
      <c r="X11" t="s">
        <v>306</v>
      </c>
    </row>
    <row r="12" spans="1:24" ht="15" customHeight="1" x14ac:dyDescent="0.2">
      <c r="A12" t="s">
        <v>308</v>
      </c>
      <c r="B12" t="s">
        <v>309</v>
      </c>
      <c r="C12" t="s">
        <v>310</v>
      </c>
      <c r="D12" t="s">
        <v>313</v>
      </c>
      <c r="E12" t="s">
        <v>27</v>
      </c>
      <c r="F12" t="s">
        <v>312</v>
      </c>
      <c r="G12" t="s">
        <v>209</v>
      </c>
      <c r="H12" t="s">
        <v>303</v>
      </c>
      <c r="I12" t="str">
        <f t="shared" si="0"/>
        <v>Sí</v>
      </c>
      <c r="J12" t="s">
        <v>225</v>
      </c>
      <c r="K12">
        <f t="shared" si="1"/>
        <v>0</v>
      </c>
      <c r="L12">
        <f t="shared" si="2"/>
        <v>1</v>
      </c>
      <c r="M12">
        <f t="shared" si="3"/>
        <v>0</v>
      </c>
      <c r="N12">
        <f t="shared" si="4"/>
        <v>0</v>
      </c>
      <c r="O12">
        <f t="shared" si="5"/>
        <v>0</v>
      </c>
      <c r="P12">
        <f t="shared" si="6"/>
        <v>0</v>
      </c>
      <c r="Q12">
        <f t="shared" si="7"/>
        <v>0</v>
      </c>
      <c r="R12">
        <f t="shared" si="8"/>
        <v>0</v>
      </c>
      <c r="S12">
        <f t="shared" si="9"/>
        <v>0</v>
      </c>
      <c r="T12">
        <f t="shared" si="10"/>
        <v>0</v>
      </c>
      <c r="U12" t="str">
        <f t="shared" si="11"/>
        <v/>
      </c>
      <c r="V12" t="str">
        <f t="shared" si="12"/>
        <v/>
      </c>
      <c r="W12" t="str">
        <f t="shared" si="13"/>
        <v>Sin función mapeada</v>
      </c>
      <c r="X12" t="s">
        <v>317</v>
      </c>
    </row>
    <row r="13" spans="1:24" ht="15" customHeight="1" x14ac:dyDescent="0.2">
      <c r="A13" t="s">
        <v>319</v>
      </c>
      <c r="B13" t="s">
        <v>320</v>
      </c>
      <c r="C13" t="s">
        <v>321</v>
      </c>
      <c r="D13" t="s">
        <v>230</v>
      </c>
      <c r="E13" t="s">
        <v>30</v>
      </c>
      <c r="F13" t="s">
        <v>204</v>
      </c>
      <c r="G13" t="s">
        <v>209</v>
      </c>
      <c r="H13" t="s">
        <v>269</v>
      </c>
      <c r="I13" t="str">
        <f t="shared" si="0"/>
        <v/>
      </c>
      <c r="J13" t="s">
        <v>225</v>
      </c>
      <c r="K13">
        <f t="shared" si="1"/>
        <v>0</v>
      </c>
      <c r="L13">
        <f t="shared" si="2"/>
        <v>1</v>
      </c>
      <c r="M13">
        <f t="shared" si="3"/>
        <v>0</v>
      </c>
      <c r="N13">
        <f t="shared" si="4"/>
        <v>0</v>
      </c>
      <c r="O13">
        <f t="shared" si="5"/>
        <v>0</v>
      </c>
      <c r="P13">
        <f t="shared" si="6"/>
        <v>0</v>
      </c>
      <c r="Q13">
        <f t="shared" si="7"/>
        <v>0</v>
      </c>
      <c r="R13">
        <f t="shared" si="8"/>
        <v>0</v>
      </c>
      <c r="S13">
        <f t="shared" si="9"/>
        <v>0</v>
      </c>
      <c r="T13">
        <f t="shared" si="10"/>
        <v>0</v>
      </c>
      <c r="U13" t="str">
        <f t="shared" si="11"/>
        <v/>
      </c>
      <c r="V13" t="str">
        <f t="shared" si="12"/>
        <v/>
      </c>
      <c r="W13" t="str">
        <f t="shared" si="13"/>
        <v>Sin función mapeada</v>
      </c>
      <c r="X13" t="s">
        <v>324</v>
      </c>
    </row>
    <row r="14" spans="1:24" ht="15" customHeight="1" x14ac:dyDescent="0.2">
      <c r="A14" t="s">
        <v>326</v>
      </c>
      <c r="B14" t="s">
        <v>327</v>
      </c>
      <c r="C14" t="s">
        <v>328</v>
      </c>
      <c r="D14" t="s">
        <v>205</v>
      </c>
      <c r="E14" t="s">
        <v>42</v>
      </c>
      <c r="F14" t="s">
        <v>329</v>
      </c>
      <c r="G14" t="s">
        <v>209</v>
      </c>
      <c r="H14" t="s">
        <v>269</v>
      </c>
      <c r="I14" t="str">
        <f t="shared" si="0"/>
        <v>Sí</v>
      </c>
      <c r="J14" t="s">
        <v>225</v>
      </c>
      <c r="K14">
        <f t="shared" si="1"/>
        <v>0</v>
      </c>
      <c r="L14">
        <f t="shared" si="2"/>
        <v>0</v>
      </c>
      <c r="M14">
        <f t="shared" si="3"/>
        <v>0</v>
      </c>
      <c r="N14">
        <f t="shared" si="4"/>
        <v>0</v>
      </c>
      <c r="O14">
        <f t="shared" si="5"/>
        <v>0</v>
      </c>
      <c r="P14">
        <f t="shared" si="6"/>
        <v>0</v>
      </c>
      <c r="Q14">
        <f t="shared" si="7"/>
        <v>0</v>
      </c>
      <c r="R14">
        <f t="shared" si="8"/>
        <v>0</v>
      </c>
      <c r="S14">
        <f t="shared" si="9"/>
        <v>0</v>
      </c>
      <c r="T14">
        <f t="shared" si="10"/>
        <v>0</v>
      </c>
      <c r="U14" t="str">
        <f t="shared" si="11"/>
        <v/>
      </c>
      <c r="V14" t="str">
        <f t="shared" si="12"/>
        <v/>
      </c>
      <c r="W14" t="str">
        <f t="shared" si="13"/>
        <v>Sin función mapeada</v>
      </c>
      <c r="X14" t="s">
        <v>334</v>
      </c>
    </row>
    <row r="15" spans="1:24" ht="15" customHeight="1" x14ac:dyDescent="0.2">
      <c r="A15" t="s">
        <v>336</v>
      </c>
      <c r="B15" t="s">
        <v>337</v>
      </c>
      <c r="C15" t="s">
        <v>338</v>
      </c>
      <c r="D15" t="s">
        <v>230</v>
      </c>
      <c r="E15" t="s">
        <v>27</v>
      </c>
      <c r="F15" t="s">
        <v>339</v>
      </c>
      <c r="H15" t="s">
        <v>340</v>
      </c>
      <c r="I15" t="str">
        <f t="shared" si="0"/>
        <v>Sí</v>
      </c>
      <c r="J15" t="s">
        <v>225</v>
      </c>
      <c r="K15">
        <f t="shared" si="1"/>
        <v>0</v>
      </c>
      <c r="L15">
        <f t="shared" si="2"/>
        <v>1</v>
      </c>
      <c r="M15">
        <f t="shared" si="3"/>
        <v>0</v>
      </c>
      <c r="N15">
        <f t="shared" si="4"/>
        <v>0</v>
      </c>
      <c r="O15">
        <f t="shared" si="5"/>
        <v>0</v>
      </c>
      <c r="P15">
        <f t="shared" si="6"/>
        <v>0</v>
      </c>
      <c r="Q15">
        <f t="shared" si="7"/>
        <v>0</v>
      </c>
      <c r="R15">
        <f t="shared" si="8"/>
        <v>0</v>
      </c>
      <c r="S15">
        <f t="shared" si="9"/>
        <v>0</v>
      </c>
      <c r="T15">
        <f t="shared" si="10"/>
        <v>0</v>
      </c>
      <c r="U15" t="str">
        <f t="shared" si="11"/>
        <v/>
      </c>
      <c r="V15" t="str">
        <f t="shared" si="12"/>
        <v/>
      </c>
      <c r="W15" t="str">
        <f t="shared" si="13"/>
        <v>Sin función mapeada</v>
      </c>
      <c r="X15" t="s">
        <v>344</v>
      </c>
    </row>
    <row r="16" spans="1:24" ht="15" customHeight="1" x14ac:dyDescent="0.2">
      <c r="A16" t="s">
        <v>347</v>
      </c>
      <c r="B16" t="s">
        <v>348</v>
      </c>
      <c r="C16" t="s">
        <v>349</v>
      </c>
      <c r="D16" t="s">
        <v>313</v>
      </c>
      <c r="E16" t="s">
        <v>36</v>
      </c>
      <c r="F16" t="s">
        <v>350</v>
      </c>
      <c r="G16" t="s">
        <v>293</v>
      </c>
      <c r="H16" t="s">
        <v>218</v>
      </c>
      <c r="I16" t="s">
        <v>353</v>
      </c>
      <c r="J16" t="s">
        <v>352</v>
      </c>
      <c r="K16">
        <f t="shared" si="1"/>
        <v>0</v>
      </c>
      <c r="L16">
        <f t="shared" si="2"/>
        <v>1</v>
      </c>
      <c r="M16">
        <f t="shared" si="3"/>
        <v>0</v>
      </c>
      <c r="N16">
        <f t="shared" si="4"/>
        <v>0</v>
      </c>
      <c r="O16">
        <f t="shared" si="5"/>
        <v>0</v>
      </c>
      <c r="P16">
        <f t="shared" si="6"/>
        <v>0</v>
      </c>
      <c r="Q16">
        <f t="shared" si="7"/>
        <v>0</v>
      </c>
      <c r="R16">
        <f t="shared" si="8"/>
        <v>0</v>
      </c>
      <c r="S16">
        <f t="shared" si="9"/>
        <v>0</v>
      </c>
      <c r="T16">
        <f t="shared" si="10"/>
        <v>0</v>
      </c>
      <c r="U16" t="str">
        <f t="shared" si="11"/>
        <v/>
      </c>
      <c r="V16" t="str">
        <f t="shared" si="12"/>
        <v/>
      </c>
      <c r="W16" t="str">
        <f t="shared" si="13"/>
        <v>Sin función mapeada</v>
      </c>
    </row>
    <row r="17" spans="1:24" ht="15" customHeight="1" x14ac:dyDescent="0.2">
      <c r="A17" t="s">
        <v>354</v>
      </c>
      <c r="B17" t="s">
        <v>355</v>
      </c>
      <c r="C17" t="s">
        <v>356</v>
      </c>
      <c r="D17" t="s">
        <v>205</v>
      </c>
      <c r="E17" t="s">
        <v>24</v>
      </c>
      <c r="F17" t="s">
        <v>358</v>
      </c>
      <c r="G17" t="s">
        <v>360</v>
      </c>
      <c r="H17" t="s">
        <v>269</v>
      </c>
      <c r="I17" t="str">
        <f t="shared" ref="I17:I23" si="14">IF(G22="","",IF(OR(G22="Tier 3"),"No",IF(AND(S22&lt;&gt;"",OR(ISNUMBER(SEARCH("OFAC",S22)),ISNUMBER(SEARCH("penal",S22)),ISNUMBER(SEARCH("rojo pendiente",S22)))),"Revisar","Sí")))</f>
        <v>Sí</v>
      </c>
      <c r="J17" t="s">
        <v>225</v>
      </c>
      <c r="K17">
        <f t="shared" si="1"/>
        <v>0</v>
      </c>
      <c r="L17">
        <f t="shared" si="2"/>
        <v>1</v>
      </c>
      <c r="M17">
        <f t="shared" si="3"/>
        <v>0</v>
      </c>
      <c r="N17">
        <f t="shared" si="4"/>
        <v>0</v>
      </c>
      <c r="O17">
        <f t="shared" si="5"/>
        <v>0</v>
      </c>
      <c r="P17">
        <f t="shared" si="6"/>
        <v>0</v>
      </c>
      <c r="Q17">
        <f t="shared" si="7"/>
        <v>0</v>
      </c>
      <c r="R17">
        <f t="shared" si="8"/>
        <v>0</v>
      </c>
      <c r="S17">
        <f t="shared" si="9"/>
        <v>0</v>
      </c>
      <c r="T17">
        <f t="shared" si="10"/>
        <v>0</v>
      </c>
      <c r="U17" t="str">
        <f t="shared" si="11"/>
        <v/>
      </c>
      <c r="V17" t="str">
        <f t="shared" si="12"/>
        <v/>
      </c>
      <c r="W17" t="str">
        <f t="shared" si="13"/>
        <v>Sin función mapeada</v>
      </c>
      <c r="X17" t="s">
        <v>363</v>
      </c>
    </row>
    <row r="18" spans="1:24" ht="15" customHeight="1" x14ac:dyDescent="0.2">
      <c r="A18" t="s">
        <v>367</v>
      </c>
      <c r="B18" t="s">
        <v>368</v>
      </c>
      <c r="C18" t="s">
        <v>369</v>
      </c>
      <c r="D18" t="s">
        <v>230</v>
      </c>
      <c r="E18" t="s">
        <v>24</v>
      </c>
      <c r="F18" t="s">
        <v>370</v>
      </c>
      <c r="H18" t="s">
        <v>269</v>
      </c>
      <c r="I18" t="str">
        <f t="shared" si="14"/>
        <v>Sí</v>
      </c>
      <c r="J18" t="s">
        <v>225</v>
      </c>
      <c r="K18">
        <f t="shared" si="1"/>
        <v>0</v>
      </c>
      <c r="L18">
        <f t="shared" si="2"/>
        <v>1</v>
      </c>
      <c r="M18">
        <f t="shared" si="3"/>
        <v>0</v>
      </c>
      <c r="N18">
        <f t="shared" si="4"/>
        <v>0</v>
      </c>
      <c r="O18">
        <f t="shared" si="5"/>
        <v>0</v>
      </c>
      <c r="P18">
        <f t="shared" si="6"/>
        <v>0</v>
      </c>
      <c r="Q18">
        <f t="shared" si="7"/>
        <v>0</v>
      </c>
      <c r="R18">
        <f t="shared" si="8"/>
        <v>0</v>
      </c>
      <c r="S18">
        <f t="shared" si="9"/>
        <v>0</v>
      </c>
      <c r="T18">
        <f t="shared" si="10"/>
        <v>0</v>
      </c>
      <c r="U18" t="str">
        <f t="shared" si="11"/>
        <v/>
      </c>
      <c r="V18" t="str">
        <f t="shared" si="12"/>
        <v/>
      </c>
      <c r="W18" t="str">
        <f t="shared" si="13"/>
        <v>Sin función mapeada</v>
      </c>
      <c r="X18" t="s">
        <v>374</v>
      </c>
    </row>
    <row r="19" spans="1:24" ht="15" customHeight="1" x14ac:dyDescent="0.2">
      <c r="A19" t="s">
        <v>377</v>
      </c>
      <c r="B19" t="s">
        <v>378</v>
      </c>
      <c r="C19" t="s">
        <v>379</v>
      </c>
      <c r="D19" t="s">
        <v>205</v>
      </c>
      <c r="E19" t="s">
        <v>54</v>
      </c>
      <c r="F19" t="s">
        <v>380</v>
      </c>
      <c r="G19" t="s">
        <v>209</v>
      </c>
      <c r="H19" t="s">
        <v>269</v>
      </c>
      <c r="I19" t="str">
        <f t="shared" si="14"/>
        <v>Sí</v>
      </c>
      <c r="J19" t="s">
        <v>225</v>
      </c>
      <c r="K19">
        <f t="shared" si="1"/>
        <v>0</v>
      </c>
      <c r="L19">
        <f t="shared" si="2"/>
        <v>1</v>
      </c>
      <c r="M19">
        <f t="shared" si="3"/>
        <v>0</v>
      </c>
      <c r="N19">
        <f t="shared" si="4"/>
        <v>0</v>
      </c>
      <c r="O19">
        <f t="shared" si="5"/>
        <v>0</v>
      </c>
      <c r="P19">
        <f t="shared" si="6"/>
        <v>0</v>
      </c>
      <c r="Q19">
        <f t="shared" si="7"/>
        <v>0</v>
      </c>
      <c r="R19">
        <f t="shared" si="8"/>
        <v>0</v>
      </c>
      <c r="S19">
        <f t="shared" si="9"/>
        <v>0</v>
      </c>
      <c r="T19">
        <f t="shared" si="10"/>
        <v>0</v>
      </c>
      <c r="U19" t="str">
        <f t="shared" si="11"/>
        <v/>
      </c>
      <c r="V19" t="str">
        <f t="shared" si="12"/>
        <v/>
      </c>
      <c r="W19" t="str">
        <f t="shared" si="13"/>
        <v>Sin función mapeada</v>
      </c>
      <c r="X19" t="s">
        <v>384</v>
      </c>
    </row>
    <row r="20" spans="1:24" ht="15" customHeight="1" x14ac:dyDescent="0.2">
      <c r="A20" t="s">
        <v>389</v>
      </c>
      <c r="B20" t="s">
        <v>390</v>
      </c>
      <c r="C20" t="s">
        <v>391</v>
      </c>
      <c r="D20" t="s">
        <v>230</v>
      </c>
      <c r="E20" t="s">
        <v>24</v>
      </c>
      <c r="F20" t="s">
        <v>392</v>
      </c>
      <c r="G20" t="s">
        <v>394</v>
      </c>
      <c r="H20" t="s">
        <v>269</v>
      </c>
      <c r="I20" t="str">
        <f t="shared" si="14"/>
        <v>Sí</v>
      </c>
      <c r="J20" t="s">
        <v>225</v>
      </c>
      <c r="K20">
        <f t="shared" si="1"/>
        <v>0</v>
      </c>
      <c r="L20">
        <f t="shared" si="2"/>
        <v>1</v>
      </c>
      <c r="M20">
        <f t="shared" si="3"/>
        <v>0</v>
      </c>
      <c r="N20">
        <f t="shared" si="4"/>
        <v>0</v>
      </c>
      <c r="O20">
        <f t="shared" si="5"/>
        <v>0</v>
      </c>
      <c r="P20">
        <f t="shared" si="6"/>
        <v>0</v>
      </c>
      <c r="Q20">
        <f t="shared" si="7"/>
        <v>0</v>
      </c>
      <c r="R20">
        <f t="shared" si="8"/>
        <v>0</v>
      </c>
      <c r="S20">
        <f t="shared" si="9"/>
        <v>0</v>
      </c>
      <c r="T20">
        <f t="shared" si="10"/>
        <v>0</v>
      </c>
      <c r="U20" t="str">
        <f t="shared" si="11"/>
        <v/>
      </c>
      <c r="V20" t="str">
        <f t="shared" si="12"/>
        <v/>
      </c>
      <c r="W20" t="str">
        <f t="shared" si="13"/>
        <v>Sin función mapeada</v>
      </c>
      <c r="X20" t="s">
        <v>397</v>
      </c>
    </row>
    <row r="21" spans="1:24" ht="15" customHeight="1" x14ac:dyDescent="0.2">
      <c r="A21" t="s">
        <v>400</v>
      </c>
      <c r="B21" t="s">
        <v>401</v>
      </c>
      <c r="C21" t="s">
        <v>402</v>
      </c>
      <c r="D21" t="s">
        <v>205</v>
      </c>
      <c r="E21" t="s">
        <v>39</v>
      </c>
      <c r="F21" t="s">
        <v>404</v>
      </c>
      <c r="G21" t="s">
        <v>406</v>
      </c>
      <c r="H21" t="s">
        <v>269</v>
      </c>
      <c r="I21" t="str">
        <f t="shared" si="14"/>
        <v/>
      </c>
      <c r="J21" t="s">
        <v>225</v>
      </c>
      <c r="K21">
        <f t="shared" si="1"/>
        <v>0</v>
      </c>
      <c r="L21">
        <f t="shared" si="2"/>
        <v>1</v>
      </c>
      <c r="M21">
        <f t="shared" si="3"/>
        <v>0</v>
      </c>
      <c r="N21">
        <f t="shared" si="4"/>
        <v>0</v>
      </c>
      <c r="O21">
        <f t="shared" si="5"/>
        <v>0</v>
      </c>
      <c r="P21">
        <f t="shared" si="6"/>
        <v>0</v>
      </c>
      <c r="Q21">
        <f t="shared" si="7"/>
        <v>0</v>
      </c>
      <c r="R21">
        <f t="shared" si="8"/>
        <v>0</v>
      </c>
      <c r="S21">
        <f t="shared" si="9"/>
        <v>0</v>
      </c>
      <c r="T21">
        <f t="shared" si="10"/>
        <v>0</v>
      </c>
      <c r="U21" t="str">
        <f t="shared" si="11"/>
        <v/>
      </c>
      <c r="V21" t="str">
        <f t="shared" si="12"/>
        <v/>
      </c>
      <c r="W21" t="str">
        <f t="shared" si="13"/>
        <v>Sin función mapeada</v>
      </c>
      <c r="X21" t="s">
        <v>409</v>
      </c>
    </row>
    <row r="22" spans="1:24" ht="15" customHeight="1" x14ac:dyDescent="0.2">
      <c r="A22" t="s">
        <v>413</v>
      </c>
      <c r="B22" t="s">
        <v>414</v>
      </c>
      <c r="C22" t="s">
        <v>415</v>
      </c>
      <c r="D22" t="s">
        <v>313</v>
      </c>
      <c r="E22" t="s">
        <v>24</v>
      </c>
      <c r="F22" t="s">
        <v>417</v>
      </c>
      <c r="G22" t="s">
        <v>209</v>
      </c>
      <c r="H22" t="s">
        <v>269</v>
      </c>
      <c r="I22" t="str">
        <f t="shared" si="14"/>
        <v>Sí</v>
      </c>
      <c r="J22" t="s">
        <v>225</v>
      </c>
      <c r="K22">
        <f t="shared" si="1"/>
        <v>0</v>
      </c>
      <c r="L22">
        <f t="shared" si="2"/>
        <v>1</v>
      </c>
      <c r="M22">
        <f t="shared" si="3"/>
        <v>0</v>
      </c>
      <c r="N22">
        <f t="shared" si="4"/>
        <v>0</v>
      </c>
      <c r="O22">
        <f t="shared" si="5"/>
        <v>0</v>
      </c>
      <c r="P22">
        <f t="shared" si="6"/>
        <v>0</v>
      </c>
      <c r="Q22">
        <f t="shared" si="7"/>
        <v>0</v>
      </c>
      <c r="R22">
        <f t="shared" si="8"/>
        <v>0</v>
      </c>
      <c r="S22">
        <f t="shared" si="9"/>
        <v>0</v>
      </c>
      <c r="T22">
        <f t="shared" si="10"/>
        <v>0</v>
      </c>
      <c r="U22" t="str">
        <f t="shared" si="11"/>
        <v/>
      </c>
      <c r="V22" t="str">
        <f t="shared" si="12"/>
        <v/>
      </c>
      <c r="W22" t="str">
        <f t="shared" si="13"/>
        <v>Sin función mapeada</v>
      </c>
      <c r="X22" t="s">
        <v>421</v>
      </c>
    </row>
    <row r="23" spans="1:24" ht="15" customHeight="1" x14ac:dyDescent="0.2">
      <c r="A23" t="s">
        <v>424</v>
      </c>
      <c r="B23" t="s">
        <v>425</v>
      </c>
      <c r="C23" t="s">
        <v>426</v>
      </c>
      <c r="D23" t="s">
        <v>205</v>
      </c>
      <c r="E23" t="s">
        <v>24</v>
      </c>
      <c r="F23" t="s">
        <v>417</v>
      </c>
      <c r="G23" t="s">
        <v>209</v>
      </c>
      <c r="H23" t="s">
        <v>269</v>
      </c>
      <c r="I23" t="str">
        <f t="shared" si="14"/>
        <v>Sí</v>
      </c>
      <c r="J23" t="s">
        <v>225</v>
      </c>
      <c r="K23">
        <f t="shared" si="1"/>
        <v>0</v>
      </c>
      <c r="L23">
        <f t="shared" si="2"/>
        <v>1</v>
      </c>
      <c r="M23">
        <f t="shared" si="3"/>
        <v>0</v>
      </c>
      <c r="N23">
        <f t="shared" si="4"/>
        <v>0</v>
      </c>
      <c r="O23">
        <f t="shared" si="5"/>
        <v>0</v>
      </c>
      <c r="P23">
        <f t="shared" si="6"/>
        <v>0</v>
      </c>
      <c r="Q23">
        <f t="shared" si="7"/>
        <v>0</v>
      </c>
      <c r="R23">
        <f t="shared" si="8"/>
        <v>0</v>
      </c>
      <c r="S23">
        <f t="shared" si="9"/>
        <v>0</v>
      </c>
      <c r="T23">
        <f t="shared" si="10"/>
        <v>0</v>
      </c>
      <c r="U23" t="str">
        <f t="shared" si="11"/>
        <v/>
      </c>
      <c r="V23" t="str">
        <f t="shared" si="12"/>
        <v/>
      </c>
      <c r="W23" t="str">
        <f t="shared" si="13"/>
        <v>Sin función mapeada</v>
      </c>
      <c r="X23" t="s">
        <v>430</v>
      </c>
    </row>
    <row r="24" spans="1:24" ht="15" customHeight="1" x14ac:dyDescent="0.2">
      <c r="A24" t="s">
        <v>433</v>
      </c>
      <c r="B24" t="s">
        <v>434</v>
      </c>
      <c r="C24" t="s">
        <v>435</v>
      </c>
      <c r="D24" t="s">
        <v>230</v>
      </c>
      <c r="E24" t="s">
        <v>30</v>
      </c>
      <c r="F24" t="s">
        <v>204</v>
      </c>
      <c r="G24" t="s">
        <v>209</v>
      </c>
      <c r="H24" t="s">
        <v>282</v>
      </c>
      <c r="I24" t="str">
        <f t="shared" ref="I24:I46" si="15">IF(G30="","",IF(OR(G30="Tier 3"),"No",IF(AND(S30&lt;&gt;"",OR(ISNUMBER(SEARCH("OFAC",S30)),ISNUMBER(SEARCH("penal",S30)),ISNUMBER(SEARCH("rojo pendiente",S30)))),"Revisar","Sí")))</f>
        <v>Sí</v>
      </c>
      <c r="J24" t="s">
        <v>225</v>
      </c>
      <c r="K24">
        <f t="shared" si="1"/>
        <v>0</v>
      </c>
      <c r="L24">
        <f t="shared" si="2"/>
        <v>1</v>
      </c>
      <c r="M24">
        <f t="shared" si="3"/>
        <v>0</v>
      </c>
      <c r="N24">
        <f t="shared" si="4"/>
        <v>0</v>
      </c>
      <c r="O24">
        <f t="shared" si="5"/>
        <v>0</v>
      </c>
      <c r="P24">
        <f t="shared" si="6"/>
        <v>0</v>
      </c>
      <c r="Q24">
        <f t="shared" si="7"/>
        <v>0</v>
      </c>
      <c r="R24">
        <f t="shared" si="8"/>
        <v>0</v>
      </c>
      <c r="S24">
        <f t="shared" si="9"/>
        <v>0</v>
      </c>
      <c r="T24">
        <f t="shared" si="10"/>
        <v>0</v>
      </c>
      <c r="U24" t="str">
        <f t="shared" si="11"/>
        <v/>
      </c>
      <c r="V24" t="str">
        <f t="shared" si="12"/>
        <v/>
      </c>
      <c r="W24" t="str">
        <f t="shared" si="13"/>
        <v>Sin función mapeada</v>
      </c>
      <c r="X24" t="s">
        <v>438</v>
      </c>
    </row>
    <row r="25" spans="1:24" ht="15" customHeight="1" x14ac:dyDescent="0.2">
      <c r="A25" t="s">
        <v>442</v>
      </c>
      <c r="B25" t="s">
        <v>443</v>
      </c>
      <c r="C25" t="s">
        <v>444</v>
      </c>
      <c r="D25" t="s">
        <v>230</v>
      </c>
      <c r="E25" t="s">
        <v>30</v>
      </c>
      <c r="F25" t="s">
        <v>204</v>
      </c>
      <c r="G25" t="s">
        <v>209</v>
      </c>
      <c r="H25" t="s">
        <v>445</v>
      </c>
      <c r="I25" t="str">
        <f t="shared" si="15"/>
        <v>Sí</v>
      </c>
      <c r="J25" t="s">
        <v>225</v>
      </c>
      <c r="K25">
        <f t="shared" si="1"/>
        <v>0</v>
      </c>
      <c r="L25">
        <f t="shared" si="2"/>
        <v>1</v>
      </c>
      <c r="M25">
        <f t="shared" si="3"/>
        <v>0</v>
      </c>
      <c r="N25">
        <f t="shared" si="4"/>
        <v>0</v>
      </c>
      <c r="O25">
        <f t="shared" si="5"/>
        <v>0</v>
      </c>
      <c r="P25">
        <f t="shared" si="6"/>
        <v>0</v>
      </c>
      <c r="Q25">
        <f t="shared" si="7"/>
        <v>0</v>
      </c>
      <c r="R25">
        <f t="shared" si="8"/>
        <v>0</v>
      </c>
      <c r="S25">
        <f t="shared" si="9"/>
        <v>0</v>
      </c>
      <c r="T25">
        <f t="shared" si="10"/>
        <v>0</v>
      </c>
      <c r="U25" t="str">
        <f t="shared" si="11"/>
        <v/>
      </c>
      <c r="V25" t="str">
        <f t="shared" si="12"/>
        <v/>
      </c>
      <c r="W25" t="str">
        <f t="shared" si="13"/>
        <v>Sin función mapeada</v>
      </c>
      <c r="X25" t="s">
        <v>449</v>
      </c>
    </row>
    <row r="26" spans="1:24" ht="15" customHeight="1" x14ac:dyDescent="0.2">
      <c r="A26" t="s">
        <v>451</v>
      </c>
      <c r="B26" t="s">
        <v>452</v>
      </c>
      <c r="C26" t="s">
        <v>453</v>
      </c>
      <c r="D26" t="s">
        <v>230</v>
      </c>
      <c r="E26" t="s">
        <v>24</v>
      </c>
      <c r="F26" t="s">
        <v>454</v>
      </c>
      <c r="H26" t="s">
        <v>269</v>
      </c>
      <c r="I26" t="str">
        <f t="shared" si="15"/>
        <v>Sí</v>
      </c>
      <c r="J26" t="s">
        <v>225</v>
      </c>
      <c r="K26">
        <f t="shared" si="1"/>
        <v>0</v>
      </c>
      <c r="L26">
        <f t="shared" si="2"/>
        <v>1</v>
      </c>
      <c r="M26">
        <f t="shared" si="3"/>
        <v>0</v>
      </c>
      <c r="N26">
        <f t="shared" si="4"/>
        <v>0</v>
      </c>
      <c r="O26">
        <f t="shared" si="5"/>
        <v>0</v>
      </c>
      <c r="P26">
        <f t="shared" si="6"/>
        <v>0</v>
      </c>
      <c r="Q26">
        <f t="shared" si="7"/>
        <v>0</v>
      </c>
      <c r="R26">
        <f t="shared" si="8"/>
        <v>0</v>
      </c>
      <c r="S26">
        <f t="shared" si="9"/>
        <v>0</v>
      </c>
      <c r="T26">
        <f t="shared" si="10"/>
        <v>0</v>
      </c>
      <c r="U26" t="str">
        <f t="shared" si="11"/>
        <v/>
      </c>
      <c r="V26" t="str">
        <f t="shared" si="12"/>
        <v/>
      </c>
      <c r="W26" t="str">
        <f t="shared" si="13"/>
        <v>Sin función mapeada</v>
      </c>
      <c r="X26" t="s">
        <v>458</v>
      </c>
    </row>
    <row r="27" spans="1:24" ht="15" customHeight="1" x14ac:dyDescent="0.2">
      <c r="A27" t="s">
        <v>462</v>
      </c>
      <c r="B27" t="s">
        <v>463</v>
      </c>
      <c r="C27" t="s">
        <v>464</v>
      </c>
      <c r="D27" t="s">
        <v>205</v>
      </c>
      <c r="E27" t="s">
        <v>24</v>
      </c>
      <c r="F27" t="s">
        <v>466</v>
      </c>
      <c r="G27" t="s">
        <v>271</v>
      </c>
      <c r="H27" t="s">
        <v>269</v>
      </c>
      <c r="I27" t="str">
        <f t="shared" si="15"/>
        <v>Sí</v>
      </c>
      <c r="J27" t="s">
        <v>225</v>
      </c>
      <c r="K27">
        <f t="shared" si="1"/>
        <v>0</v>
      </c>
      <c r="L27">
        <f t="shared" si="2"/>
        <v>1</v>
      </c>
      <c r="M27">
        <f t="shared" si="3"/>
        <v>0</v>
      </c>
      <c r="N27">
        <f t="shared" si="4"/>
        <v>0</v>
      </c>
      <c r="O27">
        <f t="shared" si="5"/>
        <v>0</v>
      </c>
      <c r="P27">
        <f t="shared" si="6"/>
        <v>0</v>
      </c>
      <c r="Q27">
        <f t="shared" si="7"/>
        <v>0</v>
      </c>
      <c r="R27">
        <f t="shared" si="8"/>
        <v>0</v>
      </c>
      <c r="S27">
        <f t="shared" si="9"/>
        <v>0</v>
      </c>
      <c r="T27">
        <f t="shared" si="10"/>
        <v>0</v>
      </c>
      <c r="U27" t="str">
        <f t="shared" si="11"/>
        <v/>
      </c>
      <c r="V27" t="str">
        <f t="shared" si="12"/>
        <v/>
      </c>
      <c r="W27" t="str">
        <f t="shared" si="13"/>
        <v>Sin función mapeada</v>
      </c>
      <c r="X27" t="s">
        <v>470</v>
      </c>
    </row>
    <row r="28" spans="1:24" ht="15" customHeight="1" x14ac:dyDescent="0.2">
      <c r="A28" t="s">
        <v>471</v>
      </c>
      <c r="B28" t="s">
        <v>472</v>
      </c>
      <c r="C28" t="s">
        <v>473</v>
      </c>
      <c r="D28" t="s">
        <v>205</v>
      </c>
      <c r="E28" t="s">
        <v>24</v>
      </c>
      <c r="F28" t="s">
        <v>475</v>
      </c>
      <c r="G28" t="s">
        <v>406</v>
      </c>
      <c r="H28" t="s">
        <v>476</v>
      </c>
      <c r="I28" t="str">
        <f t="shared" si="15"/>
        <v>Sí</v>
      </c>
      <c r="J28" t="s">
        <v>225</v>
      </c>
      <c r="K28">
        <f t="shared" si="1"/>
        <v>0</v>
      </c>
      <c r="L28">
        <f t="shared" si="2"/>
        <v>1</v>
      </c>
      <c r="M28">
        <f t="shared" si="3"/>
        <v>0</v>
      </c>
      <c r="N28">
        <f t="shared" si="4"/>
        <v>0</v>
      </c>
      <c r="O28">
        <f t="shared" si="5"/>
        <v>0</v>
      </c>
      <c r="P28">
        <f t="shared" si="6"/>
        <v>0</v>
      </c>
      <c r="Q28">
        <f t="shared" si="7"/>
        <v>0</v>
      </c>
      <c r="R28">
        <f t="shared" si="8"/>
        <v>0</v>
      </c>
      <c r="S28">
        <f t="shared" si="9"/>
        <v>0</v>
      </c>
      <c r="T28">
        <f t="shared" si="10"/>
        <v>0</v>
      </c>
      <c r="U28" t="str">
        <f t="shared" si="11"/>
        <v/>
      </c>
      <c r="V28" t="str">
        <f t="shared" si="12"/>
        <v/>
      </c>
      <c r="W28" t="str">
        <f t="shared" si="13"/>
        <v>Sin función mapeada</v>
      </c>
      <c r="X28" t="s">
        <v>480</v>
      </c>
    </row>
    <row r="29" spans="1:24" ht="15" customHeight="1" x14ac:dyDescent="0.2">
      <c r="A29" t="s">
        <v>482</v>
      </c>
      <c r="B29" t="s">
        <v>483</v>
      </c>
      <c r="C29" t="s">
        <v>484</v>
      </c>
      <c r="D29" t="s">
        <v>230</v>
      </c>
      <c r="E29" t="s">
        <v>30</v>
      </c>
      <c r="F29" t="s">
        <v>204</v>
      </c>
      <c r="G29" t="s">
        <v>209</v>
      </c>
      <c r="H29" t="s">
        <v>303</v>
      </c>
      <c r="I29" t="str">
        <f t="shared" si="15"/>
        <v>Sí</v>
      </c>
      <c r="J29" t="s">
        <v>225</v>
      </c>
      <c r="K29">
        <f t="shared" si="1"/>
        <v>0</v>
      </c>
      <c r="L29">
        <f t="shared" si="2"/>
        <v>1</v>
      </c>
      <c r="M29">
        <f t="shared" si="3"/>
        <v>0</v>
      </c>
      <c r="N29">
        <f t="shared" si="4"/>
        <v>0</v>
      </c>
      <c r="O29">
        <f t="shared" si="5"/>
        <v>0</v>
      </c>
      <c r="P29">
        <f t="shared" si="6"/>
        <v>0</v>
      </c>
      <c r="Q29">
        <f t="shared" si="7"/>
        <v>0</v>
      </c>
      <c r="R29">
        <f t="shared" si="8"/>
        <v>0</v>
      </c>
      <c r="S29">
        <f t="shared" si="9"/>
        <v>0</v>
      </c>
      <c r="T29">
        <f t="shared" si="10"/>
        <v>0</v>
      </c>
      <c r="U29" t="str">
        <f t="shared" si="11"/>
        <v/>
      </c>
      <c r="V29" t="str">
        <f t="shared" si="12"/>
        <v/>
      </c>
      <c r="W29" t="str">
        <f t="shared" si="13"/>
        <v>Sin función mapeada</v>
      </c>
      <c r="X29" t="s">
        <v>487</v>
      </c>
    </row>
    <row r="30" spans="1:24" ht="15" customHeight="1" x14ac:dyDescent="0.2">
      <c r="A30" t="s">
        <v>489</v>
      </c>
      <c r="B30" t="s">
        <v>490</v>
      </c>
      <c r="C30" t="s">
        <v>491</v>
      </c>
      <c r="D30" t="s">
        <v>230</v>
      </c>
      <c r="E30" t="s">
        <v>24</v>
      </c>
      <c r="F30" t="s">
        <v>417</v>
      </c>
      <c r="G30" t="s">
        <v>209</v>
      </c>
      <c r="H30" t="s">
        <v>269</v>
      </c>
      <c r="I30" t="str">
        <f t="shared" si="15"/>
        <v>Sí</v>
      </c>
      <c r="J30" t="s">
        <v>225</v>
      </c>
      <c r="K30">
        <f t="shared" si="1"/>
        <v>0</v>
      </c>
      <c r="L30">
        <f t="shared" si="2"/>
        <v>1</v>
      </c>
      <c r="M30">
        <f t="shared" si="3"/>
        <v>0</v>
      </c>
      <c r="N30">
        <f t="shared" si="4"/>
        <v>0</v>
      </c>
      <c r="O30">
        <f t="shared" si="5"/>
        <v>0</v>
      </c>
      <c r="P30">
        <f t="shared" si="6"/>
        <v>0</v>
      </c>
      <c r="Q30">
        <f t="shared" si="7"/>
        <v>0</v>
      </c>
      <c r="R30">
        <f t="shared" si="8"/>
        <v>0</v>
      </c>
      <c r="S30">
        <f t="shared" si="9"/>
        <v>0</v>
      </c>
      <c r="T30">
        <f t="shared" si="10"/>
        <v>0</v>
      </c>
      <c r="U30" t="str">
        <f t="shared" si="11"/>
        <v/>
      </c>
      <c r="V30" t="str">
        <f t="shared" si="12"/>
        <v/>
      </c>
      <c r="W30" t="str">
        <f t="shared" si="13"/>
        <v>Sin función mapeada</v>
      </c>
      <c r="X30" t="s">
        <v>494</v>
      </c>
    </row>
    <row r="31" spans="1:24" ht="15" customHeight="1" x14ac:dyDescent="0.2">
      <c r="A31" t="s">
        <v>496</v>
      </c>
      <c r="B31" t="s">
        <v>497</v>
      </c>
      <c r="C31" t="s">
        <v>498</v>
      </c>
      <c r="D31" t="s">
        <v>313</v>
      </c>
      <c r="E31" t="s">
        <v>54</v>
      </c>
      <c r="F31" t="s">
        <v>248</v>
      </c>
      <c r="G31" t="s">
        <v>209</v>
      </c>
      <c r="H31" t="s">
        <v>340</v>
      </c>
      <c r="I31" t="str">
        <f t="shared" si="15"/>
        <v>Sí</v>
      </c>
      <c r="J31" t="s">
        <v>225</v>
      </c>
      <c r="K31">
        <f t="shared" si="1"/>
        <v>0</v>
      </c>
      <c r="L31">
        <f t="shared" si="2"/>
        <v>1</v>
      </c>
      <c r="M31">
        <f t="shared" si="3"/>
        <v>0</v>
      </c>
      <c r="N31">
        <f t="shared" si="4"/>
        <v>0</v>
      </c>
      <c r="O31">
        <f t="shared" si="5"/>
        <v>0</v>
      </c>
      <c r="P31">
        <f t="shared" si="6"/>
        <v>0</v>
      </c>
      <c r="Q31">
        <f t="shared" si="7"/>
        <v>0</v>
      </c>
      <c r="R31">
        <f t="shared" si="8"/>
        <v>0</v>
      </c>
      <c r="S31">
        <f t="shared" si="9"/>
        <v>0</v>
      </c>
      <c r="T31">
        <f t="shared" si="10"/>
        <v>0</v>
      </c>
      <c r="U31" t="str">
        <f t="shared" si="11"/>
        <v/>
      </c>
      <c r="V31" t="str">
        <f t="shared" si="12"/>
        <v/>
      </c>
      <c r="W31" t="str">
        <f t="shared" si="13"/>
        <v>Sin función mapeada</v>
      </c>
      <c r="X31" t="s">
        <v>502</v>
      </c>
    </row>
    <row r="32" spans="1:24" ht="15" customHeight="1" x14ac:dyDescent="0.2">
      <c r="A32" t="s">
        <v>504</v>
      </c>
      <c r="B32" t="s">
        <v>505</v>
      </c>
      <c r="C32" t="s">
        <v>506</v>
      </c>
      <c r="D32" t="s">
        <v>230</v>
      </c>
      <c r="E32" t="s">
        <v>27</v>
      </c>
      <c r="F32" t="s">
        <v>217</v>
      </c>
      <c r="G32" t="s">
        <v>406</v>
      </c>
      <c r="H32" t="s">
        <v>340</v>
      </c>
      <c r="I32" t="str">
        <f t="shared" si="15"/>
        <v>Sí</v>
      </c>
      <c r="J32" t="s">
        <v>225</v>
      </c>
      <c r="K32">
        <f t="shared" si="1"/>
        <v>0</v>
      </c>
      <c r="L32">
        <f t="shared" si="2"/>
        <v>1</v>
      </c>
      <c r="M32">
        <f t="shared" si="3"/>
        <v>0</v>
      </c>
      <c r="N32">
        <f t="shared" si="4"/>
        <v>0</v>
      </c>
      <c r="O32">
        <f t="shared" si="5"/>
        <v>0</v>
      </c>
      <c r="P32">
        <f t="shared" si="6"/>
        <v>0</v>
      </c>
      <c r="Q32">
        <f t="shared" si="7"/>
        <v>0</v>
      </c>
      <c r="R32">
        <f t="shared" si="8"/>
        <v>0</v>
      </c>
      <c r="S32">
        <f t="shared" si="9"/>
        <v>0</v>
      </c>
      <c r="T32">
        <f t="shared" si="10"/>
        <v>0</v>
      </c>
      <c r="U32" t="str">
        <f t="shared" si="11"/>
        <v/>
      </c>
      <c r="V32" t="str">
        <f t="shared" si="12"/>
        <v/>
      </c>
      <c r="W32" t="str">
        <f t="shared" si="13"/>
        <v>Sin función mapeada</v>
      </c>
      <c r="X32" t="s">
        <v>510</v>
      </c>
    </row>
    <row r="33" spans="1:24" ht="15" customHeight="1" x14ac:dyDescent="0.2">
      <c r="A33" t="s">
        <v>513</v>
      </c>
      <c r="B33" t="s">
        <v>514</v>
      </c>
      <c r="C33" t="s">
        <v>515</v>
      </c>
      <c r="D33" t="s">
        <v>230</v>
      </c>
      <c r="E33" t="s">
        <v>51</v>
      </c>
      <c r="F33" t="s">
        <v>516</v>
      </c>
      <c r="G33" t="s">
        <v>293</v>
      </c>
      <c r="H33" t="s">
        <v>269</v>
      </c>
      <c r="I33" t="str">
        <f t="shared" si="15"/>
        <v>Sí</v>
      </c>
      <c r="J33" t="s">
        <v>225</v>
      </c>
      <c r="K33">
        <f t="shared" si="1"/>
        <v>0</v>
      </c>
      <c r="L33">
        <f t="shared" si="2"/>
        <v>1</v>
      </c>
      <c r="M33">
        <f t="shared" si="3"/>
        <v>0</v>
      </c>
      <c r="N33">
        <f t="shared" si="4"/>
        <v>0</v>
      </c>
      <c r="O33">
        <f t="shared" si="5"/>
        <v>0</v>
      </c>
      <c r="P33">
        <f t="shared" si="6"/>
        <v>0</v>
      </c>
      <c r="Q33">
        <f t="shared" si="7"/>
        <v>0</v>
      </c>
      <c r="R33">
        <f t="shared" si="8"/>
        <v>0</v>
      </c>
      <c r="S33">
        <f t="shared" si="9"/>
        <v>0</v>
      </c>
      <c r="T33">
        <f t="shared" si="10"/>
        <v>0</v>
      </c>
      <c r="U33" t="str">
        <f t="shared" si="11"/>
        <v/>
      </c>
      <c r="V33" t="str">
        <f t="shared" si="12"/>
        <v/>
      </c>
      <c r="W33" t="str">
        <f t="shared" si="13"/>
        <v>Sin función mapeada</v>
      </c>
      <c r="X33" t="s">
        <v>519</v>
      </c>
    </row>
    <row r="34" spans="1:24" ht="15" customHeight="1" x14ac:dyDescent="0.2">
      <c r="A34" t="s">
        <v>521</v>
      </c>
      <c r="B34" t="s">
        <v>522</v>
      </c>
      <c r="C34" t="s">
        <v>523</v>
      </c>
      <c r="D34" t="s">
        <v>230</v>
      </c>
      <c r="E34" t="s">
        <v>30</v>
      </c>
      <c r="F34" t="s">
        <v>204</v>
      </c>
      <c r="G34" t="s">
        <v>293</v>
      </c>
      <c r="H34" t="s">
        <v>269</v>
      </c>
      <c r="I34" t="str">
        <f t="shared" si="15"/>
        <v>Sí</v>
      </c>
      <c r="J34" t="s">
        <v>225</v>
      </c>
      <c r="K34">
        <f t="shared" ref="K34:K65" si="16">IF(E41="Sí",1,IF(E41="Parcial",0.5,0))+IF(F41="Sí",1,IF(F41="Parcial",0.5,0))+IF(G41="Sí",1,IF(G41="Parcial",0.5,0))+IF(H41="Sí",1,IF(H41="Parcial",0.5,0))</f>
        <v>0</v>
      </c>
      <c r="L34">
        <f t="shared" ref="L34:L65" si="17">IF(I41="Sí",1,IF(I41="Parcial",0.5,0))+IF(J41="Sí",1,IF(J41="Parcial",0.5,0))+IF(K41="Sí",1,IF(K41="Parcial",0.5,0))</f>
        <v>1</v>
      </c>
      <c r="M34">
        <f t="shared" ref="M34:M65" si="18">IF(L41="Sí",1,IF(L41="Parcial",0.5,0))+IF(M41="Sí",1,IF(M41="Parcial",0.5,0))+IF(N41="Sí",1,IF(N41="Parcial",0.5,0))+IF(O41="Sí",1,IF(O41="Parcial",0.5,0))</f>
        <v>0</v>
      </c>
      <c r="N34">
        <f t="shared" ref="N34:N65" si="19">IF(P41="Sí",1,IF(P41="Parcial",0.5,0))+IF(Q41="Sí",1,IF(Q41="Parcial",0.5,0))+IF(R41="Sí",1,IF(R41="Parcial",0.5,0))+IF(S41="Sí",1,IF(S41="Parcial",0.5,0))+IF(T41="Sí",1,IF(T41="Parcial",0.5,0))+IF(U41="Sí",1,IF(U41="Parcial",0.5,0))</f>
        <v>0</v>
      </c>
      <c r="O34">
        <f t="shared" ref="O34:O65" si="20">IF(V41="Sí",1,IF(V41="Parcial",0.5,0))+IF(W41="Sí",1,IF(W41="Parcial",0.5,0))+IF(X41="Sí",1,IF(X41="Parcial",0.5,0))+IF(Y41="Sí",1,IF(Y41="Parcial",0.5,0))</f>
        <v>0</v>
      </c>
      <c r="P34">
        <f t="shared" ref="P34:P65" si="21">IF(Z41="Sí",1,IF(Z41="Parcial",0.5,0))+IF(AA41="Sí",1,IF(AA41="Parcial",0.5,0))+IF(AB41="Sí",1,IF(AB41="Parcial",0.5,0))</f>
        <v>0</v>
      </c>
      <c r="Q34">
        <f t="shared" ref="Q34:Q65" si="22">IF(AC41="Sí",1,IF(AC41="Parcial",0.5,0))+IF(AD41="Sí",1,IF(AD41="Parcial",0.5,0))+IF(AE41="Sí",1,IF(AE41="Parcial",0.5,0))</f>
        <v>0</v>
      </c>
      <c r="R34">
        <f t="shared" ref="R34:R65" si="23">IF(AF41="Sí",1,IF(AF41="Parcial",0.5,0))+IF(AG41="Sí",1,IF(AG41="Parcial",0.5,0))+IF(AH41="Sí",1,IF(AH41="Parcial",0.5,0))</f>
        <v>0</v>
      </c>
      <c r="S34">
        <f t="shared" ref="S34:S65" si="24">IF(AI41="Sí",1,IF(AI41="Parcial",0.5,0))+IF(AJ41="Sí",1,IF(AJ41="Parcial",0.5,0))+IF(AK41="Sí",1,IF(AK41="Parcial",0.5,0))</f>
        <v>0</v>
      </c>
      <c r="T34">
        <f t="shared" ref="T34:T65" si="25">SUM(AL41,AM41,AN41,AO41,AP41,AQ41,AR41,AS41,AT41)</f>
        <v>0</v>
      </c>
      <c r="U34" t="str">
        <f t="shared" ref="U34:U65" si="26">IFERROR(IF(OR(A41="",AU41=0),"",AU41/(IF(AL41&gt;0,1,0)+IF(AM41&gt;0,1,0)+IF(AN41&gt;0,1,0)+IF(AO41&gt;0,1,0)+IF(AP41&gt;0,1,0)+IF(AQ41&gt;0,1,0)+IF(AR41&gt;0,1,0)+IF(AS41&gt;0,1,0)+IF(AT41&gt;0,1,0))),"")</f>
        <v/>
      </c>
      <c r="V34" t="str">
        <f t="shared" ref="V34:V65" si="27">IFERROR(IF(OR(A41="",AU41=""),"",IF(AND(MAX($AU$9:$AU$159)=0,MAX($AW$9:$AW$159)=0),"",0.5*(AU41/MAX($AU$9:$AU$159))+0.5*(AW41/MAX($AW$9:$AW$159)))),"")</f>
        <v/>
      </c>
      <c r="W34" t="str">
        <f t="shared" ref="W34:W65" si="28">IF(A41="","",IF((IF(AL41&gt;=1,1,0)+IF(AM41&gt;=1,1,0)+IF(AN41&gt;=1,1,0)+IF(AO41&gt;=1,1,0)+IF(AP41&gt;=1,1,0)+IF(AQ41&gt;=1,1,0)+IF(AR41&gt;=1,1,0)+IF(AS41&gt;=1,1,0)+IF(AT41&gt;=1,1,0))&gt;=5,"Diversificado (5+ verticales)",IF((IF(AL41&gt;=1,1,0)+IF(AM41&gt;=1,1,0)+IF(AN41&gt;=1,1,0)+IF(AO41&gt;=1,1,0)+IF(AP41&gt;=1,1,0)+IF(AQ41&gt;=1,1,0)+IF(AR41&gt;=1,1,0)+IF(AS41&gt;=1,1,0)+IF(AT41&gt;=1,1,0))&gt;=3,"Multi-capacidad (3-4 verticales)",IF((IF(AL41&gt;=1,1,0)+IF(AM41&gt;=1,1,0)+IF(AN41&gt;=1,1,0)+IF(AO41&gt;=1,1,0)+IF(AP41&gt;=1,1,0)+IF(AQ41&gt;=1,1,0)+IF(AR41&gt;=1,1,0)+IF(AS41&gt;=1,1,0)+IF(AT41&gt;=1,1,0))&gt;=1,"Especialista (1-2 verticales)","Sin función mapeada"))))</f>
        <v>Sin función mapeada</v>
      </c>
      <c r="X34" t="s">
        <v>526</v>
      </c>
    </row>
    <row r="35" spans="1:24" ht="15" customHeight="1" x14ac:dyDescent="0.2">
      <c r="A35" t="s">
        <v>528</v>
      </c>
      <c r="B35" t="s">
        <v>529</v>
      </c>
      <c r="C35" t="s">
        <v>530</v>
      </c>
      <c r="D35" t="s">
        <v>230</v>
      </c>
      <c r="E35" t="s">
        <v>39</v>
      </c>
      <c r="F35" t="s">
        <v>350</v>
      </c>
      <c r="G35" t="s">
        <v>209</v>
      </c>
      <c r="H35" t="s">
        <v>218</v>
      </c>
      <c r="I35" t="str">
        <f t="shared" si="15"/>
        <v>Sí</v>
      </c>
      <c r="J35" t="s">
        <v>225</v>
      </c>
      <c r="K35">
        <f t="shared" si="16"/>
        <v>0</v>
      </c>
      <c r="L35">
        <f t="shared" si="17"/>
        <v>1</v>
      </c>
      <c r="M35">
        <f t="shared" si="18"/>
        <v>0</v>
      </c>
      <c r="N35">
        <f t="shared" si="19"/>
        <v>0</v>
      </c>
      <c r="O35">
        <f t="shared" si="20"/>
        <v>0</v>
      </c>
      <c r="P35">
        <f t="shared" si="21"/>
        <v>0</v>
      </c>
      <c r="Q35">
        <f t="shared" si="22"/>
        <v>0</v>
      </c>
      <c r="R35">
        <f t="shared" si="23"/>
        <v>0</v>
      </c>
      <c r="S35">
        <f t="shared" si="24"/>
        <v>0</v>
      </c>
      <c r="T35">
        <f t="shared" si="25"/>
        <v>0</v>
      </c>
      <c r="U35" t="str">
        <f t="shared" si="26"/>
        <v/>
      </c>
      <c r="V35" t="str">
        <f t="shared" si="27"/>
        <v/>
      </c>
      <c r="W35" t="str">
        <f t="shared" si="28"/>
        <v>Sin función mapeada</v>
      </c>
      <c r="X35" t="s">
        <v>534</v>
      </c>
    </row>
    <row r="36" spans="1:24" ht="15" customHeight="1" x14ac:dyDescent="0.2">
      <c r="A36" t="s">
        <v>537</v>
      </c>
      <c r="B36" t="s">
        <v>538</v>
      </c>
      <c r="C36" t="s">
        <v>539</v>
      </c>
      <c r="D36" t="s">
        <v>205</v>
      </c>
      <c r="E36" t="s">
        <v>54</v>
      </c>
      <c r="F36" t="s">
        <v>541</v>
      </c>
      <c r="G36" t="s">
        <v>293</v>
      </c>
      <c r="H36" t="s">
        <v>218</v>
      </c>
      <c r="I36" t="str">
        <f t="shared" si="15"/>
        <v>Sí</v>
      </c>
      <c r="J36" t="s">
        <v>225</v>
      </c>
      <c r="K36">
        <f t="shared" si="16"/>
        <v>0</v>
      </c>
      <c r="L36">
        <f t="shared" si="17"/>
        <v>1</v>
      </c>
      <c r="M36">
        <f t="shared" si="18"/>
        <v>0</v>
      </c>
      <c r="N36">
        <f t="shared" si="19"/>
        <v>0</v>
      </c>
      <c r="O36">
        <f t="shared" si="20"/>
        <v>0</v>
      </c>
      <c r="P36">
        <f t="shared" si="21"/>
        <v>0</v>
      </c>
      <c r="Q36">
        <f t="shared" si="22"/>
        <v>0</v>
      </c>
      <c r="R36">
        <f t="shared" si="23"/>
        <v>0</v>
      </c>
      <c r="S36">
        <f t="shared" si="24"/>
        <v>0</v>
      </c>
      <c r="T36">
        <f t="shared" si="25"/>
        <v>0</v>
      </c>
      <c r="U36" t="str">
        <f t="shared" si="26"/>
        <v/>
      </c>
      <c r="V36" t="str">
        <f t="shared" si="27"/>
        <v/>
      </c>
      <c r="W36" t="str">
        <f t="shared" si="28"/>
        <v>Sin función mapeada</v>
      </c>
      <c r="X36" t="s">
        <v>545</v>
      </c>
    </row>
    <row r="37" spans="1:24" ht="15" customHeight="1" x14ac:dyDescent="0.2">
      <c r="A37" t="s">
        <v>549</v>
      </c>
      <c r="B37" t="s">
        <v>550</v>
      </c>
      <c r="C37" t="s">
        <v>551</v>
      </c>
      <c r="D37" t="s">
        <v>230</v>
      </c>
      <c r="E37" t="s">
        <v>27</v>
      </c>
      <c r="F37" t="s">
        <v>552</v>
      </c>
      <c r="G37" t="s">
        <v>293</v>
      </c>
      <c r="H37" t="s">
        <v>218</v>
      </c>
      <c r="I37" t="str">
        <f t="shared" si="15"/>
        <v>Sí</v>
      </c>
      <c r="J37" t="s">
        <v>225</v>
      </c>
      <c r="K37">
        <f t="shared" si="16"/>
        <v>0</v>
      </c>
      <c r="L37">
        <f t="shared" si="17"/>
        <v>1</v>
      </c>
      <c r="M37">
        <f t="shared" si="18"/>
        <v>0</v>
      </c>
      <c r="N37">
        <f t="shared" si="19"/>
        <v>0</v>
      </c>
      <c r="O37">
        <f t="shared" si="20"/>
        <v>0</v>
      </c>
      <c r="P37">
        <f t="shared" si="21"/>
        <v>0</v>
      </c>
      <c r="Q37">
        <f t="shared" si="22"/>
        <v>0</v>
      </c>
      <c r="R37">
        <f t="shared" si="23"/>
        <v>0</v>
      </c>
      <c r="S37">
        <f t="shared" si="24"/>
        <v>0</v>
      </c>
      <c r="T37">
        <f t="shared" si="25"/>
        <v>0</v>
      </c>
      <c r="U37" t="str">
        <f t="shared" si="26"/>
        <v/>
      </c>
      <c r="V37" t="str">
        <f t="shared" si="27"/>
        <v/>
      </c>
      <c r="W37" t="str">
        <f t="shared" si="28"/>
        <v>Sin función mapeada</v>
      </c>
      <c r="X37" t="s">
        <v>556</v>
      </c>
    </row>
    <row r="38" spans="1:24" ht="15" customHeight="1" x14ac:dyDescent="0.2">
      <c r="A38" t="s">
        <v>558</v>
      </c>
      <c r="B38" t="s">
        <v>559</v>
      </c>
      <c r="C38" t="s">
        <v>560</v>
      </c>
      <c r="D38" t="s">
        <v>230</v>
      </c>
      <c r="E38" t="s">
        <v>48</v>
      </c>
      <c r="F38" t="s">
        <v>561</v>
      </c>
      <c r="G38" t="s">
        <v>209</v>
      </c>
      <c r="H38" t="s">
        <v>269</v>
      </c>
      <c r="I38" t="str">
        <f t="shared" si="15"/>
        <v>Sí</v>
      </c>
      <c r="J38" t="s">
        <v>225</v>
      </c>
      <c r="K38">
        <f t="shared" si="16"/>
        <v>0</v>
      </c>
      <c r="L38">
        <f t="shared" si="17"/>
        <v>1</v>
      </c>
      <c r="M38">
        <f t="shared" si="18"/>
        <v>0</v>
      </c>
      <c r="N38">
        <f t="shared" si="19"/>
        <v>0</v>
      </c>
      <c r="O38">
        <f t="shared" si="20"/>
        <v>0</v>
      </c>
      <c r="P38">
        <f t="shared" si="21"/>
        <v>0</v>
      </c>
      <c r="Q38">
        <f t="shared" si="22"/>
        <v>0</v>
      </c>
      <c r="R38">
        <f t="shared" si="23"/>
        <v>0</v>
      </c>
      <c r="S38">
        <f t="shared" si="24"/>
        <v>0</v>
      </c>
      <c r="T38">
        <f t="shared" si="25"/>
        <v>0</v>
      </c>
      <c r="U38" t="str">
        <f t="shared" si="26"/>
        <v/>
      </c>
      <c r="V38" t="str">
        <f t="shared" si="27"/>
        <v/>
      </c>
      <c r="W38" t="str">
        <f t="shared" si="28"/>
        <v>Sin función mapeada</v>
      </c>
      <c r="X38" t="s">
        <v>566</v>
      </c>
    </row>
    <row r="39" spans="1:24" ht="15" customHeight="1" x14ac:dyDescent="0.2">
      <c r="A39" t="s">
        <v>568</v>
      </c>
      <c r="B39" t="s">
        <v>569</v>
      </c>
      <c r="C39" t="s">
        <v>570</v>
      </c>
      <c r="D39" t="s">
        <v>230</v>
      </c>
      <c r="E39" t="s">
        <v>48</v>
      </c>
      <c r="F39" t="s">
        <v>561</v>
      </c>
      <c r="G39" t="s">
        <v>209</v>
      </c>
      <c r="H39" t="s">
        <v>269</v>
      </c>
      <c r="I39" t="str">
        <f t="shared" si="15"/>
        <v>Sí</v>
      </c>
      <c r="J39" t="s">
        <v>225</v>
      </c>
      <c r="K39">
        <f t="shared" si="16"/>
        <v>0</v>
      </c>
      <c r="L39">
        <f t="shared" si="17"/>
        <v>1</v>
      </c>
      <c r="M39">
        <f t="shared" si="18"/>
        <v>0</v>
      </c>
      <c r="N39">
        <f t="shared" si="19"/>
        <v>0</v>
      </c>
      <c r="O39">
        <f t="shared" si="20"/>
        <v>0</v>
      </c>
      <c r="P39">
        <f t="shared" si="21"/>
        <v>0</v>
      </c>
      <c r="Q39">
        <f t="shared" si="22"/>
        <v>0</v>
      </c>
      <c r="R39">
        <f t="shared" si="23"/>
        <v>0</v>
      </c>
      <c r="S39">
        <f t="shared" si="24"/>
        <v>0</v>
      </c>
      <c r="T39">
        <f t="shared" si="25"/>
        <v>0</v>
      </c>
      <c r="U39" t="str">
        <f t="shared" si="26"/>
        <v/>
      </c>
      <c r="V39" t="str">
        <f t="shared" si="27"/>
        <v/>
      </c>
      <c r="W39" t="str">
        <f t="shared" si="28"/>
        <v>Sin función mapeada</v>
      </c>
      <c r="X39" t="s">
        <v>573</v>
      </c>
    </row>
    <row r="40" spans="1:24" ht="15" customHeight="1" x14ac:dyDescent="0.2">
      <c r="A40" t="s">
        <v>574</v>
      </c>
      <c r="B40" t="s">
        <v>575</v>
      </c>
      <c r="C40" t="s">
        <v>576</v>
      </c>
      <c r="D40" t="s">
        <v>230</v>
      </c>
      <c r="E40" t="s">
        <v>48</v>
      </c>
      <c r="F40" t="s">
        <v>561</v>
      </c>
      <c r="G40" t="s">
        <v>209</v>
      </c>
      <c r="H40" t="s">
        <v>269</v>
      </c>
      <c r="I40" t="str">
        <f t="shared" si="15"/>
        <v>Sí</v>
      </c>
      <c r="J40" t="s">
        <v>225</v>
      </c>
      <c r="K40">
        <f t="shared" si="16"/>
        <v>0</v>
      </c>
      <c r="L40">
        <f t="shared" si="17"/>
        <v>1</v>
      </c>
      <c r="M40">
        <f t="shared" si="18"/>
        <v>0</v>
      </c>
      <c r="N40">
        <f t="shared" si="19"/>
        <v>0</v>
      </c>
      <c r="O40">
        <f t="shared" si="20"/>
        <v>0</v>
      </c>
      <c r="P40">
        <f t="shared" si="21"/>
        <v>0</v>
      </c>
      <c r="Q40">
        <f t="shared" si="22"/>
        <v>0</v>
      </c>
      <c r="R40">
        <f t="shared" si="23"/>
        <v>0</v>
      </c>
      <c r="S40">
        <f t="shared" si="24"/>
        <v>0</v>
      </c>
      <c r="T40">
        <f t="shared" si="25"/>
        <v>0</v>
      </c>
      <c r="U40" t="str">
        <f t="shared" si="26"/>
        <v/>
      </c>
      <c r="V40" t="str">
        <f t="shared" si="27"/>
        <v/>
      </c>
      <c r="W40" t="str">
        <f t="shared" si="28"/>
        <v>Sin función mapeada</v>
      </c>
      <c r="X40" t="s">
        <v>579</v>
      </c>
    </row>
    <row r="41" spans="1:24" ht="15" customHeight="1" x14ac:dyDescent="0.2">
      <c r="A41" t="s">
        <v>581</v>
      </c>
      <c r="B41" t="s">
        <v>582</v>
      </c>
      <c r="C41" t="s">
        <v>583</v>
      </c>
      <c r="D41" t="s">
        <v>230</v>
      </c>
      <c r="E41" t="s">
        <v>39</v>
      </c>
      <c r="F41" t="s">
        <v>404</v>
      </c>
      <c r="G41" t="s">
        <v>586</v>
      </c>
      <c r="H41" t="s">
        <v>218</v>
      </c>
      <c r="I41" t="str">
        <f t="shared" si="15"/>
        <v>Sí</v>
      </c>
      <c r="J41" t="s">
        <v>225</v>
      </c>
      <c r="K41">
        <f t="shared" si="16"/>
        <v>0</v>
      </c>
      <c r="L41">
        <f t="shared" si="17"/>
        <v>1</v>
      </c>
      <c r="M41">
        <f t="shared" si="18"/>
        <v>0</v>
      </c>
      <c r="N41">
        <f t="shared" si="19"/>
        <v>0</v>
      </c>
      <c r="O41">
        <f t="shared" si="20"/>
        <v>0</v>
      </c>
      <c r="P41">
        <f t="shared" si="21"/>
        <v>0</v>
      </c>
      <c r="Q41">
        <f t="shared" si="22"/>
        <v>0</v>
      </c>
      <c r="R41">
        <f t="shared" si="23"/>
        <v>0</v>
      </c>
      <c r="S41">
        <f t="shared" si="24"/>
        <v>0</v>
      </c>
      <c r="T41">
        <f t="shared" si="25"/>
        <v>0</v>
      </c>
      <c r="U41" t="str">
        <f t="shared" si="26"/>
        <v/>
      </c>
      <c r="V41" t="str">
        <f t="shared" si="27"/>
        <v/>
      </c>
      <c r="W41" t="str">
        <f t="shared" si="28"/>
        <v>Sin función mapeada</v>
      </c>
      <c r="X41" t="s">
        <v>589</v>
      </c>
    </row>
    <row r="42" spans="1:24" ht="15" customHeight="1" x14ac:dyDescent="0.2">
      <c r="A42" t="s">
        <v>592</v>
      </c>
      <c r="B42" t="s">
        <v>593</v>
      </c>
      <c r="C42" t="s">
        <v>594</v>
      </c>
      <c r="D42" t="s">
        <v>313</v>
      </c>
      <c r="E42" t="s">
        <v>54</v>
      </c>
      <c r="F42" t="s">
        <v>595</v>
      </c>
      <c r="G42" t="s">
        <v>293</v>
      </c>
      <c r="H42" t="s">
        <v>269</v>
      </c>
      <c r="I42" t="str">
        <f t="shared" si="15"/>
        <v>Sí</v>
      </c>
      <c r="J42" t="s">
        <v>225</v>
      </c>
      <c r="K42">
        <f t="shared" si="16"/>
        <v>0</v>
      </c>
      <c r="L42">
        <f t="shared" si="17"/>
        <v>1</v>
      </c>
      <c r="M42">
        <f t="shared" si="18"/>
        <v>0</v>
      </c>
      <c r="N42">
        <f t="shared" si="19"/>
        <v>0</v>
      </c>
      <c r="O42">
        <f t="shared" si="20"/>
        <v>0</v>
      </c>
      <c r="P42">
        <f t="shared" si="21"/>
        <v>0</v>
      </c>
      <c r="Q42">
        <f t="shared" si="22"/>
        <v>0</v>
      </c>
      <c r="R42">
        <f t="shared" si="23"/>
        <v>0</v>
      </c>
      <c r="S42">
        <f t="shared" si="24"/>
        <v>0</v>
      </c>
      <c r="T42">
        <f t="shared" si="25"/>
        <v>0</v>
      </c>
      <c r="U42" t="str">
        <f t="shared" si="26"/>
        <v/>
      </c>
      <c r="V42" t="str">
        <f t="shared" si="27"/>
        <v/>
      </c>
      <c r="W42" t="str">
        <f t="shared" si="28"/>
        <v>Sin función mapeada</v>
      </c>
      <c r="X42" t="s">
        <v>598</v>
      </c>
    </row>
    <row r="43" spans="1:24" ht="15" customHeight="1" x14ac:dyDescent="0.2">
      <c r="A43" t="s">
        <v>602</v>
      </c>
      <c r="B43" t="s">
        <v>603</v>
      </c>
      <c r="C43" t="s">
        <v>604</v>
      </c>
      <c r="D43" t="s">
        <v>205</v>
      </c>
      <c r="E43" t="s">
        <v>42</v>
      </c>
      <c r="F43" t="s">
        <v>329</v>
      </c>
      <c r="G43" t="s">
        <v>209</v>
      </c>
      <c r="H43" t="s">
        <v>303</v>
      </c>
      <c r="I43" t="str">
        <f t="shared" si="15"/>
        <v>Sí</v>
      </c>
      <c r="J43" t="s">
        <v>225</v>
      </c>
      <c r="K43">
        <f t="shared" si="16"/>
        <v>0</v>
      </c>
      <c r="L43">
        <f t="shared" si="17"/>
        <v>1</v>
      </c>
      <c r="M43">
        <f t="shared" si="18"/>
        <v>0</v>
      </c>
      <c r="N43">
        <f t="shared" si="19"/>
        <v>0</v>
      </c>
      <c r="O43">
        <f t="shared" si="20"/>
        <v>0</v>
      </c>
      <c r="P43">
        <f t="shared" si="21"/>
        <v>0</v>
      </c>
      <c r="Q43">
        <f t="shared" si="22"/>
        <v>0</v>
      </c>
      <c r="R43">
        <f t="shared" si="23"/>
        <v>0</v>
      </c>
      <c r="S43">
        <f t="shared" si="24"/>
        <v>0</v>
      </c>
      <c r="T43">
        <f t="shared" si="25"/>
        <v>0</v>
      </c>
      <c r="U43" t="str">
        <f t="shared" si="26"/>
        <v/>
      </c>
      <c r="V43" t="str">
        <f t="shared" si="27"/>
        <v/>
      </c>
      <c r="W43" t="str">
        <f t="shared" si="28"/>
        <v>Sin función mapeada</v>
      </c>
      <c r="X43" t="s">
        <v>609</v>
      </c>
    </row>
    <row r="44" spans="1:24" ht="15" customHeight="1" x14ac:dyDescent="0.2">
      <c r="A44" t="s">
        <v>614</v>
      </c>
      <c r="B44" t="s">
        <v>615</v>
      </c>
      <c r="C44" t="s">
        <v>616</v>
      </c>
      <c r="D44" t="s">
        <v>205</v>
      </c>
      <c r="E44" t="s">
        <v>24</v>
      </c>
      <c r="F44" t="s">
        <v>617</v>
      </c>
      <c r="G44" t="s">
        <v>209</v>
      </c>
      <c r="H44" t="s">
        <v>269</v>
      </c>
      <c r="I44" t="str">
        <f t="shared" si="15"/>
        <v>Sí</v>
      </c>
      <c r="J44" t="s">
        <v>225</v>
      </c>
      <c r="K44">
        <f t="shared" si="16"/>
        <v>0</v>
      </c>
      <c r="L44">
        <f t="shared" si="17"/>
        <v>1</v>
      </c>
      <c r="M44">
        <f t="shared" si="18"/>
        <v>0</v>
      </c>
      <c r="N44">
        <f t="shared" si="19"/>
        <v>0</v>
      </c>
      <c r="O44">
        <f t="shared" si="20"/>
        <v>0</v>
      </c>
      <c r="P44">
        <f t="shared" si="21"/>
        <v>0</v>
      </c>
      <c r="Q44">
        <f t="shared" si="22"/>
        <v>0</v>
      </c>
      <c r="R44">
        <f t="shared" si="23"/>
        <v>0</v>
      </c>
      <c r="S44">
        <f t="shared" si="24"/>
        <v>0</v>
      </c>
      <c r="T44">
        <f t="shared" si="25"/>
        <v>0</v>
      </c>
      <c r="U44" t="str">
        <f t="shared" si="26"/>
        <v/>
      </c>
      <c r="V44" t="str">
        <f t="shared" si="27"/>
        <v/>
      </c>
      <c r="W44" t="str">
        <f t="shared" si="28"/>
        <v>Sin función mapeada</v>
      </c>
      <c r="X44" t="s">
        <v>620</v>
      </c>
    </row>
    <row r="45" spans="1:24" ht="15" customHeight="1" x14ac:dyDescent="0.2">
      <c r="A45" t="s">
        <v>622</v>
      </c>
      <c r="B45" t="s">
        <v>623</v>
      </c>
      <c r="C45" t="s">
        <v>624</v>
      </c>
      <c r="D45" t="s">
        <v>205</v>
      </c>
      <c r="E45" t="s">
        <v>54</v>
      </c>
      <c r="F45" t="s">
        <v>380</v>
      </c>
      <c r="G45" t="s">
        <v>209</v>
      </c>
      <c r="H45" t="s">
        <v>269</v>
      </c>
      <c r="I45" t="str">
        <f t="shared" si="15"/>
        <v>Sí</v>
      </c>
      <c r="J45" t="s">
        <v>225</v>
      </c>
      <c r="K45">
        <f t="shared" si="16"/>
        <v>0</v>
      </c>
      <c r="L45">
        <f t="shared" si="17"/>
        <v>1</v>
      </c>
      <c r="M45">
        <f t="shared" si="18"/>
        <v>0</v>
      </c>
      <c r="N45">
        <f t="shared" si="19"/>
        <v>0</v>
      </c>
      <c r="O45">
        <f t="shared" si="20"/>
        <v>0</v>
      </c>
      <c r="P45">
        <f t="shared" si="21"/>
        <v>0</v>
      </c>
      <c r="Q45">
        <f t="shared" si="22"/>
        <v>0</v>
      </c>
      <c r="R45">
        <f t="shared" si="23"/>
        <v>0</v>
      </c>
      <c r="S45">
        <f t="shared" si="24"/>
        <v>0</v>
      </c>
      <c r="T45">
        <f t="shared" si="25"/>
        <v>0</v>
      </c>
      <c r="U45" t="str">
        <f t="shared" si="26"/>
        <v/>
      </c>
      <c r="V45" t="str">
        <f t="shared" si="27"/>
        <v/>
      </c>
      <c r="W45" t="str">
        <f t="shared" si="28"/>
        <v>Sin función mapeada</v>
      </c>
      <c r="X45" t="s">
        <v>628</v>
      </c>
    </row>
    <row r="46" spans="1:24" ht="15" customHeight="1" x14ac:dyDescent="0.2">
      <c r="A46" t="s">
        <v>632</v>
      </c>
      <c r="B46" t="s">
        <v>633</v>
      </c>
      <c r="C46" t="s">
        <v>634</v>
      </c>
      <c r="D46" t="s">
        <v>205</v>
      </c>
      <c r="E46" t="s">
        <v>42</v>
      </c>
      <c r="F46" t="s">
        <v>329</v>
      </c>
      <c r="G46" t="s">
        <v>406</v>
      </c>
      <c r="H46" t="s">
        <v>476</v>
      </c>
      <c r="I46" t="str">
        <f t="shared" si="15"/>
        <v>Sí</v>
      </c>
      <c r="J46" t="s">
        <v>225</v>
      </c>
      <c r="K46">
        <f t="shared" si="16"/>
        <v>0</v>
      </c>
      <c r="L46">
        <f t="shared" si="17"/>
        <v>1</v>
      </c>
      <c r="M46">
        <f t="shared" si="18"/>
        <v>0</v>
      </c>
      <c r="N46">
        <f t="shared" si="19"/>
        <v>0</v>
      </c>
      <c r="O46">
        <f t="shared" si="20"/>
        <v>0</v>
      </c>
      <c r="P46">
        <f t="shared" si="21"/>
        <v>0</v>
      </c>
      <c r="Q46">
        <f t="shared" si="22"/>
        <v>0</v>
      </c>
      <c r="R46">
        <f t="shared" si="23"/>
        <v>0</v>
      </c>
      <c r="S46">
        <f t="shared" si="24"/>
        <v>0</v>
      </c>
      <c r="T46">
        <f t="shared" si="25"/>
        <v>0</v>
      </c>
      <c r="U46" t="str">
        <f t="shared" si="26"/>
        <v/>
      </c>
      <c r="V46" t="str">
        <f t="shared" si="27"/>
        <v/>
      </c>
      <c r="W46" t="str">
        <f t="shared" si="28"/>
        <v>Sin función mapeada</v>
      </c>
      <c r="X46" t="s">
        <v>638</v>
      </c>
    </row>
    <row r="47" spans="1:24" ht="15" customHeight="1" x14ac:dyDescent="0.2">
      <c r="A47" t="s">
        <v>640</v>
      </c>
      <c r="B47" t="s">
        <v>641</v>
      </c>
      <c r="C47" t="s">
        <v>642</v>
      </c>
      <c r="D47" t="s">
        <v>230</v>
      </c>
      <c r="E47" t="s">
        <v>54</v>
      </c>
      <c r="F47" t="s">
        <v>248</v>
      </c>
      <c r="G47" t="s">
        <v>293</v>
      </c>
      <c r="H47" t="s">
        <v>269</v>
      </c>
      <c r="I47" t="str">
        <f t="shared" ref="I47:I68" si="29">IF(G54="","",IF(OR(G54="Tier 3"),"No",IF(AND(S54&lt;&gt;"",OR(ISNUMBER(SEARCH("OFAC",S54)),ISNUMBER(SEARCH("penal",S54)),ISNUMBER(SEARCH("rojo pendiente",S54)))),"Revisar","Sí")))</f>
        <v>Sí</v>
      </c>
      <c r="J47" t="s">
        <v>225</v>
      </c>
      <c r="K47">
        <f t="shared" si="16"/>
        <v>0</v>
      </c>
      <c r="L47">
        <f t="shared" si="17"/>
        <v>1</v>
      </c>
      <c r="M47">
        <f t="shared" si="18"/>
        <v>0</v>
      </c>
      <c r="N47">
        <f t="shared" si="19"/>
        <v>0</v>
      </c>
      <c r="O47">
        <f t="shared" si="20"/>
        <v>0</v>
      </c>
      <c r="P47">
        <f t="shared" si="21"/>
        <v>0</v>
      </c>
      <c r="Q47">
        <f t="shared" si="22"/>
        <v>0</v>
      </c>
      <c r="R47">
        <f t="shared" si="23"/>
        <v>0</v>
      </c>
      <c r="S47">
        <f t="shared" si="24"/>
        <v>0</v>
      </c>
      <c r="T47">
        <f t="shared" si="25"/>
        <v>0</v>
      </c>
      <c r="U47" t="str">
        <f t="shared" si="26"/>
        <v/>
      </c>
      <c r="V47" t="str">
        <f t="shared" si="27"/>
        <v/>
      </c>
      <c r="W47" t="str">
        <f t="shared" si="28"/>
        <v>Sin función mapeada</v>
      </c>
      <c r="X47" t="s">
        <v>646</v>
      </c>
    </row>
    <row r="48" spans="1:24" ht="15" customHeight="1" x14ac:dyDescent="0.2">
      <c r="A48" t="s">
        <v>647</v>
      </c>
      <c r="B48" t="s">
        <v>648</v>
      </c>
      <c r="C48" t="s">
        <v>649</v>
      </c>
      <c r="D48" t="s">
        <v>205</v>
      </c>
      <c r="E48" t="s">
        <v>27</v>
      </c>
      <c r="F48" t="s">
        <v>552</v>
      </c>
      <c r="G48" t="s">
        <v>293</v>
      </c>
      <c r="H48" t="s">
        <v>218</v>
      </c>
      <c r="I48" t="str">
        <f t="shared" si="29"/>
        <v>Sí</v>
      </c>
      <c r="J48" t="s">
        <v>225</v>
      </c>
      <c r="K48">
        <f t="shared" si="16"/>
        <v>0</v>
      </c>
      <c r="L48">
        <f t="shared" si="17"/>
        <v>1</v>
      </c>
      <c r="M48">
        <f t="shared" si="18"/>
        <v>0</v>
      </c>
      <c r="N48">
        <f t="shared" si="19"/>
        <v>0</v>
      </c>
      <c r="O48">
        <f t="shared" si="20"/>
        <v>0</v>
      </c>
      <c r="P48">
        <f t="shared" si="21"/>
        <v>0</v>
      </c>
      <c r="Q48">
        <f t="shared" si="22"/>
        <v>0</v>
      </c>
      <c r="R48">
        <f t="shared" si="23"/>
        <v>0</v>
      </c>
      <c r="S48">
        <f t="shared" si="24"/>
        <v>0</v>
      </c>
      <c r="T48">
        <f t="shared" si="25"/>
        <v>0</v>
      </c>
      <c r="U48" t="str">
        <f t="shared" si="26"/>
        <v/>
      </c>
      <c r="V48" t="str">
        <f t="shared" si="27"/>
        <v/>
      </c>
      <c r="W48" t="str">
        <f t="shared" si="28"/>
        <v>Sin función mapeada</v>
      </c>
      <c r="X48" t="s">
        <v>652</v>
      </c>
    </row>
    <row r="49" spans="1:24" ht="15" customHeight="1" x14ac:dyDescent="0.2">
      <c r="A49" t="s">
        <v>654</v>
      </c>
      <c r="B49" t="s">
        <v>655</v>
      </c>
      <c r="C49" t="s">
        <v>656</v>
      </c>
      <c r="D49" t="s">
        <v>313</v>
      </c>
      <c r="E49" t="s">
        <v>27</v>
      </c>
      <c r="F49" t="s">
        <v>552</v>
      </c>
      <c r="G49" t="s">
        <v>209</v>
      </c>
      <c r="H49" t="s">
        <v>269</v>
      </c>
      <c r="I49" t="str">
        <f t="shared" si="29"/>
        <v>Sí</v>
      </c>
      <c r="J49" t="s">
        <v>225</v>
      </c>
      <c r="K49">
        <f t="shared" si="16"/>
        <v>0</v>
      </c>
      <c r="L49">
        <f t="shared" si="17"/>
        <v>1</v>
      </c>
      <c r="M49">
        <f t="shared" si="18"/>
        <v>0</v>
      </c>
      <c r="N49">
        <f t="shared" si="19"/>
        <v>0</v>
      </c>
      <c r="O49">
        <f t="shared" si="20"/>
        <v>0</v>
      </c>
      <c r="P49">
        <f t="shared" si="21"/>
        <v>0</v>
      </c>
      <c r="Q49">
        <f t="shared" si="22"/>
        <v>0</v>
      </c>
      <c r="R49">
        <f t="shared" si="23"/>
        <v>0</v>
      </c>
      <c r="S49">
        <f t="shared" si="24"/>
        <v>0</v>
      </c>
      <c r="T49">
        <f t="shared" si="25"/>
        <v>0</v>
      </c>
      <c r="U49" t="str">
        <f t="shared" si="26"/>
        <v/>
      </c>
      <c r="V49" t="str">
        <f t="shared" si="27"/>
        <v/>
      </c>
      <c r="W49" t="str">
        <f t="shared" si="28"/>
        <v>Sin función mapeada</v>
      </c>
      <c r="X49" t="s">
        <v>660</v>
      </c>
    </row>
    <row r="50" spans="1:24" ht="15" customHeight="1" x14ac:dyDescent="0.2">
      <c r="A50" t="s">
        <v>663</v>
      </c>
      <c r="B50" t="s">
        <v>664</v>
      </c>
      <c r="C50" t="s">
        <v>665</v>
      </c>
      <c r="D50" t="s">
        <v>230</v>
      </c>
      <c r="E50" t="s">
        <v>39</v>
      </c>
      <c r="F50" t="s">
        <v>350</v>
      </c>
      <c r="G50" t="s">
        <v>293</v>
      </c>
      <c r="H50" t="s">
        <v>303</v>
      </c>
      <c r="I50" t="str">
        <f t="shared" si="29"/>
        <v>Sí</v>
      </c>
      <c r="J50" t="s">
        <v>225</v>
      </c>
      <c r="K50">
        <f t="shared" si="16"/>
        <v>0</v>
      </c>
      <c r="L50">
        <f t="shared" si="17"/>
        <v>1</v>
      </c>
      <c r="M50">
        <f t="shared" si="18"/>
        <v>0</v>
      </c>
      <c r="N50">
        <f t="shared" si="19"/>
        <v>0</v>
      </c>
      <c r="O50">
        <f t="shared" si="20"/>
        <v>0</v>
      </c>
      <c r="P50">
        <f t="shared" si="21"/>
        <v>0</v>
      </c>
      <c r="Q50">
        <f t="shared" si="22"/>
        <v>0</v>
      </c>
      <c r="R50">
        <f t="shared" si="23"/>
        <v>0</v>
      </c>
      <c r="S50">
        <f t="shared" si="24"/>
        <v>0</v>
      </c>
      <c r="T50">
        <f t="shared" si="25"/>
        <v>0</v>
      </c>
      <c r="U50" t="str">
        <f t="shared" si="26"/>
        <v/>
      </c>
      <c r="V50" t="str">
        <f t="shared" si="27"/>
        <v/>
      </c>
      <c r="W50" t="str">
        <f t="shared" si="28"/>
        <v>Sin función mapeada</v>
      </c>
      <c r="X50" t="s">
        <v>668</v>
      </c>
    </row>
    <row r="51" spans="1:24" ht="15" customHeight="1" x14ac:dyDescent="0.2">
      <c r="A51" t="s">
        <v>671</v>
      </c>
      <c r="B51" t="s">
        <v>672</v>
      </c>
      <c r="C51" t="s">
        <v>673</v>
      </c>
      <c r="D51" t="s">
        <v>205</v>
      </c>
      <c r="E51" t="s">
        <v>54</v>
      </c>
      <c r="F51" t="s">
        <v>248</v>
      </c>
      <c r="G51" t="s">
        <v>209</v>
      </c>
      <c r="H51" t="s">
        <v>218</v>
      </c>
      <c r="I51" t="str">
        <f t="shared" si="29"/>
        <v>Sí</v>
      </c>
      <c r="J51" t="s">
        <v>225</v>
      </c>
      <c r="K51">
        <f t="shared" si="16"/>
        <v>0</v>
      </c>
      <c r="L51">
        <f t="shared" si="17"/>
        <v>1</v>
      </c>
      <c r="M51">
        <f t="shared" si="18"/>
        <v>0</v>
      </c>
      <c r="N51">
        <f t="shared" si="19"/>
        <v>0</v>
      </c>
      <c r="O51">
        <f t="shared" si="20"/>
        <v>0</v>
      </c>
      <c r="P51">
        <f t="shared" si="21"/>
        <v>0</v>
      </c>
      <c r="Q51">
        <f t="shared" si="22"/>
        <v>0</v>
      </c>
      <c r="R51">
        <f t="shared" si="23"/>
        <v>0</v>
      </c>
      <c r="S51">
        <f t="shared" si="24"/>
        <v>0</v>
      </c>
      <c r="T51">
        <f t="shared" si="25"/>
        <v>0</v>
      </c>
      <c r="U51" t="str">
        <f t="shared" si="26"/>
        <v/>
      </c>
      <c r="V51" t="str">
        <f t="shared" si="27"/>
        <v/>
      </c>
      <c r="W51" t="str">
        <f t="shared" si="28"/>
        <v>Sin función mapeada</v>
      </c>
      <c r="X51" t="s">
        <v>678</v>
      </c>
    </row>
    <row r="52" spans="1:24" ht="15" customHeight="1" x14ac:dyDescent="0.2">
      <c r="A52" t="s">
        <v>680</v>
      </c>
      <c r="B52" t="s">
        <v>681</v>
      </c>
      <c r="C52" t="s">
        <v>682</v>
      </c>
      <c r="D52" t="s">
        <v>205</v>
      </c>
      <c r="E52" t="s">
        <v>51</v>
      </c>
      <c r="F52" t="s">
        <v>516</v>
      </c>
      <c r="G52" t="s">
        <v>209</v>
      </c>
      <c r="H52" t="s">
        <v>340</v>
      </c>
      <c r="I52" t="str">
        <f t="shared" si="29"/>
        <v>Sí</v>
      </c>
      <c r="J52" t="s">
        <v>225</v>
      </c>
      <c r="K52">
        <f t="shared" si="16"/>
        <v>0</v>
      </c>
      <c r="L52">
        <f t="shared" si="17"/>
        <v>1</v>
      </c>
      <c r="M52">
        <f t="shared" si="18"/>
        <v>0</v>
      </c>
      <c r="N52">
        <f t="shared" si="19"/>
        <v>0</v>
      </c>
      <c r="O52">
        <f t="shared" si="20"/>
        <v>0</v>
      </c>
      <c r="P52">
        <f t="shared" si="21"/>
        <v>0</v>
      </c>
      <c r="Q52">
        <f t="shared" si="22"/>
        <v>0</v>
      </c>
      <c r="R52">
        <f t="shared" si="23"/>
        <v>0</v>
      </c>
      <c r="S52">
        <f t="shared" si="24"/>
        <v>0</v>
      </c>
      <c r="T52">
        <f t="shared" si="25"/>
        <v>0</v>
      </c>
      <c r="U52" t="str">
        <f t="shared" si="26"/>
        <v/>
      </c>
      <c r="V52" t="str">
        <f t="shared" si="27"/>
        <v/>
      </c>
      <c r="W52" t="str">
        <f t="shared" si="28"/>
        <v>Sin función mapeada</v>
      </c>
      <c r="X52" t="s">
        <v>686</v>
      </c>
    </row>
    <row r="53" spans="1:24" ht="15" customHeight="1" x14ac:dyDescent="0.2">
      <c r="A53" t="s">
        <v>688</v>
      </c>
      <c r="B53" t="s">
        <v>689</v>
      </c>
      <c r="C53" t="s">
        <v>690</v>
      </c>
      <c r="D53" t="s">
        <v>230</v>
      </c>
      <c r="E53" t="s">
        <v>24</v>
      </c>
      <c r="F53" t="s">
        <v>475</v>
      </c>
      <c r="G53" t="s">
        <v>406</v>
      </c>
      <c r="H53" t="s">
        <v>303</v>
      </c>
      <c r="I53" t="str">
        <f t="shared" si="29"/>
        <v>Sí</v>
      </c>
      <c r="J53" t="s">
        <v>225</v>
      </c>
      <c r="K53">
        <f t="shared" si="16"/>
        <v>0</v>
      </c>
      <c r="L53">
        <f t="shared" si="17"/>
        <v>1</v>
      </c>
      <c r="M53">
        <f t="shared" si="18"/>
        <v>0</v>
      </c>
      <c r="N53">
        <f t="shared" si="19"/>
        <v>0</v>
      </c>
      <c r="O53">
        <f t="shared" si="20"/>
        <v>0</v>
      </c>
      <c r="P53">
        <f t="shared" si="21"/>
        <v>0</v>
      </c>
      <c r="Q53">
        <f t="shared" si="22"/>
        <v>0</v>
      </c>
      <c r="R53">
        <f t="shared" si="23"/>
        <v>0</v>
      </c>
      <c r="S53">
        <f t="shared" si="24"/>
        <v>0</v>
      </c>
      <c r="T53">
        <f t="shared" si="25"/>
        <v>0</v>
      </c>
      <c r="U53" t="str">
        <f t="shared" si="26"/>
        <v/>
      </c>
      <c r="V53" t="str">
        <f t="shared" si="27"/>
        <v/>
      </c>
      <c r="W53" t="str">
        <f t="shared" si="28"/>
        <v>Sin función mapeada</v>
      </c>
      <c r="X53" t="s">
        <v>694</v>
      </c>
    </row>
    <row r="54" spans="1:24" ht="15" customHeight="1" x14ac:dyDescent="0.2">
      <c r="A54" t="s">
        <v>696</v>
      </c>
      <c r="B54" t="s">
        <v>697</v>
      </c>
      <c r="C54" t="s">
        <v>698</v>
      </c>
      <c r="D54" t="s">
        <v>205</v>
      </c>
      <c r="E54" t="s">
        <v>30</v>
      </c>
      <c r="F54" t="s">
        <v>204</v>
      </c>
      <c r="G54" t="s">
        <v>293</v>
      </c>
      <c r="H54" t="s">
        <v>269</v>
      </c>
      <c r="I54" t="str">
        <f t="shared" si="29"/>
        <v>Sí</v>
      </c>
      <c r="J54" t="s">
        <v>225</v>
      </c>
      <c r="K54">
        <f t="shared" si="16"/>
        <v>0</v>
      </c>
      <c r="L54">
        <f t="shared" si="17"/>
        <v>1</v>
      </c>
      <c r="M54">
        <f t="shared" si="18"/>
        <v>0</v>
      </c>
      <c r="N54">
        <f t="shared" si="19"/>
        <v>0</v>
      </c>
      <c r="O54">
        <f t="shared" si="20"/>
        <v>0</v>
      </c>
      <c r="P54">
        <f t="shared" si="21"/>
        <v>0</v>
      </c>
      <c r="Q54">
        <f t="shared" si="22"/>
        <v>0</v>
      </c>
      <c r="R54">
        <f t="shared" si="23"/>
        <v>0</v>
      </c>
      <c r="S54">
        <f t="shared" si="24"/>
        <v>0</v>
      </c>
      <c r="T54">
        <f t="shared" si="25"/>
        <v>0</v>
      </c>
      <c r="U54" t="str">
        <f t="shared" si="26"/>
        <v/>
      </c>
      <c r="V54" t="str">
        <f t="shared" si="27"/>
        <v/>
      </c>
      <c r="W54" t="str">
        <f t="shared" si="28"/>
        <v>Sin función mapeada</v>
      </c>
      <c r="X54" t="s">
        <v>701</v>
      </c>
    </row>
    <row r="55" spans="1:24" ht="15" customHeight="1" x14ac:dyDescent="0.2">
      <c r="A55" t="s">
        <v>704</v>
      </c>
      <c r="B55" t="s">
        <v>705</v>
      </c>
      <c r="C55" t="s">
        <v>706</v>
      </c>
      <c r="D55" t="s">
        <v>205</v>
      </c>
      <c r="E55" t="s">
        <v>51</v>
      </c>
      <c r="F55" t="s">
        <v>516</v>
      </c>
      <c r="G55" t="s">
        <v>209</v>
      </c>
      <c r="H55" t="s">
        <v>269</v>
      </c>
      <c r="I55" t="str">
        <f t="shared" si="29"/>
        <v>Sí</v>
      </c>
      <c r="J55" t="s">
        <v>225</v>
      </c>
      <c r="K55">
        <f t="shared" si="16"/>
        <v>0</v>
      </c>
      <c r="L55">
        <f t="shared" si="17"/>
        <v>1</v>
      </c>
      <c r="M55">
        <f t="shared" si="18"/>
        <v>0</v>
      </c>
      <c r="N55">
        <f t="shared" si="19"/>
        <v>0</v>
      </c>
      <c r="O55">
        <f t="shared" si="20"/>
        <v>0</v>
      </c>
      <c r="P55">
        <f t="shared" si="21"/>
        <v>0</v>
      </c>
      <c r="Q55">
        <f t="shared" si="22"/>
        <v>0</v>
      </c>
      <c r="R55">
        <f t="shared" si="23"/>
        <v>0</v>
      </c>
      <c r="S55">
        <f t="shared" si="24"/>
        <v>0</v>
      </c>
      <c r="T55">
        <f t="shared" si="25"/>
        <v>0</v>
      </c>
      <c r="U55" t="str">
        <f t="shared" si="26"/>
        <v/>
      </c>
      <c r="V55" t="str">
        <f t="shared" si="27"/>
        <v/>
      </c>
      <c r="W55" t="str">
        <f t="shared" si="28"/>
        <v>Sin función mapeada</v>
      </c>
      <c r="X55" t="s">
        <v>710</v>
      </c>
    </row>
    <row r="56" spans="1:24" ht="15" customHeight="1" x14ac:dyDescent="0.2">
      <c r="A56" t="s">
        <v>712</v>
      </c>
      <c r="B56" t="s">
        <v>713</v>
      </c>
      <c r="C56" t="s">
        <v>714</v>
      </c>
      <c r="D56" t="s">
        <v>205</v>
      </c>
      <c r="E56" t="s">
        <v>24</v>
      </c>
      <c r="F56" t="s">
        <v>475</v>
      </c>
      <c r="G56" t="s">
        <v>586</v>
      </c>
      <c r="H56" t="s">
        <v>340</v>
      </c>
      <c r="I56" t="str">
        <f t="shared" si="29"/>
        <v>Sí</v>
      </c>
      <c r="J56" t="s">
        <v>225</v>
      </c>
      <c r="K56">
        <f t="shared" si="16"/>
        <v>0</v>
      </c>
      <c r="L56">
        <f t="shared" si="17"/>
        <v>1</v>
      </c>
      <c r="M56">
        <f t="shared" si="18"/>
        <v>0</v>
      </c>
      <c r="N56">
        <f t="shared" si="19"/>
        <v>0</v>
      </c>
      <c r="O56">
        <f t="shared" si="20"/>
        <v>0</v>
      </c>
      <c r="P56">
        <f t="shared" si="21"/>
        <v>0</v>
      </c>
      <c r="Q56">
        <f t="shared" si="22"/>
        <v>0</v>
      </c>
      <c r="R56">
        <f t="shared" si="23"/>
        <v>0</v>
      </c>
      <c r="S56">
        <f t="shared" si="24"/>
        <v>0</v>
      </c>
      <c r="T56">
        <f t="shared" si="25"/>
        <v>0</v>
      </c>
      <c r="U56" t="str">
        <f t="shared" si="26"/>
        <v/>
      </c>
      <c r="V56" t="str">
        <f t="shared" si="27"/>
        <v/>
      </c>
      <c r="W56" t="str">
        <f t="shared" si="28"/>
        <v>Sin función mapeada</v>
      </c>
      <c r="X56" t="s">
        <v>718</v>
      </c>
    </row>
    <row r="57" spans="1:24" ht="15" customHeight="1" x14ac:dyDescent="0.2">
      <c r="A57" t="s">
        <v>720</v>
      </c>
      <c r="B57" t="s">
        <v>721</v>
      </c>
      <c r="C57" t="s">
        <v>722</v>
      </c>
      <c r="D57" t="s">
        <v>205</v>
      </c>
      <c r="E57" t="s">
        <v>54</v>
      </c>
      <c r="F57" t="s">
        <v>380</v>
      </c>
      <c r="G57" t="s">
        <v>293</v>
      </c>
      <c r="H57" t="s">
        <v>269</v>
      </c>
      <c r="I57" t="str">
        <f t="shared" si="29"/>
        <v>Sí</v>
      </c>
      <c r="J57" t="s">
        <v>225</v>
      </c>
      <c r="K57">
        <f t="shared" si="16"/>
        <v>0</v>
      </c>
      <c r="L57">
        <f t="shared" si="17"/>
        <v>1</v>
      </c>
      <c r="M57">
        <f t="shared" si="18"/>
        <v>0</v>
      </c>
      <c r="N57">
        <f t="shared" si="19"/>
        <v>0</v>
      </c>
      <c r="O57">
        <f t="shared" si="20"/>
        <v>0</v>
      </c>
      <c r="P57">
        <f t="shared" si="21"/>
        <v>0</v>
      </c>
      <c r="Q57">
        <f t="shared" si="22"/>
        <v>0</v>
      </c>
      <c r="R57">
        <f t="shared" si="23"/>
        <v>0</v>
      </c>
      <c r="S57">
        <f t="shared" si="24"/>
        <v>0</v>
      </c>
      <c r="T57">
        <f t="shared" si="25"/>
        <v>0</v>
      </c>
      <c r="U57" t="str">
        <f t="shared" si="26"/>
        <v/>
      </c>
      <c r="V57" t="str">
        <f t="shared" si="27"/>
        <v/>
      </c>
      <c r="W57" t="str">
        <f t="shared" si="28"/>
        <v>Sin función mapeada</v>
      </c>
      <c r="X57" t="s">
        <v>725</v>
      </c>
    </row>
    <row r="58" spans="1:24" ht="15" customHeight="1" x14ac:dyDescent="0.2">
      <c r="A58" t="s">
        <v>729</v>
      </c>
      <c r="B58" t="s">
        <v>730</v>
      </c>
      <c r="C58" t="s">
        <v>731</v>
      </c>
      <c r="D58" t="s">
        <v>313</v>
      </c>
      <c r="F58" t="s">
        <v>595</v>
      </c>
      <c r="G58" t="s">
        <v>293</v>
      </c>
      <c r="H58" t="s">
        <v>269</v>
      </c>
      <c r="I58" t="str">
        <f t="shared" si="29"/>
        <v>Sí</v>
      </c>
      <c r="J58" t="s">
        <v>225</v>
      </c>
      <c r="K58">
        <f t="shared" si="16"/>
        <v>0</v>
      </c>
      <c r="L58">
        <f t="shared" si="17"/>
        <v>1</v>
      </c>
      <c r="M58">
        <f t="shared" si="18"/>
        <v>0</v>
      </c>
      <c r="N58">
        <f t="shared" si="19"/>
        <v>0</v>
      </c>
      <c r="O58">
        <f t="shared" si="20"/>
        <v>0</v>
      </c>
      <c r="P58">
        <f t="shared" si="21"/>
        <v>0</v>
      </c>
      <c r="Q58">
        <f t="shared" si="22"/>
        <v>0</v>
      </c>
      <c r="R58">
        <f t="shared" si="23"/>
        <v>0</v>
      </c>
      <c r="S58">
        <f t="shared" si="24"/>
        <v>0</v>
      </c>
      <c r="T58">
        <f t="shared" si="25"/>
        <v>0</v>
      </c>
      <c r="U58" t="str">
        <f t="shared" si="26"/>
        <v/>
      </c>
      <c r="V58" t="str">
        <f t="shared" si="27"/>
        <v/>
      </c>
      <c r="W58" t="str">
        <f t="shared" si="28"/>
        <v>Sin función mapeada</v>
      </c>
      <c r="X58" t="s">
        <v>734</v>
      </c>
    </row>
    <row r="59" spans="1:24" ht="15" customHeight="1" x14ac:dyDescent="0.2">
      <c r="A59" t="s">
        <v>739</v>
      </c>
      <c r="B59" t="s">
        <v>740</v>
      </c>
      <c r="C59" t="s">
        <v>741</v>
      </c>
      <c r="D59" t="s">
        <v>205</v>
      </c>
      <c r="E59" t="s">
        <v>54</v>
      </c>
      <c r="F59" t="s">
        <v>380</v>
      </c>
      <c r="G59" t="s">
        <v>209</v>
      </c>
      <c r="H59" t="s">
        <v>269</v>
      </c>
      <c r="I59" t="str">
        <f t="shared" si="29"/>
        <v>Sí</v>
      </c>
      <c r="J59" t="s">
        <v>225</v>
      </c>
      <c r="K59">
        <f t="shared" si="16"/>
        <v>0</v>
      </c>
      <c r="L59">
        <f t="shared" si="17"/>
        <v>1</v>
      </c>
      <c r="M59">
        <f t="shared" si="18"/>
        <v>0</v>
      </c>
      <c r="N59">
        <f t="shared" si="19"/>
        <v>0</v>
      </c>
      <c r="O59">
        <f t="shared" si="20"/>
        <v>0</v>
      </c>
      <c r="P59">
        <f t="shared" si="21"/>
        <v>0</v>
      </c>
      <c r="Q59">
        <f t="shared" si="22"/>
        <v>0</v>
      </c>
      <c r="R59">
        <f t="shared" si="23"/>
        <v>0</v>
      </c>
      <c r="S59">
        <f t="shared" si="24"/>
        <v>0</v>
      </c>
      <c r="T59">
        <f t="shared" si="25"/>
        <v>0</v>
      </c>
      <c r="U59" t="str">
        <f t="shared" si="26"/>
        <v/>
      </c>
      <c r="V59" t="str">
        <f t="shared" si="27"/>
        <v/>
      </c>
      <c r="W59" t="str">
        <f t="shared" si="28"/>
        <v>Sin función mapeada</v>
      </c>
      <c r="X59" t="s">
        <v>746</v>
      </c>
    </row>
    <row r="60" spans="1:24" ht="15" customHeight="1" x14ac:dyDescent="0.2">
      <c r="A60" t="s">
        <v>751</v>
      </c>
      <c r="B60" t="s">
        <v>752</v>
      </c>
      <c r="C60" t="s">
        <v>753</v>
      </c>
      <c r="D60" t="s">
        <v>205</v>
      </c>
      <c r="E60" t="s">
        <v>54</v>
      </c>
      <c r="F60" t="s">
        <v>595</v>
      </c>
      <c r="G60" t="s">
        <v>293</v>
      </c>
      <c r="H60" t="s">
        <v>269</v>
      </c>
      <c r="I60" t="str">
        <f t="shared" si="29"/>
        <v>Sí</v>
      </c>
      <c r="J60" t="s">
        <v>225</v>
      </c>
      <c r="K60">
        <f t="shared" si="16"/>
        <v>0</v>
      </c>
      <c r="L60">
        <f t="shared" si="17"/>
        <v>1</v>
      </c>
      <c r="M60">
        <f t="shared" si="18"/>
        <v>0</v>
      </c>
      <c r="N60">
        <f t="shared" si="19"/>
        <v>0</v>
      </c>
      <c r="O60">
        <f t="shared" si="20"/>
        <v>0</v>
      </c>
      <c r="P60">
        <f t="shared" si="21"/>
        <v>0</v>
      </c>
      <c r="Q60">
        <f t="shared" si="22"/>
        <v>0</v>
      </c>
      <c r="R60">
        <f t="shared" si="23"/>
        <v>0</v>
      </c>
      <c r="S60">
        <f t="shared" si="24"/>
        <v>0</v>
      </c>
      <c r="T60">
        <f t="shared" si="25"/>
        <v>0</v>
      </c>
      <c r="U60" t="str">
        <f t="shared" si="26"/>
        <v/>
      </c>
      <c r="V60" t="str">
        <f t="shared" si="27"/>
        <v/>
      </c>
      <c r="W60" t="str">
        <f t="shared" si="28"/>
        <v>Sin función mapeada</v>
      </c>
      <c r="X60" t="s">
        <v>757</v>
      </c>
    </row>
    <row r="61" spans="1:24" ht="15" customHeight="1" x14ac:dyDescent="0.2">
      <c r="A61" t="s">
        <v>760</v>
      </c>
      <c r="B61" t="s">
        <v>761</v>
      </c>
      <c r="C61" t="s">
        <v>762</v>
      </c>
      <c r="D61" t="s">
        <v>230</v>
      </c>
      <c r="E61" t="s">
        <v>39</v>
      </c>
      <c r="F61" t="s">
        <v>404</v>
      </c>
      <c r="G61" t="s">
        <v>406</v>
      </c>
      <c r="H61" t="s">
        <v>269</v>
      </c>
      <c r="I61" t="str">
        <f t="shared" si="29"/>
        <v>Sí</v>
      </c>
      <c r="J61" t="s">
        <v>225</v>
      </c>
      <c r="K61">
        <f t="shared" si="16"/>
        <v>0</v>
      </c>
      <c r="L61">
        <f t="shared" si="17"/>
        <v>1</v>
      </c>
      <c r="M61">
        <f t="shared" si="18"/>
        <v>0</v>
      </c>
      <c r="N61">
        <f t="shared" si="19"/>
        <v>0</v>
      </c>
      <c r="O61">
        <f t="shared" si="20"/>
        <v>0</v>
      </c>
      <c r="P61">
        <f t="shared" si="21"/>
        <v>0</v>
      </c>
      <c r="Q61">
        <f t="shared" si="22"/>
        <v>0</v>
      </c>
      <c r="R61">
        <f t="shared" si="23"/>
        <v>0</v>
      </c>
      <c r="S61">
        <f t="shared" si="24"/>
        <v>0</v>
      </c>
      <c r="T61">
        <f t="shared" si="25"/>
        <v>0</v>
      </c>
      <c r="U61" t="str">
        <f t="shared" si="26"/>
        <v/>
      </c>
      <c r="V61" t="str">
        <f t="shared" si="27"/>
        <v/>
      </c>
      <c r="W61" t="str">
        <f t="shared" si="28"/>
        <v>Sin función mapeada</v>
      </c>
      <c r="X61" t="s">
        <v>767</v>
      </c>
    </row>
    <row r="62" spans="1:24" ht="15" customHeight="1" x14ac:dyDescent="0.2">
      <c r="A62" t="s">
        <v>771</v>
      </c>
      <c r="B62" t="s">
        <v>772</v>
      </c>
      <c r="C62" t="s">
        <v>773</v>
      </c>
      <c r="D62" t="s">
        <v>205</v>
      </c>
      <c r="E62" t="s">
        <v>54</v>
      </c>
      <c r="F62" t="s">
        <v>380</v>
      </c>
      <c r="G62" t="s">
        <v>209</v>
      </c>
      <c r="H62" t="s">
        <v>269</v>
      </c>
      <c r="I62" t="str">
        <f t="shared" si="29"/>
        <v>Sí</v>
      </c>
      <c r="J62" t="s">
        <v>225</v>
      </c>
      <c r="K62">
        <f t="shared" si="16"/>
        <v>0</v>
      </c>
      <c r="L62">
        <f t="shared" si="17"/>
        <v>0</v>
      </c>
      <c r="M62">
        <f t="shared" si="18"/>
        <v>0</v>
      </c>
      <c r="N62">
        <f t="shared" si="19"/>
        <v>0</v>
      </c>
      <c r="O62">
        <f t="shared" si="20"/>
        <v>0</v>
      </c>
      <c r="P62">
        <f t="shared" si="21"/>
        <v>0</v>
      </c>
      <c r="Q62">
        <f t="shared" si="22"/>
        <v>0</v>
      </c>
      <c r="R62">
        <f t="shared" si="23"/>
        <v>0</v>
      </c>
      <c r="S62">
        <f t="shared" si="24"/>
        <v>0</v>
      </c>
      <c r="T62">
        <f t="shared" si="25"/>
        <v>0</v>
      </c>
      <c r="U62" t="str">
        <f t="shared" si="26"/>
        <v/>
      </c>
      <c r="V62" t="str">
        <f t="shared" si="27"/>
        <v/>
      </c>
      <c r="W62" t="str">
        <f t="shared" si="28"/>
        <v>Sin función mapeada</v>
      </c>
      <c r="X62" t="s">
        <v>776</v>
      </c>
    </row>
    <row r="63" spans="1:24" ht="15" customHeight="1" x14ac:dyDescent="0.2">
      <c r="A63" t="s">
        <v>781</v>
      </c>
      <c r="B63" t="s">
        <v>782</v>
      </c>
      <c r="C63" t="s">
        <v>783</v>
      </c>
      <c r="D63" t="s">
        <v>205</v>
      </c>
      <c r="E63" t="s">
        <v>54</v>
      </c>
      <c r="F63" t="s">
        <v>541</v>
      </c>
      <c r="G63" t="s">
        <v>209</v>
      </c>
      <c r="H63" t="s">
        <v>269</v>
      </c>
      <c r="I63" t="str">
        <f t="shared" si="29"/>
        <v>Sí</v>
      </c>
      <c r="J63" t="s">
        <v>225</v>
      </c>
      <c r="K63">
        <f t="shared" si="16"/>
        <v>0</v>
      </c>
      <c r="L63">
        <f t="shared" si="17"/>
        <v>1</v>
      </c>
      <c r="M63">
        <f t="shared" si="18"/>
        <v>0</v>
      </c>
      <c r="N63">
        <f t="shared" si="19"/>
        <v>0</v>
      </c>
      <c r="O63">
        <f t="shared" si="20"/>
        <v>0</v>
      </c>
      <c r="P63">
        <f t="shared" si="21"/>
        <v>0</v>
      </c>
      <c r="Q63">
        <f t="shared" si="22"/>
        <v>0</v>
      </c>
      <c r="R63">
        <f t="shared" si="23"/>
        <v>0</v>
      </c>
      <c r="S63">
        <f t="shared" si="24"/>
        <v>0</v>
      </c>
      <c r="T63">
        <f t="shared" si="25"/>
        <v>0</v>
      </c>
      <c r="U63" t="str">
        <f t="shared" si="26"/>
        <v/>
      </c>
      <c r="V63" t="str">
        <f t="shared" si="27"/>
        <v/>
      </c>
      <c r="W63" t="str">
        <f t="shared" si="28"/>
        <v>Sin función mapeada</v>
      </c>
      <c r="X63" t="s">
        <v>788</v>
      </c>
    </row>
    <row r="64" spans="1:24" ht="15" customHeight="1" x14ac:dyDescent="0.2">
      <c r="A64" t="s">
        <v>793</v>
      </c>
      <c r="B64" t="s">
        <v>794</v>
      </c>
      <c r="C64" t="s">
        <v>795</v>
      </c>
      <c r="D64" t="s">
        <v>205</v>
      </c>
      <c r="E64" t="s">
        <v>54</v>
      </c>
      <c r="F64" t="s">
        <v>541</v>
      </c>
      <c r="G64" t="s">
        <v>209</v>
      </c>
      <c r="H64" t="s">
        <v>269</v>
      </c>
      <c r="I64" t="str">
        <f t="shared" si="29"/>
        <v>Sí</v>
      </c>
      <c r="J64" t="s">
        <v>225</v>
      </c>
      <c r="K64">
        <f t="shared" si="16"/>
        <v>0</v>
      </c>
      <c r="L64">
        <f t="shared" si="17"/>
        <v>1</v>
      </c>
      <c r="M64">
        <f t="shared" si="18"/>
        <v>0</v>
      </c>
      <c r="N64">
        <f t="shared" si="19"/>
        <v>0</v>
      </c>
      <c r="O64">
        <f t="shared" si="20"/>
        <v>0</v>
      </c>
      <c r="P64">
        <f t="shared" si="21"/>
        <v>0</v>
      </c>
      <c r="Q64">
        <f t="shared" si="22"/>
        <v>0</v>
      </c>
      <c r="R64">
        <f t="shared" si="23"/>
        <v>0</v>
      </c>
      <c r="S64">
        <f t="shared" si="24"/>
        <v>0</v>
      </c>
      <c r="T64">
        <f t="shared" si="25"/>
        <v>0</v>
      </c>
      <c r="U64" t="str">
        <f t="shared" si="26"/>
        <v/>
      </c>
      <c r="V64" t="str">
        <f t="shared" si="27"/>
        <v/>
      </c>
      <c r="W64" t="str">
        <f t="shared" si="28"/>
        <v>Sin función mapeada</v>
      </c>
      <c r="X64" t="s">
        <v>799</v>
      </c>
    </row>
    <row r="65" spans="1:24" ht="15" customHeight="1" x14ac:dyDescent="0.2">
      <c r="A65" t="s">
        <v>803</v>
      </c>
      <c r="B65" t="s">
        <v>804</v>
      </c>
      <c r="C65" t="s">
        <v>805</v>
      </c>
      <c r="D65" t="s">
        <v>230</v>
      </c>
      <c r="E65" t="s">
        <v>54</v>
      </c>
      <c r="F65" t="s">
        <v>380</v>
      </c>
      <c r="G65" t="s">
        <v>209</v>
      </c>
      <c r="H65" t="s">
        <v>269</v>
      </c>
      <c r="I65" t="str">
        <f t="shared" si="29"/>
        <v>Sí</v>
      </c>
      <c r="J65" t="s">
        <v>225</v>
      </c>
      <c r="K65">
        <f t="shared" si="16"/>
        <v>0</v>
      </c>
      <c r="L65">
        <f t="shared" si="17"/>
        <v>1</v>
      </c>
      <c r="M65">
        <f t="shared" si="18"/>
        <v>0</v>
      </c>
      <c r="N65">
        <f t="shared" si="19"/>
        <v>0</v>
      </c>
      <c r="O65">
        <f t="shared" si="20"/>
        <v>0</v>
      </c>
      <c r="P65">
        <f t="shared" si="21"/>
        <v>0</v>
      </c>
      <c r="Q65">
        <f t="shared" si="22"/>
        <v>0</v>
      </c>
      <c r="R65">
        <f t="shared" si="23"/>
        <v>0</v>
      </c>
      <c r="S65">
        <f t="shared" si="24"/>
        <v>0</v>
      </c>
      <c r="T65">
        <f t="shared" si="25"/>
        <v>0</v>
      </c>
      <c r="U65" t="str">
        <f t="shared" si="26"/>
        <v/>
      </c>
      <c r="V65" t="str">
        <f t="shared" si="27"/>
        <v/>
      </c>
      <c r="W65" t="str">
        <f t="shared" si="28"/>
        <v>Sin función mapeada</v>
      </c>
      <c r="X65" t="s">
        <v>808</v>
      </c>
    </row>
    <row r="66" spans="1:24" ht="15" customHeight="1" x14ac:dyDescent="0.2">
      <c r="A66" t="s">
        <v>811</v>
      </c>
      <c r="B66" t="s">
        <v>812</v>
      </c>
      <c r="C66" t="s">
        <v>813</v>
      </c>
      <c r="D66" t="s">
        <v>230</v>
      </c>
      <c r="E66" t="s">
        <v>54</v>
      </c>
      <c r="F66" t="s">
        <v>380</v>
      </c>
      <c r="G66" t="s">
        <v>293</v>
      </c>
      <c r="H66" t="s">
        <v>269</v>
      </c>
      <c r="I66" t="str">
        <f t="shared" si="29"/>
        <v>Sí</v>
      </c>
      <c r="J66" t="s">
        <v>225</v>
      </c>
      <c r="K66">
        <f t="shared" ref="K66:K97" si="30">IF(E73="Sí",1,IF(E73="Parcial",0.5,0))+IF(F73="Sí",1,IF(F73="Parcial",0.5,0))+IF(G73="Sí",1,IF(G73="Parcial",0.5,0))+IF(H73="Sí",1,IF(H73="Parcial",0.5,0))</f>
        <v>0</v>
      </c>
      <c r="L66">
        <f t="shared" ref="L66:L97" si="31">IF(I73="Sí",1,IF(I73="Parcial",0.5,0))+IF(J73="Sí",1,IF(J73="Parcial",0.5,0))+IF(K73="Sí",1,IF(K73="Parcial",0.5,0))</f>
        <v>1</v>
      </c>
      <c r="M66">
        <f t="shared" ref="M66:M97" si="32">IF(L73="Sí",1,IF(L73="Parcial",0.5,0))+IF(M73="Sí",1,IF(M73="Parcial",0.5,0))+IF(N73="Sí",1,IF(N73="Parcial",0.5,0))+IF(O73="Sí",1,IF(O73="Parcial",0.5,0))</f>
        <v>0</v>
      </c>
      <c r="N66">
        <f t="shared" ref="N66:N97" si="33">IF(P73="Sí",1,IF(P73="Parcial",0.5,0))+IF(Q73="Sí",1,IF(Q73="Parcial",0.5,0))+IF(R73="Sí",1,IF(R73="Parcial",0.5,0))+IF(S73="Sí",1,IF(S73="Parcial",0.5,0))+IF(T73="Sí",1,IF(T73="Parcial",0.5,0))+IF(U73="Sí",1,IF(U73="Parcial",0.5,0))</f>
        <v>0</v>
      </c>
      <c r="O66">
        <f t="shared" ref="O66:O97" si="34">IF(V73="Sí",1,IF(V73="Parcial",0.5,0))+IF(W73="Sí",1,IF(W73="Parcial",0.5,0))+IF(X73="Sí",1,IF(X73="Parcial",0.5,0))+IF(Y73="Sí",1,IF(Y73="Parcial",0.5,0))</f>
        <v>0</v>
      </c>
      <c r="P66">
        <f t="shared" ref="P66:P97" si="35">IF(Z73="Sí",1,IF(Z73="Parcial",0.5,0))+IF(AA73="Sí",1,IF(AA73="Parcial",0.5,0))+IF(AB73="Sí",1,IF(AB73="Parcial",0.5,0))</f>
        <v>0</v>
      </c>
      <c r="Q66">
        <f t="shared" ref="Q66:Q97" si="36">IF(AC73="Sí",1,IF(AC73="Parcial",0.5,0))+IF(AD73="Sí",1,IF(AD73="Parcial",0.5,0))+IF(AE73="Sí",1,IF(AE73="Parcial",0.5,0))</f>
        <v>0</v>
      </c>
      <c r="R66">
        <f t="shared" ref="R66:R97" si="37">IF(AF73="Sí",1,IF(AF73="Parcial",0.5,0))+IF(AG73="Sí",1,IF(AG73="Parcial",0.5,0))+IF(AH73="Sí",1,IF(AH73="Parcial",0.5,0))</f>
        <v>0</v>
      </c>
      <c r="S66">
        <f t="shared" ref="S66:S97" si="38">IF(AI73="Sí",1,IF(AI73="Parcial",0.5,0))+IF(AJ73="Sí",1,IF(AJ73="Parcial",0.5,0))+IF(AK73="Sí",1,IF(AK73="Parcial",0.5,0))</f>
        <v>0</v>
      </c>
      <c r="T66">
        <f t="shared" ref="T66:T97" si="39">SUM(AL73,AM73,AN73,AO73,AP73,AQ73,AR73,AS73,AT73)</f>
        <v>0</v>
      </c>
      <c r="U66" t="str">
        <f t="shared" ref="U66:U97" si="40">IFERROR(IF(OR(A73="",AU73=0),"",AU73/(IF(AL73&gt;0,1,0)+IF(AM73&gt;0,1,0)+IF(AN73&gt;0,1,0)+IF(AO73&gt;0,1,0)+IF(AP73&gt;0,1,0)+IF(AQ73&gt;0,1,0)+IF(AR73&gt;0,1,0)+IF(AS73&gt;0,1,0)+IF(AT73&gt;0,1,0))),"")</f>
        <v/>
      </c>
      <c r="V66" t="str">
        <f t="shared" ref="V66:V97" si="41">IFERROR(IF(OR(A73="",AU73=""),"",IF(AND(MAX($AU$9:$AU$159)=0,MAX($AW$9:$AW$159)=0),"",0.5*(AU73/MAX($AU$9:$AU$159))+0.5*(AW73/MAX($AW$9:$AW$159)))),"")</f>
        <v/>
      </c>
      <c r="W66" t="str">
        <f t="shared" ref="W66:W97" si="42">IF(A73="","",IF((IF(AL73&gt;=1,1,0)+IF(AM73&gt;=1,1,0)+IF(AN73&gt;=1,1,0)+IF(AO73&gt;=1,1,0)+IF(AP73&gt;=1,1,0)+IF(AQ73&gt;=1,1,0)+IF(AR73&gt;=1,1,0)+IF(AS73&gt;=1,1,0)+IF(AT73&gt;=1,1,0))&gt;=5,"Diversificado (5+ verticales)",IF((IF(AL73&gt;=1,1,0)+IF(AM73&gt;=1,1,0)+IF(AN73&gt;=1,1,0)+IF(AO73&gt;=1,1,0)+IF(AP73&gt;=1,1,0)+IF(AQ73&gt;=1,1,0)+IF(AR73&gt;=1,1,0)+IF(AS73&gt;=1,1,0)+IF(AT73&gt;=1,1,0))&gt;=3,"Multi-capacidad (3-4 verticales)",IF((IF(AL73&gt;=1,1,0)+IF(AM73&gt;=1,1,0)+IF(AN73&gt;=1,1,0)+IF(AO73&gt;=1,1,0)+IF(AP73&gt;=1,1,0)+IF(AQ73&gt;=1,1,0)+IF(AR73&gt;=1,1,0)+IF(AS73&gt;=1,1,0)+IF(AT73&gt;=1,1,0))&gt;=1,"Especialista (1-2 verticales)","Sin función mapeada"))))</f>
        <v>Sin función mapeada</v>
      </c>
      <c r="X66" t="s">
        <v>817</v>
      </c>
    </row>
    <row r="67" spans="1:24" ht="15" customHeight="1" x14ac:dyDescent="0.2">
      <c r="A67" t="s">
        <v>822</v>
      </c>
      <c r="B67" t="s">
        <v>823</v>
      </c>
      <c r="C67" t="s">
        <v>824</v>
      </c>
      <c r="D67" t="s">
        <v>230</v>
      </c>
      <c r="E67" t="s">
        <v>54</v>
      </c>
      <c r="F67" t="s">
        <v>380</v>
      </c>
      <c r="G67" t="s">
        <v>406</v>
      </c>
      <c r="H67" t="s">
        <v>269</v>
      </c>
      <c r="I67" t="str">
        <f t="shared" si="29"/>
        <v>Sí</v>
      </c>
      <c r="J67" t="s">
        <v>225</v>
      </c>
      <c r="K67">
        <f t="shared" si="30"/>
        <v>0</v>
      </c>
      <c r="L67">
        <f t="shared" si="31"/>
        <v>1</v>
      </c>
      <c r="M67">
        <f t="shared" si="32"/>
        <v>0</v>
      </c>
      <c r="N67">
        <f t="shared" si="33"/>
        <v>0</v>
      </c>
      <c r="O67">
        <f t="shared" si="34"/>
        <v>0</v>
      </c>
      <c r="P67">
        <f t="shared" si="35"/>
        <v>0</v>
      </c>
      <c r="Q67">
        <f t="shared" si="36"/>
        <v>0</v>
      </c>
      <c r="R67">
        <f t="shared" si="37"/>
        <v>0</v>
      </c>
      <c r="S67">
        <f t="shared" si="38"/>
        <v>0</v>
      </c>
      <c r="T67">
        <f t="shared" si="39"/>
        <v>0</v>
      </c>
      <c r="U67" t="str">
        <f t="shared" si="40"/>
        <v/>
      </c>
      <c r="V67" t="str">
        <f t="shared" si="41"/>
        <v/>
      </c>
      <c r="W67" t="str">
        <f t="shared" si="42"/>
        <v>Sin función mapeada</v>
      </c>
      <c r="X67" t="s">
        <v>828</v>
      </c>
    </row>
    <row r="68" spans="1:24" ht="15" customHeight="1" x14ac:dyDescent="0.2">
      <c r="A68" t="s">
        <v>832</v>
      </c>
      <c r="B68" t="s">
        <v>833</v>
      </c>
      <c r="C68" t="s">
        <v>834</v>
      </c>
      <c r="D68" t="s">
        <v>230</v>
      </c>
      <c r="E68" t="s">
        <v>39</v>
      </c>
      <c r="F68" t="s">
        <v>268</v>
      </c>
      <c r="G68" t="s">
        <v>835</v>
      </c>
      <c r="H68" t="s">
        <v>269</v>
      </c>
      <c r="I68" t="str">
        <f t="shared" si="29"/>
        <v>Sí</v>
      </c>
      <c r="J68" t="s">
        <v>225</v>
      </c>
      <c r="K68">
        <f t="shared" si="30"/>
        <v>0</v>
      </c>
      <c r="L68">
        <f t="shared" si="31"/>
        <v>1</v>
      </c>
      <c r="M68">
        <f t="shared" si="32"/>
        <v>0</v>
      </c>
      <c r="N68">
        <f t="shared" si="33"/>
        <v>0</v>
      </c>
      <c r="O68">
        <f t="shared" si="34"/>
        <v>0</v>
      </c>
      <c r="P68">
        <f t="shared" si="35"/>
        <v>0</v>
      </c>
      <c r="Q68">
        <f t="shared" si="36"/>
        <v>0</v>
      </c>
      <c r="R68">
        <f t="shared" si="37"/>
        <v>0</v>
      </c>
      <c r="S68">
        <f t="shared" si="38"/>
        <v>0</v>
      </c>
      <c r="T68">
        <f t="shared" si="39"/>
        <v>0</v>
      </c>
      <c r="U68" t="str">
        <f t="shared" si="40"/>
        <v/>
      </c>
      <c r="V68" t="str">
        <f t="shared" si="41"/>
        <v/>
      </c>
      <c r="W68" t="str">
        <f t="shared" si="42"/>
        <v>Sin función mapeada</v>
      </c>
      <c r="X68" t="s">
        <v>838</v>
      </c>
    </row>
    <row r="69" spans="1:24" ht="15" customHeight="1" x14ac:dyDescent="0.2">
      <c r="A69" t="s">
        <v>842</v>
      </c>
      <c r="B69" t="s">
        <v>843</v>
      </c>
      <c r="C69" t="s">
        <v>844</v>
      </c>
      <c r="D69" t="s">
        <v>205</v>
      </c>
      <c r="E69" t="s">
        <v>48</v>
      </c>
      <c r="F69" t="s">
        <v>561</v>
      </c>
      <c r="G69" t="s">
        <v>209</v>
      </c>
      <c r="H69" t="s">
        <v>218</v>
      </c>
      <c r="I69" t="s">
        <v>353</v>
      </c>
      <c r="J69" t="s">
        <v>352</v>
      </c>
      <c r="K69">
        <f t="shared" si="30"/>
        <v>0</v>
      </c>
      <c r="L69">
        <f t="shared" si="31"/>
        <v>1</v>
      </c>
      <c r="M69">
        <f t="shared" si="32"/>
        <v>0</v>
      </c>
      <c r="N69">
        <f t="shared" si="33"/>
        <v>0</v>
      </c>
      <c r="O69">
        <f t="shared" si="34"/>
        <v>0</v>
      </c>
      <c r="P69">
        <f t="shared" si="35"/>
        <v>0</v>
      </c>
      <c r="Q69">
        <f t="shared" si="36"/>
        <v>0</v>
      </c>
      <c r="R69">
        <f t="shared" si="37"/>
        <v>0</v>
      </c>
      <c r="S69">
        <f t="shared" si="38"/>
        <v>0</v>
      </c>
      <c r="T69">
        <f t="shared" si="39"/>
        <v>0</v>
      </c>
      <c r="U69" t="str">
        <f t="shared" si="40"/>
        <v/>
      </c>
      <c r="V69" t="str">
        <f t="shared" si="41"/>
        <v/>
      </c>
      <c r="W69" t="str">
        <f t="shared" si="42"/>
        <v>Sin función mapeada</v>
      </c>
      <c r="X69" t="s">
        <v>845</v>
      </c>
    </row>
    <row r="70" spans="1:24" ht="15" customHeight="1" x14ac:dyDescent="0.2">
      <c r="A70" t="s">
        <v>846</v>
      </c>
      <c r="B70" t="s">
        <v>847</v>
      </c>
      <c r="C70" t="s">
        <v>848</v>
      </c>
      <c r="D70" t="s">
        <v>205</v>
      </c>
      <c r="E70" t="s">
        <v>51</v>
      </c>
      <c r="F70" t="s">
        <v>516</v>
      </c>
      <c r="G70" t="s">
        <v>209</v>
      </c>
      <c r="H70" t="s">
        <v>340</v>
      </c>
      <c r="I70" t="str">
        <f t="shared" ref="I70:I100" si="43">IF(G77="","",IF(OR(G77="Tier 3"),"No",IF(AND(S77&lt;&gt;"",OR(ISNUMBER(SEARCH("OFAC",S77)),ISNUMBER(SEARCH("penal",S77)),ISNUMBER(SEARCH("rojo pendiente",S77)))),"Revisar","Sí")))</f>
        <v>Sí</v>
      </c>
      <c r="J70" t="s">
        <v>225</v>
      </c>
      <c r="K70">
        <f t="shared" si="30"/>
        <v>0</v>
      </c>
      <c r="L70">
        <f t="shared" si="31"/>
        <v>1</v>
      </c>
      <c r="M70">
        <f t="shared" si="32"/>
        <v>0</v>
      </c>
      <c r="N70">
        <f t="shared" si="33"/>
        <v>0</v>
      </c>
      <c r="O70">
        <f t="shared" si="34"/>
        <v>0</v>
      </c>
      <c r="P70">
        <f t="shared" si="35"/>
        <v>0</v>
      </c>
      <c r="Q70">
        <f t="shared" si="36"/>
        <v>0</v>
      </c>
      <c r="R70">
        <f t="shared" si="37"/>
        <v>0</v>
      </c>
      <c r="S70">
        <f t="shared" si="38"/>
        <v>0</v>
      </c>
      <c r="T70">
        <f t="shared" si="39"/>
        <v>0</v>
      </c>
      <c r="U70" t="str">
        <f t="shared" si="40"/>
        <v/>
      </c>
      <c r="V70" t="str">
        <f t="shared" si="41"/>
        <v/>
      </c>
      <c r="W70" t="str">
        <f t="shared" si="42"/>
        <v>Sin función mapeada</v>
      </c>
      <c r="X70" t="s">
        <v>852</v>
      </c>
    </row>
    <row r="71" spans="1:24" ht="15" customHeight="1" x14ac:dyDescent="0.2">
      <c r="A71" t="s">
        <v>855</v>
      </c>
      <c r="B71" t="s">
        <v>856</v>
      </c>
      <c r="C71" t="s">
        <v>857</v>
      </c>
      <c r="D71" t="s">
        <v>230</v>
      </c>
      <c r="E71" t="s">
        <v>30</v>
      </c>
      <c r="F71" t="s">
        <v>204</v>
      </c>
      <c r="G71" t="s">
        <v>586</v>
      </c>
      <c r="H71" t="s">
        <v>303</v>
      </c>
      <c r="I71" t="str">
        <f t="shared" si="43"/>
        <v>Sí</v>
      </c>
      <c r="J71" t="s">
        <v>225</v>
      </c>
      <c r="K71">
        <f t="shared" si="30"/>
        <v>0</v>
      </c>
      <c r="L71">
        <f t="shared" si="31"/>
        <v>1</v>
      </c>
      <c r="M71">
        <f t="shared" si="32"/>
        <v>0</v>
      </c>
      <c r="N71">
        <f t="shared" si="33"/>
        <v>0</v>
      </c>
      <c r="O71">
        <f t="shared" si="34"/>
        <v>0</v>
      </c>
      <c r="P71">
        <f t="shared" si="35"/>
        <v>0</v>
      </c>
      <c r="Q71">
        <f t="shared" si="36"/>
        <v>0</v>
      </c>
      <c r="R71">
        <f t="shared" si="37"/>
        <v>0</v>
      </c>
      <c r="S71">
        <f t="shared" si="38"/>
        <v>0</v>
      </c>
      <c r="T71">
        <f t="shared" si="39"/>
        <v>0</v>
      </c>
      <c r="U71" t="str">
        <f t="shared" si="40"/>
        <v/>
      </c>
      <c r="V71" t="str">
        <f t="shared" si="41"/>
        <v/>
      </c>
      <c r="W71" t="str">
        <f t="shared" si="42"/>
        <v>Sin función mapeada</v>
      </c>
      <c r="X71" t="s">
        <v>860</v>
      </c>
    </row>
    <row r="72" spans="1:24" ht="15" customHeight="1" x14ac:dyDescent="0.2">
      <c r="A72" t="s">
        <v>862</v>
      </c>
      <c r="B72" t="s">
        <v>863</v>
      </c>
      <c r="C72" t="s">
        <v>864</v>
      </c>
      <c r="D72" t="s">
        <v>313</v>
      </c>
      <c r="E72" t="s">
        <v>39</v>
      </c>
      <c r="F72" t="s">
        <v>268</v>
      </c>
      <c r="G72" t="s">
        <v>835</v>
      </c>
      <c r="H72" t="s">
        <v>269</v>
      </c>
      <c r="I72" t="str">
        <f t="shared" si="43"/>
        <v>Sí</v>
      </c>
      <c r="J72" t="s">
        <v>225</v>
      </c>
      <c r="K72">
        <f t="shared" si="30"/>
        <v>0</v>
      </c>
      <c r="L72">
        <f t="shared" si="31"/>
        <v>1</v>
      </c>
      <c r="M72">
        <f t="shared" si="32"/>
        <v>0</v>
      </c>
      <c r="N72">
        <f t="shared" si="33"/>
        <v>0</v>
      </c>
      <c r="O72">
        <f t="shared" si="34"/>
        <v>0</v>
      </c>
      <c r="P72">
        <f t="shared" si="35"/>
        <v>0</v>
      </c>
      <c r="Q72">
        <f t="shared" si="36"/>
        <v>0</v>
      </c>
      <c r="R72">
        <f t="shared" si="37"/>
        <v>0</v>
      </c>
      <c r="S72">
        <f t="shared" si="38"/>
        <v>0</v>
      </c>
      <c r="T72">
        <f t="shared" si="39"/>
        <v>0</v>
      </c>
      <c r="U72" t="str">
        <f t="shared" si="40"/>
        <v/>
      </c>
      <c r="V72" t="str">
        <f t="shared" si="41"/>
        <v/>
      </c>
      <c r="W72" t="str">
        <f t="shared" si="42"/>
        <v>Sin función mapeada</v>
      </c>
      <c r="X72" t="s">
        <v>868</v>
      </c>
    </row>
    <row r="73" spans="1:24" ht="15" customHeight="1" x14ac:dyDescent="0.2">
      <c r="A73" t="s">
        <v>869</v>
      </c>
      <c r="B73" t="s">
        <v>870</v>
      </c>
      <c r="C73" t="s">
        <v>871</v>
      </c>
      <c r="D73" t="s">
        <v>313</v>
      </c>
      <c r="E73" t="s">
        <v>30</v>
      </c>
      <c r="F73" t="s">
        <v>204</v>
      </c>
      <c r="G73" t="s">
        <v>406</v>
      </c>
      <c r="H73" t="s">
        <v>303</v>
      </c>
      <c r="I73" t="str">
        <f t="shared" si="43"/>
        <v>Sí</v>
      </c>
      <c r="J73" t="s">
        <v>225</v>
      </c>
      <c r="K73">
        <f t="shared" si="30"/>
        <v>0</v>
      </c>
      <c r="L73">
        <f t="shared" si="31"/>
        <v>1</v>
      </c>
      <c r="M73">
        <f t="shared" si="32"/>
        <v>0</v>
      </c>
      <c r="N73">
        <f t="shared" si="33"/>
        <v>0</v>
      </c>
      <c r="O73">
        <f t="shared" si="34"/>
        <v>0</v>
      </c>
      <c r="P73">
        <f t="shared" si="35"/>
        <v>0</v>
      </c>
      <c r="Q73">
        <f t="shared" si="36"/>
        <v>0</v>
      </c>
      <c r="R73">
        <f t="shared" si="37"/>
        <v>0</v>
      </c>
      <c r="S73">
        <f t="shared" si="38"/>
        <v>0</v>
      </c>
      <c r="T73">
        <f t="shared" si="39"/>
        <v>0</v>
      </c>
      <c r="U73" t="str">
        <f t="shared" si="40"/>
        <v/>
      </c>
      <c r="V73" t="str">
        <f t="shared" si="41"/>
        <v/>
      </c>
      <c r="W73" t="str">
        <f t="shared" si="42"/>
        <v>Sin función mapeada</v>
      </c>
      <c r="X73" t="s">
        <v>874</v>
      </c>
    </row>
    <row r="74" spans="1:24" ht="15" customHeight="1" x14ac:dyDescent="0.2">
      <c r="A74" t="s">
        <v>877</v>
      </c>
      <c r="B74" t="s">
        <v>878</v>
      </c>
      <c r="C74" t="s">
        <v>879</v>
      </c>
      <c r="D74" t="s">
        <v>205</v>
      </c>
      <c r="E74" t="s">
        <v>51</v>
      </c>
      <c r="F74" t="s">
        <v>516</v>
      </c>
      <c r="G74" t="s">
        <v>209</v>
      </c>
      <c r="H74" t="s">
        <v>218</v>
      </c>
      <c r="I74" t="str">
        <f t="shared" si="43"/>
        <v>Sí</v>
      </c>
      <c r="J74" t="s">
        <v>225</v>
      </c>
      <c r="K74">
        <f t="shared" si="30"/>
        <v>0</v>
      </c>
      <c r="L74">
        <f t="shared" si="31"/>
        <v>1</v>
      </c>
      <c r="M74">
        <f t="shared" si="32"/>
        <v>0</v>
      </c>
      <c r="N74">
        <f t="shared" si="33"/>
        <v>0</v>
      </c>
      <c r="O74">
        <f t="shared" si="34"/>
        <v>0</v>
      </c>
      <c r="P74">
        <f t="shared" si="35"/>
        <v>0</v>
      </c>
      <c r="Q74">
        <f t="shared" si="36"/>
        <v>0</v>
      </c>
      <c r="R74">
        <f t="shared" si="37"/>
        <v>0</v>
      </c>
      <c r="S74">
        <f t="shared" si="38"/>
        <v>0</v>
      </c>
      <c r="T74">
        <f t="shared" si="39"/>
        <v>0</v>
      </c>
      <c r="U74" t="str">
        <f t="shared" si="40"/>
        <v/>
      </c>
      <c r="V74" t="str">
        <f t="shared" si="41"/>
        <v/>
      </c>
      <c r="W74" t="str">
        <f t="shared" si="42"/>
        <v>Sin función mapeada</v>
      </c>
      <c r="X74" t="s">
        <v>883</v>
      </c>
    </row>
    <row r="75" spans="1:24" ht="15" customHeight="1" x14ac:dyDescent="0.2">
      <c r="A75" t="s">
        <v>885</v>
      </c>
      <c r="B75" t="s">
        <v>886</v>
      </c>
      <c r="C75" t="s">
        <v>887</v>
      </c>
      <c r="D75" t="s">
        <v>205</v>
      </c>
      <c r="E75" t="s">
        <v>51</v>
      </c>
      <c r="F75" t="s">
        <v>516</v>
      </c>
      <c r="G75" t="s">
        <v>209</v>
      </c>
      <c r="H75" t="s">
        <v>303</v>
      </c>
      <c r="I75" t="str">
        <f t="shared" si="43"/>
        <v>Sí</v>
      </c>
      <c r="J75" t="s">
        <v>225</v>
      </c>
      <c r="K75">
        <f t="shared" si="30"/>
        <v>0</v>
      </c>
      <c r="L75">
        <f t="shared" si="31"/>
        <v>1</v>
      </c>
      <c r="M75">
        <f t="shared" si="32"/>
        <v>0</v>
      </c>
      <c r="N75">
        <f t="shared" si="33"/>
        <v>0</v>
      </c>
      <c r="O75">
        <f t="shared" si="34"/>
        <v>0</v>
      </c>
      <c r="P75">
        <f t="shared" si="35"/>
        <v>0</v>
      </c>
      <c r="Q75">
        <f t="shared" si="36"/>
        <v>0</v>
      </c>
      <c r="R75">
        <f t="shared" si="37"/>
        <v>0</v>
      </c>
      <c r="S75">
        <f t="shared" si="38"/>
        <v>0</v>
      </c>
      <c r="T75">
        <f t="shared" si="39"/>
        <v>0</v>
      </c>
      <c r="U75" t="str">
        <f t="shared" si="40"/>
        <v/>
      </c>
      <c r="V75" t="str">
        <f t="shared" si="41"/>
        <v/>
      </c>
      <c r="W75" t="str">
        <f t="shared" si="42"/>
        <v>Sin función mapeada</v>
      </c>
      <c r="X75" t="s">
        <v>891</v>
      </c>
    </row>
    <row r="76" spans="1:24" ht="15" customHeight="1" x14ac:dyDescent="0.2">
      <c r="A76" t="s">
        <v>894</v>
      </c>
      <c r="B76" t="s">
        <v>895</v>
      </c>
      <c r="C76" t="s">
        <v>896</v>
      </c>
      <c r="D76" t="s">
        <v>205</v>
      </c>
      <c r="E76" t="s">
        <v>24</v>
      </c>
      <c r="F76" t="s">
        <v>466</v>
      </c>
      <c r="G76" t="s">
        <v>271</v>
      </c>
      <c r="H76" t="s">
        <v>269</v>
      </c>
      <c r="I76" t="str">
        <f t="shared" si="43"/>
        <v>Sí</v>
      </c>
      <c r="J76" t="s">
        <v>225</v>
      </c>
      <c r="K76">
        <f t="shared" si="30"/>
        <v>0</v>
      </c>
      <c r="L76">
        <f t="shared" si="31"/>
        <v>1</v>
      </c>
      <c r="M76">
        <f t="shared" si="32"/>
        <v>0</v>
      </c>
      <c r="N76">
        <f t="shared" si="33"/>
        <v>0</v>
      </c>
      <c r="O76">
        <f t="shared" si="34"/>
        <v>0</v>
      </c>
      <c r="P76">
        <f t="shared" si="35"/>
        <v>0</v>
      </c>
      <c r="Q76">
        <f t="shared" si="36"/>
        <v>0</v>
      </c>
      <c r="R76">
        <f t="shared" si="37"/>
        <v>0</v>
      </c>
      <c r="S76">
        <f t="shared" si="38"/>
        <v>0</v>
      </c>
      <c r="T76">
        <f t="shared" si="39"/>
        <v>0</v>
      </c>
      <c r="U76" t="str">
        <f t="shared" si="40"/>
        <v/>
      </c>
      <c r="V76" t="str">
        <f t="shared" si="41"/>
        <v/>
      </c>
      <c r="W76" t="str">
        <f t="shared" si="42"/>
        <v>Sin función mapeada</v>
      </c>
      <c r="X76" t="s">
        <v>900</v>
      </c>
    </row>
    <row r="77" spans="1:24" ht="15" customHeight="1" x14ac:dyDescent="0.2">
      <c r="A77" t="s">
        <v>902</v>
      </c>
      <c r="B77" t="s">
        <v>903</v>
      </c>
      <c r="C77" t="s">
        <v>904</v>
      </c>
      <c r="D77" t="s">
        <v>230</v>
      </c>
      <c r="E77" t="s">
        <v>54</v>
      </c>
      <c r="F77" t="s">
        <v>380</v>
      </c>
      <c r="G77" t="s">
        <v>209</v>
      </c>
      <c r="H77" t="s">
        <v>218</v>
      </c>
      <c r="I77" t="str">
        <f t="shared" si="43"/>
        <v>Sí</v>
      </c>
      <c r="J77" t="s">
        <v>225</v>
      </c>
      <c r="K77">
        <f t="shared" si="30"/>
        <v>0</v>
      </c>
      <c r="L77">
        <f t="shared" si="31"/>
        <v>1</v>
      </c>
      <c r="M77">
        <f t="shared" si="32"/>
        <v>0</v>
      </c>
      <c r="N77">
        <f t="shared" si="33"/>
        <v>0</v>
      </c>
      <c r="O77">
        <f t="shared" si="34"/>
        <v>0</v>
      </c>
      <c r="P77">
        <f t="shared" si="35"/>
        <v>0</v>
      </c>
      <c r="Q77">
        <f t="shared" si="36"/>
        <v>0</v>
      </c>
      <c r="R77">
        <f t="shared" si="37"/>
        <v>0</v>
      </c>
      <c r="S77">
        <f t="shared" si="38"/>
        <v>0</v>
      </c>
      <c r="T77">
        <f t="shared" si="39"/>
        <v>0</v>
      </c>
      <c r="U77" t="str">
        <f t="shared" si="40"/>
        <v/>
      </c>
      <c r="V77" t="str">
        <f t="shared" si="41"/>
        <v/>
      </c>
      <c r="W77" t="str">
        <f t="shared" si="42"/>
        <v>Sin función mapeada</v>
      </c>
      <c r="X77" t="s">
        <v>908</v>
      </c>
    </row>
    <row r="78" spans="1:24" ht="15" customHeight="1" x14ac:dyDescent="0.2">
      <c r="A78" t="s">
        <v>912</v>
      </c>
      <c r="B78" t="s">
        <v>913</v>
      </c>
      <c r="C78" t="s">
        <v>914</v>
      </c>
      <c r="D78" t="s">
        <v>313</v>
      </c>
      <c r="E78" t="s">
        <v>36</v>
      </c>
      <c r="F78" t="s">
        <v>915</v>
      </c>
      <c r="G78" t="s">
        <v>293</v>
      </c>
      <c r="H78" t="s">
        <v>269</v>
      </c>
      <c r="I78" t="str">
        <f t="shared" si="43"/>
        <v>Sí</v>
      </c>
      <c r="J78" t="s">
        <v>225</v>
      </c>
      <c r="K78">
        <f t="shared" si="30"/>
        <v>0</v>
      </c>
      <c r="L78">
        <f t="shared" si="31"/>
        <v>1</v>
      </c>
      <c r="M78">
        <f t="shared" si="32"/>
        <v>0</v>
      </c>
      <c r="N78">
        <f t="shared" si="33"/>
        <v>0</v>
      </c>
      <c r="O78">
        <f t="shared" si="34"/>
        <v>0</v>
      </c>
      <c r="P78">
        <f t="shared" si="35"/>
        <v>0</v>
      </c>
      <c r="Q78">
        <f t="shared" si="36"/>
        <v>0</v>
      </c>
      <c r="R78">
        <f t="shared" si="37"/>
        <v>0</v>
      </c>
      <c r="S78">
        <f t="shared" si="38"/>
        <v>0</v>
      </c>
      <c r="T78">
        <f t="shared" si="39"/>
        <v>0</v>
      </c>
      <c r="U78" t="str">
        <f t="shared" si="40"/>
        <v/>
      </c>
      <c r="V78" t="str">
        <f t="shared" si="41"/>
        <v/>
      </c>
      <c r="W78" t="str">
        <f t="shared" si="42"/>
        <v>Sin función mapeada</v>
      </c>
      <c r="X78" t="s">
        <v>918</v>
      </c>
    </row>
    <row r="79" spans="1:24" ht="15" customHeight="1" x14ac:dyDescent="0.2">
      <c r="A79" t="s">
        <v>920</v>
      </c>
      <c r="B79" t="s">
        <v>921</v>
      </c>
      <c r="C79" t="s">
        <v>922</v>
      </c>
      <c r="D79" t="s">
        <v>205</v>
      </c>
      <c r="E79" t="s">
        <v>51</v>
      </c>
      <c r="F79" t="s">
        <v>924</v>
      </c>
      <c r="G79" t="s">
        <v>209</v>
      </c>
      <c r="H79" t="s">
        <v>218</v>
      </c>
      <c r="I79" t="str">
        <f t="shared" si="43"/>
        <v>Sí</v>
      </c>
      <c r="J79" t="s">
        <v>225</v>
      </c>
      <c r="K79">
        <f t="shared" si="30"/>
        <v>0</v>
      </c>
      <c r="L79">
        <f t="shared" si="31"/>
        <v>1</v>
      </c>
      <c r="M79">
        <f t="shared" si="32"/>
        <v>0</v>
      </c>
      <c r="N79">
        <f t="shared" si="33"/>
        <v>0</v>
      </c>
      <c r="O79">
        <f t="shared" si="34"/>
        <v>0</v>
      </c>
      <c r="P79">
        <f t="shared" si="35"/>
        <v>0</v>
      </c>
      <c r="Q79">
        <f t="shared" si="36"/>
        <v>0</v>
      </c>
      <c r="R79">
        <f t="shared" si="37"/>
        <v>0</v>
      </c>
      <c r="S79">
        <f t="shared" si="38"/>
        <v>0</v>
      </c>
      <c r="T79">
        <f t="shared" si="39"/>
        <v>0</v>
      </c>
      <c r="U79" t="str">
        <f t="shared" si="40"/>
        <v/>
      </c>
      <c r="V79" t="str">
        <f t="shared" si="41"/>
        <v/>
      </c>
      <c r="W79" t="str">
        <f t="shared" si="42"/>
        <v>Sin función mapeada</v>
      </c>
      <c r="X79" t="s">
        <v>928</v>
      </c>
    </row>
    <row r="80" spans="1:24" ht="15" customHeight="1" x14ac:dyDescent="0.2">
      <c r="A80" t="s">
        <v>930</v>
      </c>
      <c r="B80" t="s">
        <v>931</v>
      </c>
      <c r="C80" t="s">
        <v>932</v>
      </c>
      <c r="D80" t="s">
        <v>313</v>
      </c>
      <c r="E80" t="s">
        <v>39</v>
      </c>
      <c r="F80" t="s">
        <v>350</v>
      </c>
      <c r="G80" t="s">
        <v>406</v>
      </c>
      <c r="H80" t="s">
        <v>269</v>
      </c>
      <c r="I80" t="str">
        <f t="shared" si="43"/>
        <v>Sí</v>
      </c>
      <c r="J80" t="s">
        <v>225</v>
      </c>
      <c r="K80">
        <f t="shared" si="30"/>
        <v>0</v>
      </c>
      <c r="L80">
        <f t="shared" si="31"/>
        <v>1</v>
      </c>
      <c r="M80">
        <f t="shared" si="32"/>
        <v>0</v>
      </c>
      <c r="N80">
        <f t="shared" si="33"/>
        <v>0</v>
      </c>
      <c r="O80">
        <f t="shared" si="34"/>
        <v>0</v>
      </c>
      <c r="P80">
        <f t="shared" si="35"/>
        <v>0</v>
      </c>
      <c r="Q80">
        <f t="shared" si="36"/>
        <v>0</v>
      </c>
      <c r="R80">
        <f t="shared" si="37"/>
        <v>0</v>
      </c>
      <c r="S80">
        <f t="shared" si="38"/>
        <v>0</v>
      </c>
      <c r="T80">
        <f t="shared" si="39"/>
        <v>0</v>
      </c>
      <c r="U80" t="str">
        <f t="shared" si="40"/>
        <v/>
      </c>
      <c r="V80" t="str">
        <f t="shared" si="41"/>
        <v/>
      </c>
      <c r="W80" t="str">
        <f t="shared" si="42"/>
        <v>Sin función mapeada</v>
      </c>
      <c r="X80" t="s">
        <v>935</v>
      </c>
    </row>
    <row r="81" spans="1:24" ht="15" customHeight="1" x14ac:dyDescent="0.2">
      <c r="A81" t="s">
        <v>937</v>
      </c>
      <c r="B81" t="s">
        <v>938</v>
      </c>
      <c r="C81" t="s">
        <v>939</v>
      </c>
      <c r="D81" t="s">
        <v>313</v>
      </c>
      <c r="E81" t="s">
        <v>51</v>
      </c>
      <c r="F81" t="s">
        <v>516</v>
      </c>
      <c r="G81" t="s">
        <v>406</v>
      </c>
      <c r="H81" t="s">
        <v>269</v>
      </c>
      <c r="I81" t="str">
        <f t="shared" si="43"/>
        <v>Sí</v>
      </c>
      <c r="J81" t="s">
        <v>213</v>
      </c>
      <c r="K81">
        <f t="shared" si="30"/>
        <v>0</v>
      </c>
      <c r="L81">
        <f t="shared" si="31"/>
        <v>1</v>
      </c>
      <c r="M81">
        <f t="shared" si="32"/>
        <v>0</v>
      </c>
      <c r="N81">
        <f t="shared" si="33"/>
        <v>0</v>
      </c>
      <c r="O81">
        <f t="shared" si="34"/>
        <v>0</v>
      </c>
      <c r="P81">
        <f t="shared" si="35"/>
        <v>0</v>
      </c>
      <c r="Q81">
        <f t="shared" si="36"/>
        <v>0</v>
      </c>
      <c r="R81">
        <f t="shared" si="37"/>
        <v>0</v>
      </c>
      <c r="S81">
        <f t="shared" si="38"/>
        <v>0</v>
      </c>
      <c r="T81">
        <f t="shared" si="39"/>
        <v>0</v>
      </c>
      <c r="U81" t="str">
        <f t="shared" si="40"/>
        <v/>
      </c>
      <c r="V81" t="str">
        <f t="shared" si="41"/>
        <v/>
      </c>
      <c r="W81" t="str">
        <f t="shared" si="42"/>
        <v>Sin función mapeada</v>
      </c>
      <c r="X81" t="s">
        <v>942</v>
      </c>
    </row>
    <row r="82" spans="1:24" ht="15" customHeight="1" x14ac:dyDescent="0.2">
      <c r="A82" t="s">
        <v>943</v>
      </c>
      <c r="B82" t="s">
        <v>944</v>
      </c>
      <c r="C82" t="s">
        <v>945</v>
      </c>
      <c r="D82" t="s">
        <v>205</v>
      </c>
      <c r="E82" t="s">
        <v>51</v>
      </c>
      <c r="F82" t="s">
        <v>516</v>
      </c>
      <c r="G82" t="s">
        <v>406</v>
      </c>
      <c r="H82" t="s">
        <v>303</v>
      </c>
      <c r="I82" t="str">
        <f t="shared" si="43"/>
        <v>Sí</v>
      </c>
      <c r="J82" t="s">
        <v>225</v>
      </c>
      <c r="K82">
        <f t="shared" si="30"/>
        <v>0</v>
      </c>
      <c r="L82">
        <f t="shared" si="31"/>
        <v>1</v>
      </c>
      <c r="M82">
        <f t="shared" si="32"/>
        <v>0</v>
      </c>
      <c r="N82">
        <f t="shared" si="33"/>
        <v>0</v>
      </c>
      <c r="O82">
        <f t="shared" si="34"/>
        <v>0</v>
      </c>
      <c r="P82">
        <f t="shared" si="35"/>
        <v>0</v>
      </c>
      <c r="Q82">
        <f t="shared" si="36"/>
        <v>0</v>
      </c>
      <c r="R82">
        <f t="shared" si="37"/>
        <v>0</v>
      </c>
      <c r="S82">
        <f t="shared" si="38"/>
        <v>0</v>
      </c>
      <c r="T82">
        <f t="shared" si="39"/>
        <v>0</v>
      </c>
      <c r="U82" t="str">
        <f t="shared" si="40"/>
        <v/>
      </c>
      <c r="V82" t="str">
        <f t="shared" si="41"/>
        <v/>
      </c>
      <c r="W82" t="str">
        <f t="shared" si="42"/>
        <v>Sin función mapeada</v>
      </c>
      <c r="X82" t="s">
        <v>949</v>
      </c>
    </row>
    <row r="83" spans="1:24" ht="15" customHeight="1" x14ac:dyDescent="0.2">
      <c r="A83" t="s">
        <v>951</v>
      </c>
      <c r="B83" t="s">
        <v>952</v>
      </c>
      <c r="C83" t="s">
        <v>953</v>
      </c>
      <c r="D83" t="s">
        <v>313</v>
      </c>
      <c r="E83" t="s">
        <v>30</v>
      </c>
      <c r="F83" t="s">
        <v>204</v>
      </c>
      <c r="G83" t="s">
        <v>209</v>
      </c>
      <c r="H83" t="s">
        <v>269</v>
      </c>
      <c r="I83" t="str">
        <f t="shared" si="43"/>
        <v>Sí</v>
      </c>
      <c r="J83" t="s">
        <v>213</v>
      </c>
      <c r="K83">
        <f t="shared" si="30"/>
        <v>0</v>
      </c>
      <c r="L83">
        <f t="shared" si="31"/>
        <v>1</v>
      </c>
      <c r="M83">
        <f t="shared" si="32"/>
        <v>0</v>
      </c>
      <c r="N83">
        <f t="shared" si="33"/>
        <v>0</v>
      </c>
      <c r="O83">
        <f t="shared" si="34"/>
        <v>0</v>
      </c>
      <c r="P83">
        <f t="shared" si="35"/>
        <v>0</v>
      </c>
      <c r="Q83">
        <f t="shared" si="36"/>
        <v>0</v>
      </c>
      <c r="R83">
        <f t="shared" si="37"/>
        <v>0</v>
      </c>
      <c r="S83">
        <f t="shared" si="38"/>
        <v>0</v>
      </c>
      <c r="T83">
        <f t="shared" si="39"/>
        <v>0</v>
      </c>
      <c r="U83" t="str">
        <f t="shared" si="40"/>
        <v/>
      </c>
      <c r="V83" t="str">
        <f t="shared" si="41"/>
        <v/>
      </c>
      <c r="W83" t="str">
        <f t="shared" si="42"/>
        <v>Sin función mapeada</v>
      </c>
      <c r="X83" t="s">
        <v>957</v>
      </c>
    </row>
    <row r="84" spans="1:24" ht="15" customHeight="1" x14ac:dyDescent="0.2">
      <c r="A84" t="s">
        <v>960</v>
      </c>
      <c r="B84" t="s">
        <v>961</v>
      </c>
      <c r="C84" t="s">
        <v>962</v>
      </c>
      <c r="D84" t="s">
        <v>230</v>
      </c>
      <c r="E84" t="s">
        <v>24</v>
      </c>
      <c r="F84" t="s">
        <v>392</v>
      </c>
      <c r="G84" t="s">
        <v>394</v>
      </c>
      <c r="H84" t="s">
        <v>269</v>
      </c>
      <c r="I84" t="str">
        <f t="shared" si="43"/>
        <v>Sí</v>
      </c>
      <c r="J84" t="s">
        <v>225</v>
      </c>
      <c r="K84">
        <f t="shared" si="30"/>
        <v>0</v>
      </c>
      <c r="L84">
        <f t="shared" si="31"/>
        <v>1</v>
      </c>
      <c r="M84">
        <f t="shared" si="32"/>
        <v>0</v>
      </c>
      <c r="N84">
        <f t="shared" si="33"/>
        <v>0</v>
      </c>
      <c r="O84">
        <f t="shared" si="34"/>
        <v>0</v>
      </c>
      <c r="P84">
        <f t="shared" si="35"/>
        <v>0</v>
      </c>
      <c r="Q84">
        <f t="shared" si="36"/>
        <v>0</v>
      </c>
      <c r="R84">
        <f t="shared" si="37"/>
        <v>0</v>
      </c>
      <c r="S84">
        <f t="shared" si="38"/>
        <v>0</v>
      </c>
      <c r="T84">
        <f t="shared" si="39"/>
        <v>0</v>
      </c>
      <c r="U84" t="str">
        <f t="shared" si="40"/>
        <v/>
      </c>
      <c r="V84" t="str">
        <f t="shared" si="41"/>
        <v/>
      </c>
      <c r="W84" t="str">
        <f t="shared" si="42"/>
        <v>Sin función mapeada</v>
      </c>
      <c r="X84" t="s">
        <v>966</v>
      </c>
    </row>
    <row r="85" spans="1:24" ht="15" customHeight="1" x14ac:dyDescent="0.2">
      <c r="A85" t="s">
        <v>969</v>
      </c>
      <c r="B85" t="s">
        <v>970</v>
      </c>
      <c r="C85" t="s">
        <v>971</v>
      </c>
      <c r="D85" t="s">
        <v>205</v>
      </c>
      <c r="E85" t="s">
        <v>24</v>
      </c>
      <c r="F85" t="s">
        <v>475</v>
      </c>
      <c r="G85" t="s">
        <v>209</v>
      </c>
      <c r="H85" t="s">
        <v>269</v>
      </c>
      <c r="I85" t="str">
        <f t="shared" si="43"/>
        <v>Sí</v>
      </c>
      <c r="J85" t="s">
        <v>225</v>
      </c>
      <c r="K85">
        <f t="shared" si="30"/>
        <v>0</v>
      </c>
      <c r="L85">
        <f t="shared" si="31"/>
        <v>1</v>
      </c>
      <c r="M85">
        <f t="shared" si="32"/>
        <v>0</v>
      </c>
      <c r="N85">
        <f t="shared" si="33"/>
        <v>0</v>
      </c>
      <c r="O85">
        <f t="shared" si="34"/>
        <v>0</v>
      </c>
      <c r="P85">
        <f t="shared" si="35"/>
        <v>0</v>
      </c>
      <c r="Q85">
        <f t="shared" si="36"/>
        <v>0</v>
      </c>
      <c r="R85">
        <f t="shared" si="37"/>
        <v>0</v>
      </c>
      <c r="S85">
        <f t="shared" si="38"/>
        <v>0</v>
      </c>
      <c r="T85">
        <f t="shared" si="39"/>
        <v>0</v>
      </c>
      <c r="U85" t="str">
        <f t="shared" si="40"/>
        <v/>
      </c>
      <c r="V85" t="str">
        <f t="shared" si="41"/>
        <v/>
      </c>
      <c r="W85" t="str">
        <f t="shared" si="42"/>
        <v>Sin función mapeada</v>
      </c>
      <c r="X85" t="s">
        <v>975</v>
      </c>
    </row>
    <row r="86" spans="1:24" ht="15" customHeight="1" x14ac:dyDescent="0.2">
      <c r="A86" t="s">
        <v>979</v>
      </c>
      <c r="B86" t="s">
        <v>980</v>
      </c>
      <c r="C86" t="s">
        <v>981</v>
      </c>
      <c r="D86" t="s">
        <v>230</v>
      </c>
      <c r="E86" t="s">
        <v>24</v>
      </c>
      <c r="F86" t="s">
        <v>475</v>
      </c>
      <c r="G86" t="s">
        <v>406</v>
      </c>
      <c r="H86" t="s">
        <v>983</v>
      </c>
      <c r="I86" t="str">
        <f t="shared" si="43"/>
        <v>Sí</v>
      </c>
      <c r="J86" t="s">
        <v>225</v>
      </c>
      <c r="K86">
        <f t="shared" si="30"/>
        <v>0</v>
      </c>
      <c r="L86">
        <f t="shared" si="31"/>
        <v>1</v>
      </c>
      <c r="M86">
        <f t="shared" si="32"/>
        <v>0</v>
      </c>
      <c r="N86">
        <f t="shared" si="33"/>
        <v>0</v>
      </c>
      <c r="O86">
        <f t="shared" si="34"/>
        <v>0</v>
      </c>
      <c r="P86">
        <f t="shared" si="35"/>
        <v>0</v>
      </c>
      <c r="Q86">
        <f t="shared" si="36"/>
        <v>0</v>
      </c>
      <c r="R86">
        <f t="shared" si="37"/>
        <v>0</v>
      </c>
      <c r="S86">
        <f t="shared" si="38"/>
        <v>0</v>
      </c>
      <c r="T86">
        <f t="shared" si="39"/>
        <v>0</v>
      </c>
      <c r="U86" t="str">
        <f t="shared" si="40"/>
        <v/>
      </c>
      <c r="V86" t="str">
        <f t="shared" si="41"/>
        <v/>
      </c>
      <c r="W86" t="str">
        <f t="shared" si="42"/>
        <v>Sin función mapeada</v>
      </c>
      <c r="X86" t="s">
        <v>987</v>
      </c>
    </row>
    <row r="87" spans="1:24" ht="15" customHeight="1" x14ac:dyDescent="0.2">
      <c r="A87" t="s">
        <v>990</v>
      </c>
      <c r="B87" t="s">
        <v>991</v>
      </c>
      <c r="C87" t="s">
        <v>992</v>
      </c>
      <c r="D87" t="s">
        <v>313</v>
      </c>
      <c r="E87" t="s">
        <v>30</v>
      </c>
      <c r="F87" t="s">
        <v>204</v>
      </c>
      <c r="G87" t="s">
        <v>209</v>
      </c>
      <c r="H87" t="s">
        <v>476</v>
      </c>
      <c r="I87" t="str">
        <f t="shared" si="43"/>
        <v>Sí</v>
      </c>
      <c r="J87" t="s">
        <v>225</v>
      </c>
      <c r="K87">
        <f t="shared" si="30"/>
        <v>0</v>
      </c>
      <c r="L87">
        <f t="shared" si="31"/>
        <v>1</v>
      </c>
      <c r="M87">
        <f t="shared" si="32"/>
        <v>0</v>
      </c>
      <c r="N87">
        <f t="shared" si="33"/>
        <v>0</v>
      </c>
      <c r="O87">
        <f t="shared" si="34"/>
        <v>0</v>
      </c>
      <c r="P87">
        <f t="shared" si="35"/>
        <v>0</v>
      </c>
      <c r="Q87">
        <f t="shared" si="36"/>
        <v>0</v>
      </c>
      <c r="R87">
        <f t="shared" si="37"/>
        <v>0</v>
      </c>
      <c r="S87">
        <f t="shared" si="38"/>
        <v>0</v>
      </c>
      <c r="T87">
        <f t="shared" si="39"/>
        <v>0</v>
      </c>
      <c r="U87" t="str">
        <f t="shared" si="40"/>
        <v/>
      </c>
      <c r="V87" t="str">
        <f t="shared" si="41"/>
        <v/>
      </c>
      <c r="W87" t="str">
        <f t="shared" si="42"/>
        <v>Sin función mapeada</v>
      </c>
      <c r="X87" t="s">
        <v>995</v>
      </c>
    </row>
    <row r="88" spans="1:24" ht="15" customHeight="1" x14ac:dyDescent="0.2">
      <c r="A88" t="s">
        <v>997</v>
      </c>
      <c r="B88" t="s">
        <v>998</v>
      </c>
      <c r="C88" t="s">
        <v>999</v>
      </c>
      <c r="D88" t="s">
        <v>205</v>
      </c>
      <c r="E88" t="s">
        <v>24</v>
      </c>
      <c r="F88" t="s">
        <v>475</v>
      </c>
      <c r="G88" t="s">
        <v>271</v>
      </c>
      <c r="H88" t="s">
        <v>269</v>
      </c>
      <c r="I88" t="str">
        <f t="shared" si="43"/>
        <v>Sí</v>
      </c>
      <c r="J88" t="s">
        <v>225</v>
      </c>
      <c r="K88">
        <f t="shared" si="30"/>
        <v>0</v>
      </c>
      <c r="L88">
        <f t="shared" si="31"/>
        <v>1</v>
      </c>
      <c r="M88">
        <f t="shared" si="32"/>
        <v>0</v>
      </c>
      <c r="N88">
        <f t="shared" si="33"/>
        <v>0</v>
      </c>
      <c r="O88">
        <f t="shared" si="34"/>
        <v>0</v>
      </c>
      <c r="P88">
        <f t="shared" si="35"/>
        <v>0</v>
      </c>
      <c r="Q88">
        <f t="shared" si="36"/>
        <v>0</v>
      </c>
      <c r="R88">
        <f t="shared" si="37"/>
        <v>0</v>
      </c>
      <c r="S88">
        <f t="shared" si="38"/>
        <v>0</v>
      </c>
      <c r="T88">
        <f t="shared" si="39"/>
        <v>0</v>
      </c>
      <c r="U88" t="str">
        <f t="shared" si="40"/>
        <v/>
      </c>
      <c r="V88" t="str">
        <f t="shared" si="41"/>
        <v/>
      </c>
      <c r="W88" t="str">
        <f t="shared" si="42"/>
        <v>Sin función mapeada</v>
      </c>
      <c r="X88" t="s">
        <v>1003</v>
      </c>
    </row>
    <row r="89" spans="1:24" ht="15" customHeight="1" x14ac:dyDescent="0.2">
      <c r="A89" t="s">
        <v>1007</v>
      </c>
      <c r="B89" t="s">
        <v>1008</v>
      </c>
      <c r="C89" t="s">
        <v>1009</v>
      </c>
      <c r="D89" t="s">
        <v>230</v>
      </c>
      <c r="E89" t="s">
        <v>24</v>
      </c>
      <c r="F89" t="s">
        <v>475</v>
      </c>
      <c r="G89" t="s">
        <v>271</v>
      </c>
      <c r="H89" t="s">
        <v>269</v>
      </c>
      <c r="I89" t="str">
        <f t="shared" si="43"/>
        <v>Sí</v>
      </c>
      <c r="J89" t="s">
        <v>225</v>
      </c>
      <c r="K89">
        <f t="shared" si="30"/>
        <v>0</v>
      </c>
      <c r="L89">
        <f t="shared" si="31"/>
        <v>1</v>
      </c>
      <c r="M89">
        <f t="shared" si="32"/>
        <v>0</v>
      </c>
      <c r="N89">
        <f t="shared" si="33"/>
        <v>0</v>
      </c>
      <c r="O89">
        <f t="shared" si="34"/>
        <v>0</v>
      </c>
      <c r="P89">
        <f t="shared" si="35"/>
        <v>0</v>
      </c>
      <c r="Q89">
        <f t="shared" si="36"/>
        <v>0</v>
      </c>
      <c r="R89">
        <f t="shared" si="37"/>
        <v>0</v>
      </c>
      <c r="S89">
        <f t="shared" si="38"/>
        <v>0</v>
      </c>
      <c r="T89">
        <f t="shared" si="39"/>
        <v>0</v>
      </c>
      <c r="U89" t="str">
        <f t="shared" si="40"/>
        <v/>
      </c>
      <c r="V89" t="str">
        <f t="shared" si="41"/>
        <v/>
      </c>
      <c r="W89" t="str">
        <f t="shared" si="42"/>
        <v>Sin función mapeada</v>
      </c>
      <c r="X89" t="s">
        <v>1013</v>
      </c>
    </row>
    <row r="90" spans="1:24" ht="15" customHeight="1" x14ac:dyDescent="0.2">
      <c r="A90" t="s">
        <v>1017</v>
      </c>
      <c r="B90" t="s">
        <v>1018</v>
      </c>
      <c r="C90" t="s">
        <v>1019</v>
      </c>
      <c r="D90" t="s">
        <v>313</v>
      </c>
      <c r="E90" t="s">
        <v>30</v>
      </c>
      <c r="F90" t="s">
        <v>204</v>
      </c>
      <c r="G90" t="s">
        <v>271</v>
      </c>
      <c r="H90" t="s">
        <v>282</v>
      </c>
      <c r="I90" t="str">
        <f t="shared" si="43"/>
        <v>Sí</v>
      </c>
      <c r="J90" t="s">
        <v>225</v>
      </c>
      <c r="K90">
        <f t="shared" si="30"/>
        <v>0</v>
      </c>
      <c r="L90">
        <f t="shared" si="31"/>
        <v>1</v>
      </c>
      <c r="M90">
        <f t="shared" si="32"/>
        <v>0</v>
      </c>
      <c r="N90">
        <f t="shared" si="33"/>
        <v>0</v>
      </c>
      <c r="O90">
        <f t="shared" si="34"/>
        <v>0</v>
      </c>
      <c r="P90">
        <f t="shared" si="35"/>
        <v>0</v>
      </c>
      <c r="Q90">
        <f t="shared" si="36"/>
        <v>0</v>
      </c>
      <c r="R90">
        <f t="shared" si="37"/>
        <v>0</v>
      </c>
      <c r="S90">
        <f t="shared" si="38"/>
        <v>0</v>
      </c>
      <c r="T90">
        <f t="shared" si="39"/>
        <v>0</v>
      </c>
      <c r="U90" t="str">
        <f t="shared" si="40"/>
        <v/>
      </c>
      <c r="V90" t="str">
        <f t="shared" si="41"/>
        <v/>
      </c>
      <c r="W90" t="str">
        <f t="shared" si="42"/>
        <v>Sin función mapeada</v>
      </c>
      <c r="X90" t="s">
        <v>1022</v>
      </c>
    </row>
    <row r="91" spans="1:24" ht="15" customHeight="1" x14ac:dyDescent="0.2">
      <c r="A91" t="s">
        <v>1024</v>
      </c>
      <c r="B91" t="s">
        <v>1025</v>
      </c>
      <c r="C91" t="s">
        <v>1026</v>
      </c>
      <c r="D91" t="s">
        <v>313</v>
      </c>
      <c r="E91" t="s">
        <v>27</v>
      </c>
      <c r="F91" t="s">
        <v>217</v>
      </c>
      <c r="G91" t="s">
        <v>209</v>
      </c>
      <c r="H91" t="s">
        <v>218</v>
      </c>
      <c r="I91" t="str">
        <f t="shared" si="43"/>
        <v>Sí</v>
      </c>
      <c r="J91" t="s">
        <v>225</v>
      </c>
      <c r="K91">
        <f t="shared" si="30"/>
        <v>0</v>
      </c>
      <c r="L91">
        <f t="shared" si="31"/>
        <v>1</v>
      </c>
      <c r="M91">
        <f t="shared" si="32"/>
        <v>0</v>
      </c>
      <c r="N91">
        <f t="shared" si="33"/>
        <v>0</v>
      </c>
      <c r="O91">
        <f t="shared" si="34"/>
        <v>0</v>
      </c>
      <c r="P91">
        <f t="shared" si="35"/>
        <v>0</v>
      </c>
      <c r="Q91">
        <f t="shared" si="36"/>
        <v>0</v>
      </c>
      <c r="R91">
        <f t="shared" si="37"/>
        <v>0</v>
      </c>
      <c r="S91">
        <f t="shared" si="38"/>
        <v>0</v>
      </c>
      <c r="T91">
        <f t="shared" si="39"/>
        <v>0</v>
      </c>
      <c r="U91" t="str">
        <f t="shared" si="40"/>
        <v/>
      </c>
      <c r="V91" t="str">
        <f t="shared" si="41"/>
        <v/>
      </c>
      <c r="W91" t="str">
        <f t="shared" si="42"/>
        <v>Sin función mapeada</v>
      </c>
      <c r="X91" t="s">
        <v>1029</v>
      </c>
    </row>
    <row r="92" spans="1:24" ht="15" customHeight="1" x14ac:dyDescent="0.2">
      <c r="A92" t="s">
        <v>1031</v>
      </c>
      <c r="B92" t="s">
        <v>1032</v>
      </c>
      <c r="C92" t="s">
        <v>1033</v>
      </c>
      <c r="D92" t="s">
        <v>205</v>
      </c>
      <c r="E92" t="s">
        <v>51</v>
      </c>
      <c r="F92" t="s">
        <v>516</v>
      </c>
      <c r="G92" t="s">
        <v>209</v>
      </c>
      <c r="H92" t="s">
        <v>445</v>
      </c>
      <c r="I92" t="str">
        <f t="shared" si="43"/>
        <v>Sí</v>
      </c>
      <c r="J92" t="s">
        <v>225</v>
      </c>
      <c r="K92">
        <f t="shared" si="30"/>
        <v>0</v>
      </c>
      <c r="L92">
        <f t="shared" si="31"/>
        <v>1</v>
      </c>
      <c r="M92">
        <f t="shared" si="32"/>
        <v>0</v>
      </c>
      <c r="N92">
        <f t="shared" si="33"/>
        <v>0</v>
      </c>
      <c r="O92">
        <f t="shared" si="34"/>
        <v>0</v>
      </c>
      <c r="P92">
        <f t="shared" si="35"/>
        <v>0</v>
      </c>
      <c r="Q92">
        <f t="shared" si="36"/>
        <v>0</v>
      </c>
      <c r="R92">
        <f t="shared" si="37"/>
        <v>0</v>
      </c>
      <c r="S92">
        <f t="shared" si="38"/>
        <v>0</v>
      </c>
      <c r="T92">
        <f t="shared" si="39"/>
        <v>0</v>
      </c>
      <c r="U92" t="str">
        <f t="shared" si="40"/>
        <v/>
      </c>
      <c r="V92" t="str">
        <f t="shared" si="41"/>
        <v/>
      </c>
      <c r="W92" t="str">
        <f t="shared" si="42"/>
        <v>Sin función mapeada</v>
      </c>
      <c r="X92" t="s">
        <v>1037</v>
      </c>
    </row>
    <row r="93" spans="1:24" ht="15" customHeight="1" x14ac:dyDescent="0.2">
      <c r="A93" t="s">
        <v>1039</v>
      </c>
      <c r="B93" t="s">
        <v>1040</v>
      </c>
      <c r="C93" t="s">
        <v>1041</v>
      </c>
      <c r="D93" t="s">
        <v>205</v>
      </c>
      <c r="E93" t="s">
        <v>24</v>
      </c>
      <c r="F93" t="s">
        <v>475</v>
      </c>
      <c r="G93" t="s">
        <v>271</v>
      </c>
      <c r="H93" t="s">
        <v>269</v>
      </c>
      <c r="I93" t="str">
        <f t="shared" si="43"/>
        <v>Sí</v>
      </c>
      <c r="J93" t="s">
        <v>225</v>
      </c>
      <c r="K93">
        <f t="shared" si="30"/>
        <v>0</v>
      </c>
      <c r="L93">
        <f t="shared" si="31"/>
        <v>1</v>
      </c>
      <c r="M93">
        <f t="shared" si="32"/>
        <v>0</v>
      </c>
      <c r="N93">
        <f t="shared" si="33"/>
        <v>0</v>
      </c>
      <c r="O93">
        <f t="shared" si="34"/>
        <v>0</v>
      </c>
      <c r="P93">
        <f t="shared" si="35"/>
        <v>0</v>
      </c>
      <c r="Q93">
        <f t="shared" si="36"/>
        <v>0</v>
      </c>
      <c r="R93">
        <f t="shared" si="37"/>
        <v>0</v>
      </c>
      <c r="S93">
        <f t="shared" si="38"/>
        <v>0</v>
      </c>
      <c r="T93">
        <f t="shared" si="39"/>
        <v>0</v>
      </c>
      <c r="U93" t="str">
        <f t="shared" si="40"/>
        <v/>
      </c>
      <c r="V93" t="str">
        <f t="shared" si="41"/>
        <v/>
      </c>
      <c r="W93" t="str">
        <f t="shared" si="42"/>
        <v>Sin función mapeada</v>
      </c>
      <c r="X93" t="s">
        <v>1045</v>
      </c>
    </row>
    <row r="94" spans="1:24" ht="15" customHeight="1" x14ac:dyDescent="0.2">
      <c r="A94" t="s">
        <v>1049</v>
      </c>
      <c r="B94" t="s">
        <v>1050</v>
      </c>
      <c r="C94" t="s">
        <v>1051</v>
      </c>
      <c r="D94" t="s">
        <v>205</v>
      </c>
      <c r="E94" t="s">
        <v>24</v>
      </c>
      <c r="F94" t="s">
        <v>475</v>
      </c>
      <c r="G94" t="s">
        <v>271</v>
      </c>
      <c r="H94" t="s">
        <v>269</v>
      </c>
      <c r="I94" t="str">
        <f t="shared" si="43"/>
        <v>Sí</v>
      </c>
      <c r="J94" t="s">
        <v>225</v>
      </c>
      <c r="K94">
        <f t="shared" si="30"/>
        <v>0</v>
      </c>
      <c r="L94">
        <f t="shared" si="31"/>
        <v>1</v>
      </c>
      <c r="M94">
        <f t="shared" si="32"/>
        <v>0</v>
      </c>
      <c r="N94">
        <f t="shared" si="33"/>
        <v>0</v>
      </c>
      <c r="O94">
        <f t="shared" si="34"/>
        <v>0</v>
      </c>
      <c r="P94">
        <f t="shared" si="35"/>
        <v>0</v>
      </c>
      <c r="Q94">
        <f t="shared" si="36"/>
        <v>0</v>
      </c>
      <c r="R94">
        <f t="shared" si="37"/>
        <v>0</v>
      </c>
      <c r="S94">
        <f t="shared" si="38"/>
        <v>0</v>
      </c>
      <c r="T94">
        <f t="shared" si="39"/>
        <v>0</v>
      </c>
      <c r="U94" t="str">
        <f t="shared" si="40"/>
        <v/>
      </c>
      <c r="V94" t="str">
        <f t="shared" si="41"/>
        <v/>
      </c>
      <c r="W94" t="str">
        <f t="shared" si="42"/>
        <v>Sin función mapeada</v>
      </c>
      <c r="X94" t="s">
        <v>1055</v>
      </c>
    </row>
    <row r="95" spans="1:24" ht="15" customHeight="1" x14ac:dyDescent="0.2">
      <c r="A95" t="s">
        <v>1059</v>
      </c>
      <c r="B95" t="s">
        <v>1060</v>
      </c>
      <c r="C95" t="s">
        <v>1061</v>
      </c>
      <c r="D95" t="s">
        <v>313</v>
      </c>
      <c r="E95" t="s">
        <v>27</v>
      </c>
      <c r="F95" t="s">
        <v>312</v>
      </c>
      <c r="G95" t="s">
        <v>209</v>
      </c>
      <c r="H95" t="s">
        <v>269</v>
      </c>
      <c r="I95" t="str">
        <f t="shared" si="43"/>
        <v>Sí</v>
      </c>
      <c r="J95" t="s">
        <v>225</v>
      </c>
      <c r="K95">
        <f t="shared" si="30"/>
        <v>0</v>
      </c>
      <c r="L95">
        <f t="shared" si="31"/>
        <v>1</v>
      </c>
      <c r="M95">
        <f t="shared" si="32"/>
        <v>0</v>
      </c>
      <c r="N95">
        <f t="shared" si="33"/>
        <v>0</v>
      </c>
      <c r="O95">
        <f t="shared" si="34"/>
        <v>0</v>
      </c>
      <c r="P95">
        <f t="shared" si="35"/>
        <v>0</v>
      </c>
      <c r="Q95">
        <f t="shared" si="36"/>
        <v>0</v>
      </c>
      <c r="R95">
        <f t="shared" si="37"/>
        <v>0</v>
      </c>
      <c r="S95">
        <f t="shared" si="38"/>
        <v>0</v>
      </c>
      <c r="T95">
        <f t="shared" si="39"/>
        <v>0</v>
      </c>
      <c r="U95" t="str">
        <f t="shared" si="40"/>
        <v/>
      </c>
      <c r="V95" t="str">
        <f t="shared" si="41"/>
        <v/>
      </c>
      <c r="W95" t="str">
        <f t="shared" si="42"/>
        <v>Sin función mapeada</v>
      </c>
      <c r="X95" t="s">
        <v>1064</v>
      </c>
    </row>
    <row r="96" spans="1:24" ht="15" customHeight="1" x14ac:dyDescent="0.2">
      <c r="A96" t="s">
        <v>1066</v>
      </c>
      <c r="B96" t="s">
        <v>1067</v>
      </c>
      <c r="C96" t="s">
        <v>1068</v>
      </c>
      <c r="D96" t="s">
        <v>313</v>
      </c>
      <c r="E96" t="s">
        <v>30</v>
      </c>
      <c r="F96" t="s">
        <v>204</v>
      </c>
      <c r="G96" t="s">
        <v>209</v>
      </c>
      <c r="H96" t="s">
        <v>303</v>
      </c>
      <c r="I96" t="str">
        <f t="shared" si="43"/>
        <v>Sí</v>
      </c>
      <c r="J96" t="s">
        <v>213</v>
      </c>
      <c r="K96">
        <f t="shared" si="30"/>
        <v>0</v>
      </c>
      <c r="L96">
        <f t="shared" si="31"/>
        <v>1</v>
      </c>
      <c r="M96">
        <f t="shared" si="32"/>
        <v>0</v>
      </c>
      <c r="N96">
        <f t="shared" si="33"/>
        <v>0</v>
      </c>
      <c r="O96">
        <f t="shared" si="34"/>
        <v>0</v>
      </c>
      <c r="P96">
        <f t="shared" si="35"/>
        <v>0</v>
      </c>
      <c r="Q96">
        <f t="shared" si="36"/>
        <v>0</v>
      </c>
      <c r="R96">
        <f t="shared" si="37"/>
        <v>0</v>
      </c>
      <c r="S96">
        <f t="shared" si="38"/>
        <v>0</v>
      </c>
      <c r="T96">
        <f t="shared" si="39"/>
        <v>0</v>
      </c>
      <c r="U96" t="str">
        <f t="shared" si="40"/>
        <v/>
      </c>
      <c r="V96" t="str">
        <f t="shared" si="41"/>
        <v/>
      </c>
      <c r="W96" t="str">
        <f t="shared" si="42"/>
        <v>Sin función mapeada</v>
      </c>
      <c r="X96" t="s">
        <v>1071</v>
      </c>
    </row>
    <row r="97" spans="1:24" ht="15" customHeight="1" x14ac:dyDescent="0.2">
      <c r="A97" t="s">
        <v>1073</v>
      </c>
      <c r="B97" t="s">
        <v>1074</v>
      </c>
      <c r="C97" t="s">
        <v>1075</v>
      </c>
      <c r="D97" t="s">
        <v>230</v>
      </c>
      <c r="E97" t="s">
        <v>39</v>
      </c>
      <c r="F97" t="s">
        <v>268</v>
      </c>
      <c r="G97" t="s">
        <v>835</v>
      </c>
      <c r="H97" t="s">
        <v>269</v>
      </c>
      <c r="I97" t="str">
        <f t="shared" si="43"/>
        <v>Sí</v>
      </c>
      <c r="J97" t="s">
        <v>225</v>
      </c>
      <c r="K97">
        <f t="shared" si="30"/>
        <v>0</v>
      </c>
      <c r="L97">
        <f t="shared" si="31"/>
        <v>1</v>
      </c>
      <c r="M97">
        <f t="shared" si="32"/>
        <v>0</v>
      </c>
      <c r="N97">
        <f t="shared" si="33"/>
        <v>0</v>
      </c>
      <c r="O97">
        <f t="shared" si="34"/>
        <v>0</v>
      </c>
      <c r="P97">
        <f t="shared" si="35"/>
        <v>0</v>
      </c>
      <c r="Q97">
        <f t="shared" si="36"/>
        <v>0</v>
      </c>
      <c r="R97">
        <f t="shared" si="37"/>
        <v>0</v>
      </c>
      <c r="S97">
        <f t="shared" si="38"/>
        <v>0</v>
      </c>
      <c r="T97">
        <f t="shared" si="39"/>
        <v>0</v>
      </c>
      <c r="U97" t="str">
        <f t="shared" si="40"/>
        <v/>
      </c>
      <c r="V97" t="str">
        <f t="shared" si="41"/>
        <v/>
      </c>
      <c r="W97" t="str">
        <f t="shared" si="42"/>
        <v>Sin función mapeada</v>
      </c>
      <c r="X97" t="s">
        <v>1079</v>
      </c>
    </row>
    <row r="98" spans="1:24" ht="15" customHeight="1" x14ac:dyDescent="0.2">
      <c r="A98" t="s">
        <v>1084</v>
      </c>
      <c r="B98" t="s">
        <v>1085</v>
      </c>
      <c r="C98" t="s">
        <v>1086</v>
      </c>
      <c r="D98" t="s">
        <v>230</v>
      </c>
      <c r="E98" t="s">
        <v>54</v>
      </c>
      <c r="F98" t="s">
        <v>1087</v>
      </c>
      <c r="G98" t="s">
        <v>209</v>
      </c>
      <c r="H98" t="s">
        <v>218</v>
      </c>
      <c r="I98" t="str">
        <f t="shared" si="43"/>
        <v>Sí</v>
      </c>
      <c r="J98" t="s">
        <v>225</v>
      </c>
      <c r="K98">
        <f t="shared" ref="K98:K129" si="44">IF(E105="Sí",1,IF(E105="Parcial",0.5,0))+IF(F105="Sí",1,IF(F105="Parcial",0.5,0))+IF(G105="Sí",1,IF(G105="Parcial",0.5,0))+IF(H105="Sí",1,IF(H105="Parcial",0.5,0))</f>
        <v>0</v>
      </c>
      <c r="L98">
        <f t="shared" ref="L98:L129" si="45">IF(I105="Sí",1,IF(I105="Parcial",0.5,0))+IF(J105="Sí",1,IF(J105="Parcial",0.5,0))+IF(K105="Sí",1,IF(K105="Parcial",0.5,0))</f>
        <v>1</v>
      </c>
      <c r="M98">
        <f t="shared" ref="M98:M129" si="46">IF(L105="Sí",1,IF(L105="Parcial",0.5,0))+IF(M105="Sí",1,IF(M105="Parcial",0.5,0))+IF(N105="Sí",1,IF(N105="Parcial",0.5,0))+IF(O105="Sí",1,IF(O105="Parcial",0.5,0))</f>
        <v>0</v>
      </c>
      <c r="N98">
        <f t="shared" ref="N98:N129" si="47">IF(P105="Sí",1,IF(P105="Parcial",0.5,0))+IF(Q105="Sí",1,IF(Q105="Parcial",0.5,0))+IF(R105="Sí",1,IF(R105="Parcial",0.5,0))+IF(S105="Sí",1,IF(S105="Parcial",0.5,0))+IF(T105="Sí",1,IF(T105="Parcial",0.5,0))+IF(U105="Sí",1,IF(U105="Parcial",0.5,0))</f>
        <v>0</v>
      </c>
      <c r="O98">
        <f t="shared" ref="O98:O129" si="48">IF(V105="Sí",1,IF(V105="Parcial",0.5,0))+IF(W105="Sí",1,IF(W105="Parcial",0.5,0))+IF(X105="Sí",1,IF(X105="Parcial",0.5,0))+IF(Y105="Sí",1,IF(Y105="Parcial",0.5,0))</f>
        <v>0</v>
      </c>
      <c r="P98">
        <f t="shared" ref="P98:P129" si="49">IF(Z105="Sí",1,IF(Z105="Parcial",0.5,0))+IF(AA105="Sí",1,IF(AA105="Parcial",0.5,0))+IF(AB105="Sí",1,IF(AB105="Parcial",0.5,0))</f>
        <v>0</v>
      </c>
      <c r="Q98">
        <f t="shared" ref="Q98:Q129" si="50">IF(AC105="Sí",1,IF(AC105="Parcial",0.5,0))+IF(AD105="Sí",1,IF(AD105="Parcial",0.5,0))+IF(AE105="Sí",1,IF(AE105="Parcial",0.5,0))</f>
        <v>0</v>
      </c>
      <c r="R98">
        <f t="shared" ref="R98:R129" si="51">IF(AF105="Sí",1,IF(AF105="Parcial",0.5,0))+IF(AG105="Sí",1,IF(AG105="Parcial",0.5,0))+IF(AH105="Sí",1,IF(AH105="Parcial",0.5,0))</f>
        <v>0</v>
      </c>
      <c r="S98">
        <f t="shared" ref="S98:S129" si="52">IF(AI105="Sí",1,IF(AI105="Parcial",0.5,0))+IF(AJ105="Sí",1,IF(AJ105="Parcial",0.5,0))+IF(AK105="Sí",1,IF(AK105="Parcial",0.5,0))</f>
        <v>0</v>
      </c>
      <c r="T98">
        <f t="shared" ref="T98:T129" si="53">SUM(AL105,AM105,AN105,AO105,AP105,AQ105,AR105,AS105,AT105)</f>
        <v>0</v>
      </c>
      <c r="U98" t="str">
        <f t="shared" ref="U98:U129" si="54">IFERROR(IF(OR(A105="",AU105=0),"",AU105/(IF(AL105&gt;0,1,0)+IF(AM105&gt;0,1,0)+IF(AN105&gt;0,1,0)+IF(AO105&gt;0,1,0)+IF(AP105&gt;0,1,0)+IF(AQ105&gt;0,1,0)+IF(AR105&gt;0,1,0)+IF(AS105&gt;0,1,0)+IF(AT105&gt;0,1,0))),"")</f>
        <v/>
      </c>
      <c r="V98" t="str">
        <f t="shared" ref="V98:V129" si="55">IFERROR(IF(OR(A105="",AU105=""),"",IF(AND(MAX($AU$9:$AU$159)=0,MAX($AW$9:$AW$159)=0),"",0.5*(AU105/MAX($AU$9:$AU$159))+0.5*(AW105/MAX($AW$9:$AW$159)))),"")</f>
        <v/>
      </c>
      <c r="W98" t="str">
        <f t="shared" ref="W98:W129" si="56">IF(A105="","",IF((IF(AL105&gt;=1,1,0)+IF(AM105&gt;=1,1,0)+IF(AN105&gt;=1,1,0)+IF(AO105&gt;=1,1,0)+IF(AP105&gt;=1,1,0)+IF(AQ105&gt;=1,1,0)+IF(AR105&gt;=1,1,0)+IF(AS105&gt;=1,1,0)+IF(AT105&gt;=1,1,0))&gt;=5,"Diversificado (5+ verticales)",IF((IF(AL105&gt;=1,1,0)+IF(AM105&gt;=1,1,0)+IF(AN105&gt;=1,1,0)+IF(AO105&gt;=1,1,0)+IF(AP105&gt;=1,1,0)+IF(AQ105&gt;=1,1,0)+IF(AR105&gt;=1,1,0)+IF(AS105&gt;=1,1,0)+IF(AT105&gt;=1,1,0))&gt;=3,"Multi-capacidad (3-4 verticales)",IF((IF(AL105&gt;=1,1,0)+IF(AM105&gt;=1,1,0)+IF(AN105&gt;=1,1,0)+IF(AO105&gt;=1,1,0)+IF(AP105&gt;=1,1,0)+IF(AQ105&gt;=1,1,0)+IF(AR105&gt;=1,1,0)+IF(AS105&gt;=1,1,0)+IF(AT105&gt;=1,1,0))&gt;=1,"Especialista (1-2 verticales)","Sin función mapeada"))))</f>
        <v>Sin función mapeada</v>
      </c>
      <c r="X98" t="s">
        <v>1091</v>
      </c>
    </row>
    <row r="99" spans="1:24" ht="15" customHeight="1" x14ac:dyDescent="0.2">
      <c r="A99" t="s">
        <v>1093</v>
      </c>
      <c r="B99" t="s">
        <v>1094</v>
      </c>
      <c r="C99" t="s">
        <v>1095</v>
      </c>
      <c r="D99" t="s">
        <v>313</v>
      </c>
      <c r="E99" t="s">
        <v>24</v>
      </c>
      <c r="F99" t="s">
        <v>392</v>
      </c>
      <c r="G99" t="s">
        <v>394</v>
      </c>
      <c r="H99" t="s">
        <v>269</v>
      </c>
      <c r="I99" t="str">
        <f t="shared" si="43"/>
        <v>Sí</v>
      </c>
      <c r="J99" t="s">
        <v>225</v>
      </c>
      <c r="K99">
        <f t="shared" si="44"/>
        <v>0</v>
      </c>
      <c r="L99">
        <f t="shared" si="45"/>
        <v>1</v>
      </c>
      <c r="M99">
        <f t="shared" si="46"/>
        <v>0</v>
      </c>
      <c r="N99">
        <f t="shared" si="47"/>
        <v>0</v>
      </c>
      <c r="O99">
        <f t="shared" si="48"/>
        <v>0</v>
      </c>
      <c r="P99">
        <f t="shared" si="49"/>
        <v>0</v>
      </c>
      <c r="Q99">
        <f t="shared" si="50"/>
        <v>0</v>
      </c>
      <c r="R99">
        <f t="shared" si="51"/>
        <v>0</v>
      </c>
      <c r="S99">
        <f t="shared" si="52"/>
        <v>0</v>
      </c>
      <c r="T99">
        <f t="shared" si="53"/>
        <v>0</v>
      </c>
      <c r="U99" t="str">
        <f t="shared" si="54"/>
        <v/>
      </c>
      <c r="V99" t="str">
        <f t="shared" si="55"/>
        <v/>
      </c>
      <c r="W99" t="str">
        <f t="shared" si="56"/>
        <v>Sin función mapeada</v>
      </c>
      <c r="X99" t="s">
        <v>1099</v>
      </c>
    </row>
    <row r="100" spans="1:24" ht="15" customHeight="1" x14ac:dyDescent="0.2">
      <c r="A100" t="s">
        <v>1101</v>
      </c>
      <c r="B100" t="s">
        <v>1102</v>
      </c>
      <c r="C100" t="s">
        <v>1103</v>
      </c>
      <c r="D100" t="s">
        <v>313</v>
      </c>
      <c r="E100" t="s">
        <v>36</v>
      </c>
      <c r="F100" t="s">
        <v>350</v>
      </c>
      <c r="G100" t="s">
        <v>293</v>
      </c>
      <c r="H100" t="s">
        <v>269</v>
      </c>
      <c r="I100" t="str">
        <f t="shared" si="43"/>
        <v>Sí</v>
      </c>
      <c r="J100" t="s">
        <v>225</v>
      </c>
      <c r="K100">
        <f t="shared" si="44"/>
        <v>0</v>
      </c>
      <c r="L100">
        <f t="shared" si="45"/>
        <v>1</v>
      </c>
      <c r="M100">
        <f t="shared" si="46"/>
        <v>0</v>
      </c>
      <c r="N100">
        <f t="shared" si="47"/>
        <v>0</v>
      </c>
      <c r="O100">
        <f t="shared" si="48"/>
        <v>0</v>
      </c>
      <c r="P100">
        <f t="shared" si="49"/>
        <v>0</v>
      </c>
      <c r="Q100">
        <f t="shared" si="50"/>
        <v>0</v>
      </c>
      <c r="R100">
        <f t="shared" si="51"/>
        <v>0</v>
      </c>
      <c r="S100">
        <f t="shared" si="52"/>
        <v>0</v>
      </c>
      <c r="T100">
        <f t="shared" si="53"/>
        <v>0</v>
      </c>
      <c r="U100" t="str">
        <f t="shared" si="54"/>
        <v/>
      </c>
      <c r="V100" t="str">
        <f t="shared" si="55"/>
        <v/>
      </c>
      <c r="W100" t="str">
        <f t="shared" si="56"/>
        <v>Sin función mapeada</v>
      </c>
      <c r="X100" t="s">
        <v>1107</v>
      </c>
    </row>
    <row r="101" spans="1:24" ht="15" customHeight="1" x14ac:dyDescent="0.2">
      <c r="A101" t="s">
        <v>1109</v>
      </c>
      <c r="B101" t="s">
        <v>1110</v>
      </c>
      <c r="C101" t="s">
        <v>1111</v>
      </c>
      <c r="D101" t="s">
        <v>230</v>
      </c>
      <c r="E101" t="s">
        <v>27</v>
      </c>
      <c r="F101" t="s">
        <v>217</v>
      </c>
      <c r="G101" t="s">
        <v>209</v>
      </c>
      <c r="H101" t="s">
        <v>218</v>
      </c>
      <c r="I101" t="str">
        <f t="shared" ref="I101:I112" si="57">IF(G109="","",IF(OR(G109="Tier 3"),"No",IF(AND(S109&lt;&gt;"",OR(ISNUMBER(SEARCH("OFAC",S109)),ISNUMBER(SEARCH("penal",S109)),ISNUMBER(SEARCH("rojo pendiente",S109)))),"Revisar","Sí")))</f>
        <v>Sí</v>
      </c>
      <c r="J101" t="s">
        <v>225</v>
      </c>
      <c r="K101">
        <f t="shared" si="44"/>
        <v>0</v>
      </c>
      <c r="L101">
        <f t="shared" si="45"/>
        <v>1</v>
      </c>
      <c r="M101">
        <f t="shared" si="46"/>
        <v>0</v>
      </c>
      <c r="N101">
        <f t="shared" si="47"/>
        <v>0</v>
      </c>
      <c r="O101">
        <f t="shared" si="48"/>
        <v>0</v>
      </c>
      <c r="P101">
        <f t="shared" si="49"/>
        <v>0</v>
      </c>
      <c r="Q101">
        <f t="shared" si="50"/>
        <v>0</v>
      </c>
      <c r="R101">
        <f t="shared" si="51"/>
        <v>0</v>
      </c>
      <c r="S101">
        <f t="shared" si="52"/>
        <v>0</v>
      </c>
      <c r="T101">
        <f t="shared" si="53"/>
        <v>0</v>
      </c>
      <c r="U101" t="str">
        <f t="shared" si="54"/>
        <v/>
      </c>
      <c r="V101" t="str">
        <f t="shared" si="55"/>
        <v/>
      </c>
      <c r="W101" t="str">
        <f t="shared" si="56"/>
        <v>Sin función mapeada</v>
      </c>
      <c r="X101" t="s">
        <v>1114</v>
      </c>
    </row>
    <row r="102" spans="1:24" ht="15" customHeight="1" x14ac:dyDescent="0.2">
      <c r="A102" t="s">
        <v>1116</v>
      </c>
      <c r="B102" t="s">
        <v>1117</v>
      </c>
      <c r="C102" t="s">
        <v>1118</v>
      </c>
      <c r="D102" t="s">
        <v>313</v>
      </c>
      <c r="E102" t="s">
        <v>30</v>
      </c>
      <c r="F102" t="s">
        <v>204</v>
      </c>
      <c r="G102" t="s">
        <v>209</v>
      </c>
      <c r="H102" t="s">
        <v>218</v>
      </c>
      <c r="I102" t="str">
        <f t="shared" si="57"/>
        <v>Sí</v>
      </c>
      <c r="J102" t="s">
        <v>225</v>
      </c>
      <c r="K102">
        <f t="shared" si="44"/>
        <v>0</v>
      </c>
      <c r="L102">
        <f t="shared" si="45"/>
        <v>1</v>
      </c>
      <c r="M102">
        <f t="shared" si="46"/>
        <v>0</v>
      </c>
      <c r="N102">
        <f t="shared" si="47"/>
        <v>0</v>
      </c>
      <c r="O102">
        <f t="shared" si="48"/>
        <v>0</v>
      </c>
      <c r="P102">
        <f t="shared" si="49"/>
        <v>0</v>
      </c>
      <c r="Q102">
        <f t="shared" si="50"/>
        <v>0</v>
      </c>
      <c r="R102">
        <f t="shared" si="51"/>
        <v>0</v>
      </c>
      <c r="S102">
        <f t="shared" si="52"/>
        <v>0</v>
      </c>
      <c r="T102">
        <f t="shared" si="53"/>
        <v>0</v>
      </c>
      <c r="U102" t="str">
        <f t="shared" si="54"/>
        <v/>
      </c>
      <c r="V102" t="str">
        <f t="shared" si="55"/>
        <v/>
      </c>
      <c r="W102" t="str">
        <f t="shared" si="56"/>
        <v>Sin función mapeada</v>
      </c>
      <c r="X102" t="s">
        <v>1121</v>
      </c>
    </row>
    <row r="103" spans="1:24" ht="15" customHeight="1" x14ac:dyDescent="0.2">
      <c r="A103" t="s">
        <v>1123</v>
      </c>
      <c r="B103" t="s">
        <v>1124</v>
      </c>
      <c r="C103" t="s">
        <v>1125</v>
      </c>
      <c r="D103" t="s">
        <v>230</v>
      </c>
      <c r="E103" t="s">
        <v>24</v>
      </c>
      <c r="F103" t="s">
        <v>475</v>
      </c>
      <c r="G103" t="s">
        <v>406</v>
      </c>
      <c r="H103" t="s">
        <v>218</v>
      </c>
      <c r="I103" t="str">
        <f t="shared" si="57"/>
        <v>Sí</v>
      </c>
      <c r="J103" t="s">
        <v>225</v>
      </c>
      <c r="K103">
        <f t="shared" si="44"/>
        <v>0</v>
      </c>
      <c r="L103">
        <f t="shared" si="45"/>
        <v>1</v>
      </c>
      <c r="M103">
        <f t="shared" si="46"/>
        <v>0</v>
      </c>
      <c r="N103">
        <f t="shared" si="47"/>
        <v>0</v>
      </c>
      <c r="O103">
        <f t="shared" si="48"/>
        <v>0</v>
      </c>
      <c r="P103">
        <f t="shared" si="49"/>
        <v>0</v>
      </c>
      <c r="Q103">
        <f t="shared" si="50"/>
        <v>0</v>
      </c>
      <c r="R103">
        <f t="shared" si="51"/>
        <v>0</v>
      </c>
      <c r="S103">
        <f t="shared" si="52"/>
        <v>0</v>
      </c>
      <c r="T103">
        <f t="shared" si="53"/>
        <v>0</v>
      </c>
      <c r="U103" t="str">
        <f t="shared" si="54"/>
        <v/>
      </c>
      <c r="V103" t="str">
        <f t="shared" si="55"/>
        <v/>
      </c>
      <c r="W103" t="str">
        <f t="shared" si="56"/>
        <v>Sin función mapeada</v>
      </c>
      <c r="X103" t="s">
        <v>1129</v>
      </c>
    </row>
    <row r="104" spans="1:24" ht="15" customHeight="1" x14ac:dyDescent="0.2">
      <c r="A104" t="s">
        <v>1131</v>
      </c>
      <c r="B104" t="s">
        <v>1132</v>
      </c>
      <c r="C104" t="s">
        <v>1133</v>
      </c>
      <c r="D104" t="s">
        <v>230</v>
      </c>
      <c r="E104" t="s">
        <v>30</v>
      </c>
      <c r="F104" t="s">
        <v>204</v>
      </c>
      <c r="G104" t="s">
        <v>209</v>
      </c>
      <c r="H104" t="s">
        <v>218</v>
      </c>
      <c r="I104" t="str">
        <f t="shared" si="57"/>
        <v>Sí</v>
      </c>
      <c r="J104" t="s">
        <v>225</v>
      </c>
      <c r="K104">
        <f t="shared" si="44"/>
        <v>0</v>
      </c>
      <c r="L104">
        <f t="shared" si="45"/>
        <v>1</v>
      </c>
      <c r="M104">
        <f t="shared" si="46"/>
        <v>0</v>
      </c>
      <c r="N104">
        <f t="shared" si="47"/>
        <v>0</v>
      </c>
      <c r="O104">
        <f t="shared" si="48"/>
        <v>0</v>
      </c>
      <c r="P104">
        <f t="shared" si="49"/>
        <v>0</v>
      </c>
      <c r="Q104">
        <f t="shared" si="50"/>
        <v>0</v>
      </c>
      <c r="R104">
        <f t="shared" si="51"/>
        <v>0</v>
      </c>
      <c r="S104">
        <f t="shared" si="52"/>
        <v>0</v>
      </c>
      <c r="T104">
        <f t="shared" si="53"/>
        <v>0</v>
      </c>
      <c r="U104" t="str">
        <f t="shared" si="54"/>
        <v/>
      </c>
      <c r="V104" t="str">
        <f t="shared" si="55"/>
        <v/>
      </c>
      <c r="W104" t="str">
        <f t="shared" si="56"/>
        <v>Sin función mapeada</v>
      </c>
      <c r="X104" t="s">
        <v>1136</v>
      </c>
    </row>
    <row r="105" spans="1:24" ht="15" customHeight="1" x14ac:dyDescent="0.2">
      <c r="A105" t="s">
        <v>1139</v>
      </c>
      <c r="B105" t="s">
        <v>1140</v>
      </c>
      <c r="C105" t="s">
        <v>1141</v>
      </c>
      <c r="D105" t="s">
        <v>230</v>
      </c>
      <c r="E105" t="s">
        <v>36</v>
      </c>
      <c r="F105" t="s">
        <v>350</v>
      </c>
      <c r="G105" t="s">
        <v>835</v>
      </c>
      <c r="H105" t="s">
        <v>218</v>
      </c>
      <c r="I105" t="str">
        <f t="shared" si="57"/>
        <v>Sí</v>
      </c>
      <c r="J105" t="s">
        <v>225</v>
      </c>
      <c r="K105">
        <f t="shared" si="44"/>
        <v>0</v>
      </c>
      <c r="L105">
        <f t="shared" si="45"/>
        <v>1</v>
      </c>
      <c r="M105">
        <f t="shared" si="46"/>
        <v>0</v>
      </c>
      <c r="N105">
        <f t="shared" si="47"/>
        <v>0</v>
      </c>
      <c r="O105">
        <f t="shared" si="48"/>
        <v>0</v>
      </c>
      <c r="P105">
        <f t="shared" si="49"/>
        <v>0</v>
      </c>
      <c r="Q105">
        <f t="shared" si="50"/>
        <v>0</v>
      </c>
      <c r="R105">
        <f t="shared" si="51"/>
        <v>0</v>
      </c>
      <c r="S105">
        <f t="shared" si="52"/>
        <v>0</v>
      </c>
      <c r="T105">
        <f t="shared" si="53"/>
        <v>0</v>
      </c>
      <c r="U105" t="str">
        <f t="shared" si="54"/>
        <v/>
      </c>
      <c r="V105" t="str">
        <f t="shared" si="55"/>
        <v/>
      </c>
      <c r="W105" t="str">
        <f t="shared" si="56"/>
        <v>Sin función mapeada</v>
      </c>
      <c r="X105" t="s">
        <v>1145</v>
      </c>
    </row>
    <row r="106" spans="1:24" ht="15" customHeight="1" x14ac:dyDescent="0.2">
      <c r="A106" t="s">
        <v>1149</v>
      </c>
      <c r="B106" t="s">
        <v>1150</v>
      </c>
      <c r="C106" t="s">
        <v>1151</v>
      </c>
      <c r="D106" t="s">
        <v>205</v>
      </c>
      <c r="E106" t="s">
        <v>54</v>
      </c>
      <c r="F106" t="s">
        <v>541</v>
      </c>
      <c r="G106" t="s">
        <v>209</v>
      </c>
      <c r="H106" t="s">
        <v>269</v>
      </c>
      <c r="I106" t="str">
        <f t="shared" si="57"/>
        <v>Sí</v>
      </c>
      <c r="J106" t="s">
        <v>225</v>
      </c>
      <c r="K106">
        <f t="shared" si="44"/>
        <v>0</v>
      </c>
      <c r="L106">
        <f t="shared" si="45"/>
        <v>1</v>
      </c>
      <c r="M106">
        <f t="shared" si="46"/>
        <v>0</v>
      </c>
      <c r="N106">
        <f t="shared" si="47"/>
        <v>0</v>
      </c>
      <c r="O106">
        <f t="shared" si="48"/>
        <v>0</v>
      </c>
      <c r="P106">
        <f t="shared" si="49"/>
        <v>0</v>
      </c>
      <c r="Q106">
        <f t="shared" si="50"/>
        <v>0</v>
      </c>
      <c r="R106">
        <f t="shared" si="51"/>
        <v>0</v>
      </c>
      <c r="S106">
        <f t="shared" si="52"/>
        <v>0</v>
      </c>
      <c r="T106">
        <f t="shared" si="53"/>
        <v>0</v>
      </c>
      <c r="U106" t="str">
        <f t="shared" si="54"/>
        <v/>
      </c>
      <c r="V106" t="str">
        <f t="shared" si="55"/>
        <v/>
      </c>
      <c r="W106" t="str">
        <f t="shared" si="56"/>
        <v>Sin función mapeada</v>
      </c>
      <c r="X106" t="s">
        <v>1154</v>
      </c>
    </row>
    <row r="107" spans="1:24" ht="15" customHeight="1" x14ac:dyDescent="0.2">
      <c r="A107" t="s">
        <v>1159</v>
      </c>
      <c r="B107" t="s">
        <v>1160</v>
      </c>
      <c r="C107" t="s">
        <v>1161</v>
      </c>
      <c r="D107" t="s">
        <v>313</v>
      </c>
      <c r="E107" t="s">
        <v>30</v>
      </c>
      <c r="F107" t="s">
        <v>204</v>
      </c>
      <c r="G107" t="s">
        <v>209</v>
      </c>
      <c r="H107" t="s">
        <v>269</v>
      </c>
      <c r="I107" t="str">
        <f t="shared" si="57"/>
        <v>Sí</v>
      </c>
      <c r="J107" t="s">
        <v>1169</v>
      </c>
      <c r="K107">
        <f t="shared" si="44"/>
        <v>0</v>
      </c>
      <c r="L107">
        <f t="shared" si="45"/>
        <v>1</v>
      </c>
      <c r="M107">
        <f t="shared" si="46"/>
        <v>0</v>
      </c>
      <c r="N107">
        <f t="shared" si="47"/>
        <v>0</v>
      </c>
      <c r="O107">
        <f t="shared" si="48"/>
        <v>0</v>
      </c>
      <c r="P107">
        <f t="shared" si="49"/>
        <v>0</v>
      </c>
      <c r="Q107">
        <f t="shared" si="50"/>
        <v>0</v>
      </c>
      <c r="R107">
        <f t="shared" si="51"/>
        <v>0</v>
      </c>
      <c r="S107">
        <f t="shared" si="52"/>
        <v>0</v>
      </c>
      <c r="T107">
        <f t="shared" si="53"/>
        <v>0</v>
      </c>
      <c r="U107" t="str">
        <f t="shared" si="54"/>
        <v/>
      </c>
      <c r="V107" t="str">
        <f t="shared" si="55"/>
        <v/>
      </c>
      <c r="W107" t="str">
        <f t="shared" si="56"/>
        <v>Sin función mapeada</v>
      </c>
      <c r="X107" t="s">
        <v>1165</v>
      </c>
    </row>
    <row r="108" spans="1:24" ht="15" customHeight="1" x14ac:dyDescent="0.2">
      <c r="A108" t="s">
        <v>1171</v>
      </c>
      <c r="B108" t="s">
        <v>1172</v>
      </c>
      <c r="C108" t="s">
        <v>1173</v>
      </c>
      <c r="D108" t="s">
        <v>313</v>
      </c>
      <c r="E108" t="s">
        <v>42</v>
      </c>
      <c r="F108" t="s">
        <v>329</v>
      </c>
      <c r="G108" t="s">
        <v>293</v>
      </c>
      <c r="H108" t="s">
        <v>445</v>
      </c>
      <c r="I108" t="str">
        <f t="shared" si="57"/>
        <v>Sí</v>
      </c>
      <c r="J108" t="s">
        <v>213</v>
      </c>
      <c r="K108">
        <f t="shared" si="44"/>
        <v>0</v>
      </c>
      <c r="L108">
        <f t="shared" si="45"/>
        <v>1</v>
      </c>
      <c r="M108">
        <f t="shared" si="46"/>
        <v>0</v>
      </c>
      <c r="N108">
        <f t="shared" si="47"/>
        <v>0</v>
      </c>
      <c r="O108">
        <f t="shared" si="48"/>
        <v>0</v>
      </c>
      <c r="P108">
        <f t="shared" si="49"/>
        <v>0</v>
      </c>
      <c r="Q108">
        <f t="shared" si="50"/>
        <v>0</v>
      </c>
      <c r="R108">
        <f t="shared" si="51"/>
        <v>0</v>
      </c>
      <c r="S108">
        <f t="shared" si="52"/>
        <v>0</v>
      </c>
      <c r="T108">
        <f t="shared" si="53"/>
        <v>0</v>
      </c>
      <c r="U108" t="str">
        <f t="shared" si="54"/>
        <v/>
      </c>
      <c r="V108" t="str">
        <f t="shared" si="55"/>
        <v/>
      </c>
      <c r="W108" t="str">
        <f t="shared" si="56"/>
        <v>Sin función mapeada</v>
      </c>
      <c r="X108" t="s">
        <v>1177</v>
      </c>
    </row>
    <row r="109" spans="1:24" ht="15" customHeight="1" x14ac:dyDescent="0.2">
      <c r="A109" t="s">
        <v>1179</v>
      </c>
      <c r="B109" t="s">
        <v>1180</v>
      </c>
      <c r="C109" t="s">
        <v>1181</v>
      </c>
      <c r="D109" t="s">
        <v>205</v>
      </c>
      <c r="E109" t="s">
        <v>51</v>
      </c>
      <c r="F109" t="s">
        <v>516</v>
      </c>
      <c r="G109" t="s">
        <v>209</v>
      </c>
      <c r="H109" t="s">
        <v>218</v>
      </c>
      <c r="I109" t="str">
        <f t="shared" si="57"/>
        <v>Sí</v>
      </c>
      <c r="J109" t="s">
        <v>225</v>
      </c>
      <c r="K109">
        <f t="shared" si="44"/>
        <v>0</v>
      </c>
      <c r="L109">
        <f t="shared" si="45"/>
        <v>1</v>
      </c>
      <c r="M109">
        <f t="shared" si="46"/>
        <v>0</v>
      </c>
      <c r="N109">
        <f t="shared" si="47"/>
        <v>0</v>
      </c>
      <c r="O109">
        <f t="shared" si="48"/>
        <v>0</v>
      </c>
      <c r="P109">
        <f t="shared" si="49"/>
        <v>0</v>
      </c>
      <c r="Q109">
        <f t="shared" si="50"/>
        <v>0</v>
      </c>
      <c r="R109">
        <f t="shared" si="51"/>
        <v>0</v>
      </c>
      <c r="S109">
        <f t="shared" si="52"/>
        <v>0</v>
      </c>
      <c r="T109">
        <f t="shared" si="53"/>
        <v>0</v>
      </c>
      <c r="U109" t="str">
        <f t="shared" si="54"/>
        <v/>
      </c>
      <c r="V109" t="str">
        <f t="shared" si="55"/>
        <v/>
      </c>
      <c r="W109" t="str">
        <f t="shared" si="56"/>
        <v>Sin función mapeada</v>
      </c>
      <c r="X109" t="s">
        <v>1185</v>
      </c>
    </row>
    <row r="110" spans="1:24" ht="15" customHeight="1" x14ac:dyDescent="0.2">
      <c r="A110" t="s">
        <v>1188</v>
      </c>
      <c r="B110" t="s">
        <v>1189</v>
      </c>
      <c r="C110" t="s">
        <v>1190</v>
      </c>
      <c r="D110" t="s">
        <v>313</v>
      </c>
      <c r="E110" t="s">
        <v>27</v>
      </c>
      <c r="F110" t="s">
        <v>217</v>
      </c>
      <c r="G110" t="s">
        <v>406</v>
      </c>
      <c r="H110" t="s">
        <v>218</v>
      </c>
      <c r="I110" t="str">
        <f t="shared" si="57"/>
        <v>Sí</v>
      </c>
      <c r="J110" t="s">
        <v>225</v>
      </c>
      <c r="K110">
        <f t="shared" si="44"/>
        <v>0</v>
      </c>
      <c r="L110">
        <f t="shared" si="45"/>
        <v>1</v>
      </c>
      <c r="M110">
        <f t="shared" si="46"/>
        <v>0</v>
      </c>
      <c r="N110">
        <f t="shared" si="47"/>
        <v>0</v>
      </c>
      <c r="O110">
        <f t="shared" si="48"/>
        <v>0</v>
      </c>
      <c r="P110">
        <f t="shared" si="49"/>
        <v>0</v>
      </c>
      <c r="Q110">
        <f t="shared" si="50"/>
        <v>0</v>
      </c>
      <c r="R110">
        <f t="shared" si="51"/>
        <v>0</v>
      </c>
      <c r="S110">
        <f t="shared" si="52"/>
        <v>0</v>
      </c>
      <c r="T110">
        <f t="shared" si="53"/>
        <v>0</v>
      </c>
      <c r="U110" t="str">
        <f t="shared" si="54"/>
        <v/>
      </c>
      <c r="V110" t="str">
        <f t="shared" si="55"/>
        <v/>
      </c>
      <c r="W110" t="str">
        <f t="shared" si="56"/>
        <v>Sin función mapeada</v>
      </c>
      <c r="X110" t="s">
        <v>1194</v>
      </c>
    </row>
    <row r="111" spans="1:24" ht="15" customHeight="1" x14ac:dyDescent="0.2">
      <c r="A111" t="s">
        <v>1196</v>
      </c>
      <c r="B111" t="s">
        <v>1197</v>
      </c>
      <c r="C111" t="s">
        <v>1198</v>
      </c>
      <c r="D111" t="s">
        <v>230</v>
      </c>
      <c r="E111" t="s">
        <v>54</v>
      </c>
      <c r="F111" t="s">
        <v>248</v>
      </c>
      <c r="G111" t="s">
        <v>406</v>
      </c>
      <c r="H111" t="s">
        <v>983</v>
      </c>
      <c r="I111" t="str">
        <f t="shared" si="57"/>
        <v>Sí</v>
      </c>
      <c r="J111" t="s">
        <v>225</v>
      </c>
      <c r="K111">
        <f t="shared" si="44"/>
        <v>0</v>
      </c>
      <c r="L111">
        <f t="shared" si="45"/>
        <v>1</v>
      </c>
      <c r="M111">
        <f t="shared" si="46"/>
        <v>0</v>
      </c>
      <c r="N111">
        <f t="shared" si="47"/>
        <v>0</v>
      </c>
      <c r="O111">
        <f t="shared" si="48"/>
        <v>0</v>
      </c>
      <c r="P111">
        <f t="shared" si="49"/>
        <v>0</v>
      </c>
      <c r="Q111">
        <f t="shared" si="50"/>
        <v>0</v>
      </c>
      <c r="R111">
        <f t="shared" si="51"/>
        <v>0</v>
      </c>
      <c r="S111">
        <f t="shared" si="52"/>
        <v>0</v>
      </c>
      <c r="T111">
        <f t="shared" si="53"/>
        <v>0</v>
      </c>
      <c r="U111" t="str">
        <f t="shared" si="54"/>
        <v/>
      </c>
      <c r="V111" t="str">
        <f t="shared" si="55"/>
        <v/>
      </c>
      <c r="W111" t="str">
        <f t="shared" si="56"/>
        <v>Sin función mapeada</v>
      </c>
      <c r="X111" t="s">
        <v>1203</v>
      </c>
    </row>
    <row r="112" spans="1:24" ht="15" customHeight="1" x14ac:dyDescent="0.2">
      <c r="A112" t="s">
        <v>1206</v>
      </c>
      <c r="B112" t="s">
        <v>1207</v>
      </c>
      <c r="C112" t="s">
        <v>1208</v>
      </c>
      <c r="D112" t="s">
        <v>205</v>
      </c>
      <c r="E112" t="s">
        <v>36</v>
      </c>
      <c r="F112" t="s">
        <v>350</v>
      </c>
      <c r="G112" t="s">
        <v>209</v>
      </c>
      <c r="H112" t="s">
        <v>269</v>
      </c>
      <c r="I112" t="str">
        <f t="shared" si="57"/>
        <v>Sí</v>
      </c>
      <c r="J112" t="s">
        <v>225</v>
      </c>
      <c r="K112">
        <f t="shared" si="44"/>
        <v>0</v>
      </c>
      <c r="L112">
        <f t="shared" si="45"/>
        <v>1</v>
      </c>
      <c r="M112">
        <f t="shared" si="46"/>
        <v>0</v>
      </c>
      <c r="N112">
        <f t="shared" si="47"/>
        <v>0</v>
      </c>
      <c r="O112">
        <f t="shared" si="48"/>
        <v>0</v>
      </c>
      <c r="P112">
        <f t="shared" si="49"/>
        <v>0</v>
      </c>
      <c r="Q112">
        <f t="shared" si="50"/>
        <v>0</v>
      </c>
      <c r="R112">
        <f t="shared" si="51"/>
        <v>0</v>
      </c>
      <c r="S112">
        <f t="shared" si="52"/>
        <v>0</v>
      </c>
      <c r="T112">
        <f t="shared" si="53"/>
        <v>0</v>
      </c>
      <c r="U112" t="str">
        <f t="shared" si="54"/>
        <v/>
      </c>
      <c r="V112" t="str">
        <f t="shared" si="55"/>
        <v/>
      </c>
      <c r="W112" t="str">
        <f t="shared" si="56"/>
        <v>Sin función mapeada</v>
      </c>
      <c r="X112" t="s">
        <v>1212</v>
      </c>
    </row>
    <row r="113" spans="1:24" ht="15" customHeight="1" x14ac:dyDescent="0.2">
      <c r="A113" t="s">
        <v>1216</v>
      </c>
      <c r="B113" t="s">
        <v>1217</v>
      </c>
      <c r="C113" t="s">
        <v>1218</v>
      </c>
      <c r="D113" t="s">
        <v>205</v>
      </c>
      <c r="E113" t="s">
        <v>36</v>
      </c>
      <c r="F113" t="s">
        <v>1219</v>
      </c>
      <c r="G113" t="s">
        <v>209</v>
      </c>
      <c r="H113" t="s">
        <v>269</v>
      </c>
      <c r="I113" t="str">
        <f>IF(G122="","",IF(OR(G122="Tier 3"),"No",IF(AND(S122&lt;&gt;"",OR(ISNUMBER(SEARCH("OFAC",S122)),ISNUMBER(SEARCH("penal",S122)),ISNUMBER(SEARCH("rojo pendiente",S122)))),"Revisar","Sí")))</f>
        <v>Sí</v>
      </c>
      <c r="J113" t="s">
        <v>225</v>
      </c>
      <c r="K113">
        <f t="shared" si="44"/>
        <v>0</v>
      </c>
      <c r="L113">
        <f t="shared" si="45"/>
        <v>1</v>
      </c>
      <c r="M113">
        <f t="shared" si="46"/>
        <v>0</v>
      </c>
      <c r="N113">
        <f t="shared" si="47"/>
        <v>0</v>
      </c>
      <c r="O113">
        <f t="shared" si="48"/>
        <v>0</v>
      </c>
      <c r="P113">
        <f t="shared" si="49"/>
        <v>0</v>
      </c>
      <c r="Q113">
        <f t="shared" si="50"/>
        <v>0</v>
      </c>
      <c r="R113">
        <f t="shared" si="51"/>
        <v>0</v>
      </c>
      <c r="S113">
        <f t="shared" si="52"/>
        <v>0</v>
      </c>
      <c r="T113">
        <f t="shared" si="53"/>
        <v>0</v>
      </c>
      <c r="U113" t="str">
        <f t="shared" si="54"/>
        <v/>
      </c>
      <c r="V113" t="str">
        <f t="shared" si="55"/>
        <v/>
      </c>
      <c r="W113" t="str">
        <f t="shared" si="56"/>
        <v>Sin función mapeada</v>
      </c>
      <c r="X113" t="s">
        <v>1222</v>
      </c>
    </row>
    <row r="114" spans="1:24" ht="15" customHeight="1" x14ac:dyDescent="0.2">
      <c r="A114" t="s">
        <v>1226</v>
      </c>
      <c r="B114" t="s">
        <v>1227</v>
      </c>
      <c r="C114" t="s">
        <v>1228</v>
      </c>
      <c r="D114" t="s">
        <v>230</v>
      </c>
      <c r="E114" t="s">
        <v>51</v>
      </c>
      <c r="F114" t="s">
        <v>516</v>
      </c>
      <c r="G114" t="s">
        <v>209</v>
      </c>
      <c r="H114" t="s">
        <v>269</v>
      </c>
      <c r="I114" t="str">
        <f>IF(G123="","",IF(OR(G123="Tier 3"),"No",IF(AND(S123&lt;&gt;"",OR(ISNUMBER(SEARCH("OFAC",S123)),ISNUMBER(SEARCH("penal",S123)),ISNUMBER(SEARCH("rojo pendiente",S123)))),"Revisar","Sí")))</f>
        <v>Sí</v>
      </c>
      <c r="J114" t="s">
        <v>225</v>
      </c>
      <c r="K114">
        <f t="shared" si="44"/>
        <v>0</v>
      </c>
      <c r="L114">
        <f t="shared" si="45"/>
        <v>1</v>
      </c>
      <c r="M114">
        <f t="shared" si="46"/>
        <v>0</v>
      </c>
      <c r="N114">
        <f t="shared" si="47"/>
        <v>0</v>
      </c>
      <c r="O114">
        <f t="shared" si="48"/>
        <v>0</v>
      </c>
      <c r="P114">
        <f t="shared" si="49"/>
        <v>0</v>
      </c>
      <c r="Q114">
        <f t="shared" si="50"/>
        <v>0</v>
      </c>
      <c r="R114">
        <f t="shared" si="51"/>
        <v>0</v>
      </c>
      <c r="S114">
        <f t="shared" si="52"/>
        <v>0</v>
      </c>
      <c r="T114">
        <f t="shared" si="53"/>
        <v>0</v>
      </c>
      <c r="U114" t="str">
        <f t="shared" si="54"/>
        <v/>
      </c>
      <c r="V114" t="str">
        <f t="shared" si="55"/>
        <v/>
      </c>
      <c r="W114" t="str">
        <f t="shared" si="56"/>
        <v>Sin función mapeada</v>
      </c>
      <c r="X114" t="s">
        <v>1232</v>
      </c>
    </row>
    <row r="115" spans="1:24" ht="15" customHeight="1" x14ac:dyDescent="0.2">
      <c r="A115" t="s">
        <v>1235</v>
      </c>
      <c r="B115" t="s">
        <v>1236</v>
      </c>
      <c r="C115" t="s">
        <v>1237</v>
      </c>
      <c r="D115" t="s">
        <v>230</v>
      </c>
      <c r="E115" t="s">
        <v>30</v>
      </c>
      <c r="F115" t="s">
        <v>204</v>
      </c>
      <c r="G115" t="s">
        <v>209</v>
      </c>
      <c r="H115" t="s">
        <v>206</v>
      </c>
      <c r="I115" t="str">
        <f t="shared" ref="I115:I128" si="58">IF(G125="","",IF(OR(G125="Tier 3"),"No",IF(AND(S125&lt;&gt;"",OR(ISNUMBER(SEARCH("OFAC",S125)),ISNUMBER(SEARCH("penal",S125)),ISNUMBER(SEARCH("rojo pendiente",S125)))),"Revisar","Sí")))</f>
        <v>Sí</v>
      </c>
      <c r="J115" t="s">
        <v>225</v>
      </c>
      <c r="K115">
        <f t="shared" si="44"/>
        <v>0</v>
      </c>
      <c r="L115">
        <f t="shared" si="45"/>
        <v>1</v>
      </c>
      <c r="M115">
        <f t="shared" si="46"/>
        <v>0</v>
      </c>
      <c r="N115">
        <f t="shared" si="47"/>
        <v>0</v>
      </c>
      <c r="O115">
        <f t="shared" si="48"/>
        <v>0</v>
      </c>
      <c r="P115">
        <f t="shared" si="49"/>
        <v>0</v>
      </c>
      <c r="Q115">
        <f t="shared" si="50"/>
        <v>0</v>
      </c>
      <c r="R115">
        <f t="shared" si="51"/>
        <v>0</v>
      </c>
      <c r="S115">
        <f t="shared" si="52"/>
        <v>0</v>
      </c>
      <c r="T115">
        <f t="shared" si="53"/>
        <v>0</v>
      </c>
      <c r="U115" t="str">
        <f t="shared" si="54"/>
        <v/>
      </c>
      <c r="V115" t="str">
        <f t="shared" si="55"/>
        <v/>
      </c>
      <c r="W115" t="str">
        <f t="shared" si="56"/>
        <v>Sin función mapeada</v>
      </c>
      <c r="X115" t="s">
        <v>1240</v>
      </c>
    </row>
    <row r="116" spans="1:24" ht="15" customHeight="1" x14ac:dyDescent="0.2">
      <c r="A116" t="s">
        <v>1242</v>
      </c>
      <c r="B116" t="s">
        <v>1243</v>
      </c>
      <c r="C116" t="s">
        <v>1244</v>
      </c>
      <c r="D116" t="s">
        <v>230</v>
      </c>
      <c r="E116" t="s">
        <v>24</v>
      </c>
      <c r="F116" t="s">
        <v>417</v>
      </c>
      <c r="G116" t="s">
        <v>209</v>
      </c>
      <c r="H116" t="s">
        <v>269</v>
      </c>
      <c r="I116" t="str">
        <f t="shared" si="58"/>
        <v>Sí</v>
      </c>
      <c r="J116" t="s">
        <v>225</v>
      </c>
      <c r="K116">
        <f t="shared" si="44"/>
        <v>0</v>
      </c>
      <c r="L116">
        <f t="shared" si="45"/>
        <v>1</v>
      </c>
      <c r="M116">
        <f t="shared" si="46"/>
        <v>0</v>
      </c>
      <c r="N116">
        <f t="shared" si="47"/>
        <v>0</v>
      </c>
      <c r="O116">
        <f t="shared" si="48"/>
        <v>0</v>
      </c>
      <c r="P116">
        <f t="shared" si="49"/>
        <v>0</v>
      </c>
      <c r="Q116">
        <f t="shared" si="50"/>
        <v>0</v>
      </c>
      <c r="R116">
        <f t="shared" si="51"/>
        <v>0</v>
      </c>
      <c r="S116">
        <f t="shared" si="52"/>
        <v>0</v>
      </c>
      <c r="T116">
        <f t="shared" si="53"/>
        <v>0</v>
      </c>
      <c r="U116" t="str">
        <f t="shared" si="54"/>
        <v/>
      </c>
      <c r="V116" t="str">
        <f t="shared" si="55"/>
        <v/>
      </c>
      <c r="W116" t="str">
        <f t="shared" si="56"/>
        <v>Sin función mapeada</v>
      </c>
      <c r="X116" t="s">
        <v>1247</v>
      </c>
    </row>
    <row r="117" spans="1:24" ht="15" customHeight="1" x14ac:dyDescent="0.2">
      <c r="A117" t="s">
        <v>1249</v>
      </c>
      <c r="B117" t="s">
        <v>1250</v>
      </c>
      <c r="C117" t="s">
        <v>1251</v>
      </c>
      <c r="D117" t="s">
        <v>230</v>
      </c>
      <c r="E117" t="s">
        <v>36</v>
      </c>
      <c r="F117" t="s">
        <v>1252</v>
      </c>
      <c r="G117" t="s">
        <v>209</v>
      </c>
      <c r="H117" t="s">
        <v>218</v>
      </c>
      <c r="I117" t="str">
        <f t="shared" si="58"/>
        <v>Sí</v>
      </c>
      <c r="J117" t="s">
        <v>225</v>
      </c>
      <c r="K117">
        <f t="shared" si="44"/>
        <v>0</v>
      </c>
      <c r="L117">
        <f t="shared" si="45"/>
        <v>1</v>
      </c>
      <c r="M117">
        <f t="shared" si="46"/>
        <v>0</v>
      </c>
      <c r="N117">
        <f t="shared" si="47"/>
        <v>0</v>
      </c>
      <c r="O117">
        <f t="shared" si="48"/>
        <v>0</v>
      </c>
      <c r="P117">
        <f t="shared" si="49"/>
        <v>0</v>
      </c>
      <c r="Q117">
        <f t="shared" si="50"/>
        <v>0</v>
      </c>
      <c r="R117">
        <f t="shared" si="51"/>
        <v>0</v>
      </c>
      <c r="S117">
        <f t="shared" si="52"/>
        <v>0</v>
      </c>
      <c r="T117">
        <f t="shared" si="53"/>
        <v>0</v>
      </c>
      <c r="U117" t="str">
        <f t="shared" si="54"/>
        <v/>
      </c>
      <c r="V117" t="str">
        <f t="shared" si="55"/>
        <v/>
      </c>
      <c r="W117" t="str">
        <f t="shared" si="56"/>
        <v>Sin función mapeada</v>
      </c>
      <c r="X117" t="s">
        <v>1256</v>
      </c>
    </row>
    <row r="118" spans="1:24" ht="15" customHeight="1" x14ac:dyDescent="0.2">
      <c r="A118" t="s">
        <v>1259</v>
      </c>
      <c r="B118" t="s">
        <v>1260</v>
      </c>
      <c r="C118" t="s">
        <v>1261</v>
      </c>
      <c r="D118" t="s">
        <v>313</v>
      </c>
      <c r="E118" t="s">
        <v>39</v>
      </c>
      <c r="F118" t="s">
        <v>268</v>
      </c>
      <c r="G118" t="s">
        <v>406</v>
      </c>
      <c r="H118" t="s">
        <v>303</v>
      </c>
      <c r="I118" t="str">
        <f t="shared" si="58"/>
        <v>Sí</v>
      </c>
      <c r="J118" t="s">
        <v>225</v>
      </c>
      <c r="K118">
        <f t="shared" si="44"/>
        <v>0</v>
      </c>
      <c r="L118">
        <f t="shared" si="45"/>
        <v>1</v>
      </c>
      <c r="M118">
        <f t="shared" si="46"/>
        <v>0</v>
      </c>
      <c r="N118">
        <f t="shared" si="47"/>
        <v>0</v>
      </c>
      <c r="O118">
        <f t="shared" si="48"/>
        <v>0</v>
      </c>
      <c r="P118">
        <f t="shared" si="49"/>
        <v>0</v>
      </c>
      <c r="Q118">
        <f t="shared" si="50"/>
        <v>0</v>
      </c>
      <c r="R118">
        <f t="shared" si="51"/>
        <v>0</v>
      </c>
      <c r="S118">
        <f t="shared" si="52"/>
        <v>0</v>
      </c>
      <c r="T118">
        <f t="shared" si="53"/>
        <v>0</v>
      </c>
      <c r="U118" t="str">
        <f t="shared" si="54"/>
        <v/>
      </c>
      <c r="V118" t="str">
        <f t="shared" si="55"/>
        <v/>
      </c>
      <c r="W118" t="str">
        <f t="shared" si="56"/>
        <v>Sin función mapeada</v>
      </c>
      <c r="X118" t="s">
        <v>1264</v>
      </c>
    </row>
    <row r="119" spans="1:24" ht="15" customHeight="1" x14ac:dyDescent="0.2">
      <c r="A119" t="s">
        <v>1266</v>
      </c>
      <c r="B119" t="s">
        <v>1267</v>
      </c>
      <c r="C119" t="s">
        <v>1268</v>
      </c>
      <c r="D119" t="s">
        <v>313</v>
      </c>
      <c r="E119" t="s">
        <v>27</v>
      </c>
      <c r="F119" t="s">
        <v>312</v>
      </c>
      <c r="G119" t="s">
        <v>209</v>
      </c>
      <c r="H119" t="s">
        <v>269</v>
      </c>
      <c r="I119" t="str">
        <f t="shared" si="58"/>
        <v>Sí</v>
      </c>
      <c r="J119" t="s">
        <v>225</v>
      </c>
      <c r="K119">
        <f t="shared" si="44"/>
        <v>0</v>
      </c>
      <c r="L119">
        <f t="shared" si="45"/>
        <v>1</v>
      </c>
      <c r="M119">
        <f t="shared" si="46"/>
        <v>0</v>
      </c>
      <c r="N119">
        <f t="shared" si="47"/>
        <v>0</v>
      </c>
      <c r="O119">
        <f t="shared" si="48"/>
        <v>0</v>
      </c>
      <c r="P119">
        <f t="shared" si="49"/>
        <v>0</v>
      </c>
      <c r="Q119">
        <f t="shared" si="50"/>
        <v>0</v>
      </c>
      <c r="R119">
        <f t="shared" si="51"/>
        <v>0</v>
      </c>
      <c r="S119">
        <f t="shared" si="52"/>
        <v>0</v>
      </c>
      <c r="T119">
        <f t="shared" si="53"/>
        <v>0</v>
      </c>
      <c r="U119" t="str">
        <f t="shared" si="54"/>
        <v/>
      </c>
      <c r="V119" t="str">
        <f t="shared" si="55"/>
        <v/>
      </c>
      <c r="W119" t="str">
        <f t="shared" si="56"/>
        <v>Sin función mapeada</v>
      </c>
      <c r="X119" t="s">
        <v>1271</v>
      </c>
    </row>
    <row r="120" spans="1:24" ht="15" customHeight="1" x14ac:dyDescent="0.2">
      <c r="A120" t="s">
        <v>1273</v>
      </c>
      <c r="B120" t="s">
        <v>1274</v>
      </c>
      <c r="C120" t="s">
        <v>1275</v>
      </c>
      <c r="D120" t="s">
        <v>205</v>
      </c>
      <c r="E120" t="s">
        <v>51</v>
      </c>
      <c r="F120" t="s">
        <v>516</v>
      </c>
      <c r="G120" t="s">
        <v>209</v>
      </c>
      <c r="H120" t="s">
        <v>218</v>
      </c>
      <c r="I120" t="str">
        <f t="shared" si="58"/>
        <v>Sí</v>
      </c>
      <c r="J120" t="s">
        <v>225</v>
      </c>
      <c r="K120">
        <f t="shared" si="44"/>
        <v>0</v>
      </c>
      <c r="L120">
        <f t="shared" si="45"/>
        <v>1</v>
      </c>
      <c r="M120">
        <f t="shared" si="46"/>
        <v>0</v>
      </c>
      <c r="N120">
        <f t="shared" si="47"/>
        <v>0</v>
      </c>
      <c r="O120">
        <f t="shared" si="48"/>
        <v>0</v>
      </c>
      <c r="P120">
        <f t="shared" si="49"/>
        <v>0</v>
      </c>
      <c r="Q120">
        <f t="shared" si="50"/>
        <v>0</v>
      </c>
      <c r="R120">
        <f t="shared" si="51"/>
        <v>0</v>
      </c>
      <c r="S120">
        <f t="shared" si="52"/>
        <v>0</v>
      </c>
      <c r="T120">
        <f t="shared" si="53"/>
        <v>0</v>
      </c>
      <c r="U120" t="str">
        <f t="shared" si="54"/>
        <v/>
      </c>
      <c r="V120" t="str">
        <f t="shared" si="55"/>
        <v/>
      </c>
      <c r="W120" t="str">
        <f t="shared" si="56"/>
        <v>Sin función mapeada</v>
      </c>
      <c r="X120" t="s">
        <v>1279</v>
      </c>
    </row>
    <row r="121" spans="1:24" ht="15" customHeight="1" x14ac:dyDescent="0.2">
      <c r="A121" t="s">
        <v>1281</v>
      </c>
      <c r="B121" t="s">
        <v>1282</v>
      </c>
      <c r="C121" t="s">
        <v>1283</v>
      </c>
      <c r="D121" t="s">
        <v>230</v>
      </c>
      <c r="E121" t="s">
        <v>51</v>
      </c>
      <c r="F121" t="s">
        <v>516</v>
      </c>
      <c r="G121" t="s">
        <v>209</v>
      </c>
      <c r="H121" t="s">
        <v>206</v>
      </c>
      <c r="I121" t="str">
        <f t="shared" si="58"/>
        <v>Sí</v>
      </c>
      <c r="J121" t="s">
        <v>225</v>
      </c>
      <c r="K121">
        <f t="shared" si="44"/>
        <v>0</v>
      </c>
      <c r="L121">
        <f t="shared" si="45"/>
        <v>1</v>
      </c>
      <c r="M121">
        <f t="shared" si="46"/>
        <v>0</v>
      </c>
      <c r="N121">
        <f t="shared" si="47"/>
        <v>0</v>
      </c>
      <c r="O121">
        <f t="shared" si="48"/>
        <v>0</v>
      </c>
      <c r="P121">
        <f t="shared" si="49"/>
        <v>0</v>
      </c>
      <c r="Q121">
        <f t="shared" si="50"/>
        <v>0</v>
      </c>
      <c r="R121">
        <f t="shared" si="51"/>
        <v>0</v>
      </c>
      <c r="S121">
        <f t="shared" si="52"/>
        <v>0</v>
      </c>
      <c r="T121">
        <f t="shared" si="53"/>
        <v>0</v>
      </c>
      <c r="U121" t="str">
        <f t="shared" si="54"/>
        <v/>
      </c>
      <c r="V121" t="str">
        <f t="shared" si="55"/>
        <v/>
      </c>
      <c r="W121" t="str">
        <f t="shared" si="56"/>
        <v>Sin función mapeada</v>
      </c>
      <c r="X121" t="s">
        <v>1287</v>
      </c>
    </row>
    <row r="122" spans="1:24" ht="15" customHeight="1" x14ac:dyDescent="0.2">
      <c r="A122" t="s">
        <v>1289</v>
      </c>
      <c r="B122" t="s">
        <v>1290</v>
      </c>
      <c r="C122" t="s">
        <v>1291</v>
      </c>
      <c r="D122" t="s">
        <v>313</v>
      </c>
      <c r="E122" t="s">
        <v>30</v>
      </c>
      <c r="F122" t="s">
        <v>204</v>
      </c>
      <c r="G122" t="s">
        <v>209</v>
      </c>
      <c r="H122" t="s">
        <v>303</v>
      </c>
      <c r="I122" t="str">
        <f t="shared" si="58"/>
        <v>Sí</v>
      </c>
      <c r="J122" t="s">
        <v>225</v>
      </c>
      <c r="K122">
        <f t="shared" si="44"/>
        <v>0</v>
      </c>
      <c r="L122">
        <f t="shared" si="45"/>
        <v>1</v>
      </c>
      <c r="M122">
        <f t="shared" si="46"/>
        <v>0</v>
      </c>
      <c r="N122">
        <f t="shared" si="47"/>
        <v>0</v>
      </c>
      <c r="O122">
        <f t="shared" si="48"/>
        <v>0</v>
      </c>
      <c r="P122">
        <f t="shared" si="49"/>
        <v>0</v>
      </c>
      <c r="Q122">
        <f t="shared" si="50"/>
        <v>0</v>
      </c>
      <c r="R122">
        <f t="shared" si="51"/>
        <v>0</v>
      </c>
      <c r="S122">
        <f t="shared" si="52"/>
        <v>0</v>
      </c>
      <c r="T122">
        <f t="shared" si="53"/>
        <v>0</v>
      </c>
      <c r="U122" t="str">
        <f t="shared" si="54"/>
        <v/>
      </c>
      <c r="V122" t="str">
        <f t="shared" si="55"/>
        <v/>
      </c>
      <c r="W122" t="str">
        <f t="shared" si="56"/>
        <v>Sin función mapeada</v>
      </c>
      <c r="X122" t="s">
        <v>1294</v>
      </c>
    </row>
    <row r="123" spans="1:24" ht="15" customHeight="1" x14ac:dyDescent="0.2">
      <c r="A123" t="s">
        <v>1296</v>
      </c>
      <c r="B123" t="s">
        <v>1297</v>
      </c>
      <c r="C123" t="s">
        <v>1298</v>
      </c>
      <c r="D123" t="s">
        <v>205</v>
      </c>
      <c r="E123" t="s">
        <v>51</v>
      </c>
      <c r="F123" t="s">
        <v>516</v>
      </c>
      <c r="G123" t="s">
        <v>209</v>
      </c>
      <c r="H123" t="s">
        <v>269</v>
      </c>
      <c r="I123" t="str">
        <f t="shared" si="58"/>
        <v>Sí</v>
      </c>
      <c r="J123" t="s">
        <v>225</v>
      </c>
      <c r="K123">
        <f t="shared" si="44"/>
        <v>0</v>
      </c>
      <c r="L123">
        <f t="shared" si="45"/>
        <v>1</v>
      </c>
      <c r="M123">
        <f t="shared" si="46"/>
        <v>0</v>
      </c>
      <c r="N123">
        <f t="shared" si="47"/>
        <v>0</v>
      </c>
      <c r="O123">
        <f t="shared" si="48"/>
        <v>0</v>
      </c>
      <c r="P123">
        <f t="shared" si="49"/>
        <v>0</v>
      </c>
      <c r="Q123">
        <f t="shared" si="50"/>
        <v>0</v>
      </c>
      <c r="R123">
        <f t="shared" si="51"/>
        <v>0</v>
      </c>
      <c r="S123">
        <f t="shared" si="52"/>
        <v>0</v>
      </c>
      <c r="T123">
        <f t="shared" si="53"/>
        <v>0</v>
      </c>
      <c r="U123" t="str">
        <f t="shared" si="54"/>
        <v/>
      </c>
      <c r="V123" t="str">
        <f t="shared" si="55"/>
        <v/>
      </c>
      <c r="W123" t="str">
        <f t="shared" si="56"/>
        <v>Sin función mapeada</v>
      </c>
      <c r="X123" t="s">
        <v>1301</v>
      </c>
    </row>
    <row r="124" spans="1:24" ht="15" customHeight="1" x14ac:dyDescent="0.2">
      <c r="A124" t="s">
        <v>1303</v>
      </c>
      <c r="B124" t="s">
        <v>1304</v>
      </c>
      <c r="C124" t="s">
        <v>1305</v>
      </c>
      <c r="D124" t="s">
        <v>205</v>
      </c>
      <c r="E124" t="s">
        <v>24</v>
      </c>
      <c r="F124" t="s">
        <v>1307</v>
      </c>
      <c r="G124" t="s">
        <v>209</v>
      </c>
      <c r="H124" t="s">
        <v>269</v>
      </c>
      <c r="I124" t="str">
        <f t="shared" si="58"/>
        <v>Sí</v>
      </c>
      <c r="J124" t="s">
        <v>225</v>
      </c>
      <c r="K124">
        <f t="shared" si="44"/>
        <v>0</v>
      </c>
      <c r="L124">
        <f t="shared" si="45"/>
        <v>1</v>
      </c>
      <c r="M124">
        <f t="shared" si="46"/>
        <v>0</v>
      </c>
      <c r="N124">
        <f t="shared" si="47"/>
        <v>0</v>
      </c>
      <c r="O124">
        <f t="shared" si="48"/>
        <v>0</v>
      </c>
      <c r="P124">
        <f t="shared" si="49"/>
        <v>0</v>
      </c>
      <c r="Q124">
        <f t="shared" si="50"/>
        <v>0</v>
      </c>
      <c r="R124">
        <f t="shared" si="51"/>
        <v>0</v>
      </c>
      <c r="S124">
        <f t="shared" si="52"/>
        <v>0</v>
      </c>
      <c r="T124">
        <f t="shared" si="53"/>
        <v>0</v>
      </c>
      <c r="U124" t="str">
        <f t="shared" si="54"/>
        <v/>
      </c>
      <c r="V124" t="str">
        <f t="shared" si="55"/>
        <v/>
      </c>
      <c r="W124" t="str">
        <f t="shared" si="56"/>
        <v>Sin función mapeada</v>
      </c>
      <c r="X124" t="s">
        <v>1310</v>
      </c>
    </row>
    <row r="125" spans="1:24" ht="15" customHeight="1" x14ac:dyDescent="0.2">
      <c r="A125" t="s">
        <v>1312</v>
      </c>
      <c r="B125" t="s">
        <v>1313</v>
      </c>
      <c r="C125" t="s">
        <v>1314</v>
      </c>
      <c r="D125" t="s">
        <v>230</v>
      </c>
      <c r="E125" t="s">
        <v>24</v>
      </c>
      <c r="F125" t="s">
        <v>1307</v>
      </c>
      <c r="G125" t="s">
        <v>209</v>
      </c>
      <c r="H125" t="s">
        <v>269</v>
      </c>
      <c r="I125" t="str">
        <f t="shared" si="58"/>
        <v>Sí</v>
      </c>
      <c r="J125" t="s">
        <v>225</v>
      </c>
      <c r="K125">
        <f t="shared" si="44"/>
        <v>0</v>
      </c>
      <c r="L125">
        <f t="shared" si="45"/>
        <v>1</v>
      </c>
      <c r="M125">
        <f t="shared" si="46"/>
        <v>0</v>
      </c>
      <c r="N125">
        <f t="shared" si="47"/>
        <v>0</v>
      </c>
      <c r="O125">
        <f t="shared" si="48"/>
        <v>0</v>
      </c>
      <c r="P125">
        <f t="shared" si="49"/>
        <v>0</v>
      </c>
      <c r="Q125">
        <f t="shared" si="50"/>
        <v>0</v>
      </c>
      <c r="R125">
        <f t="shared" si="51"/>
        <v>0</v>
      </c>
      <c r="S125">
        <f t="shared" si="52"/>
        <v>0</v>
      </c>
      <c r="T125">
        <f t="shared" si="53"/>
        <v>0</v>
      </c>
      <c r="U125" t="str">
        <f t="shared" si="54"/>
        <v/>
      </c>
      <c r="V125" t="str">
        <f t="shared" si="55"/>
        <v/>
      </c>
      <c r="W125" t="str">
        <f t="shared" si="56"/>
        <v>Sin función mapeada</v>
      </c>
      <c r="X125" t="s">
        <v>1318</v>
      </c>
    </row>
    <row r="126" spans="1:24" ht="15" customHeight="1" x14ac:dyDescent="0.2">
      <c r="A126" t="s">
        <v>1319</v>
      </c>
      <c r="B126" t="s">
        <v>1320</v>
      </c>
      <c r="C126" t="s">
        <v>1321</v>
      </c>
      <c r="D126" t="s">
        <v>313</v>
      </c>
      <c r="E126" t="s">
        <v>54</v>
      </c>
      <c r="F126" t="s">
        <v>248</v>
      </c>
      <c r="G126" t="s">
        <v>293</v>
      </c>
      <c r="H126" t="s">
        <v>218</v>
      </c>
      <c r="I126" t="str">
        <f t="shared" si="58"/>
        <v>Sí</v>
      </c>
      <c r="J126" t="s">
        <v>225</v>
      </c>
      <c r="K126">
        <f t="shared" si="44"/>
        <v>0</v>
      </c>
      <c r="L126">
        <f t="shared" si="45"/>
        <v>1</v>
      </c>
      <c r="M126">
        <f t="shared" si="46"/>
        <v>0</v>
      </c>
      <c r="N126">
        <f t="shared" si="47"/>
        <v>0</v>
      </c>
      <c r="O126">
        <f t="shared" si="48"/>
        <v>0</v>
      </c>
      <c r="P126">
        <f t="shared" si="49"/>
        <v>0</v>
      </c>
      <c r="Q126">
        <f t="shared" si="50"/>
        <v>0</v>
      </c>
      <c r="R126">
        <f t="shared" si="51"/>
        <v>0</v>
      </c>
      <c r="S126">
        <f t="shared" si="52"/>
        <v>0</v>
      </c>
      <c r="T126">
        <f t="shared" si="53"/>
        <v>0</v>
      </c>
      <c r="U126" t="str">
        <f t="shared" si="54"/>
        <v/>
      </c>
      <c r="V126" t="str">
        <f t="shared" si="55"/>
        <v/>
      </c>
      <c r="W126" t="str">
        <f t="shared" si="56"/>
        <v>Sin función mapeada</v>
      </c>
      <c r="X126" t="s">
        <v>1324</v>
      </c>
    </row>
    <row r="127" spans="1:24" ht="15" customHeight="1" x14ac:dyDescent="0.2">
      <c r="A127" t="s">
        <v>1326</v>
      </c>
      <c r="B127" t="s">
        <v>1327</v>
      </c>
      <c r="C127" t="s">
        <v>1328</v>
      </c>
      <c r="D127" t="s">
        <v>313</v>
      </c>
      <c r="E127" t="s">
        <v>30</v>
      </c>
      <c r="F127" t="s">
        <v>204</v>
      </c>
      <c r="G127" t="s">
        <v>209</v>
      </c>
      <c r="H127" t="s">
        <v>218</v>
      </c>
      <c r="I127" t="str">
        <f t="shared" si="58"/>
        <v>Sí</v>
      </c>
      <c r="J127" t="s">
        <v>225</v>
      </c>
      <c r="K127">
        <f t="shared" si="44"/>
        <v>0</v>
      </c>
      <c r="L127">
        <f t="shared" si="45"/>
        <v>1</v>
      </c>
      <c r="M127">
        <f t="shared" si="46"/>
        <v>0</v>
      </c>
      <c r="N127">
        <f t="shared" si="47"/>
        <v>0</v>
      </c>
      <c r="O127">
        <f t="shared" si="48"/>
        <v>0</v>
      </c>
      <c r="P127">
        <f t="shared" si="49"/>
        <v>0</v>
      </c>
      <c r="Q127">
        <f t="shared" si="50"/>
        <v>0</v>
      </c>
      <c r="R127">
        <f t="shared" si="51"/>
        <v>0</v>
      </c>
      <c r="S127">
        <f t="shared" si="52"/>
        <v>0</v>
      </c>
      <c r="T127">
        <f t="shared" si="53"/>
        <v>0</v>
      </c>
      <c r="U127" t="str">
        <f t="shared" si="54"/>
        <v/>
      </c>
      <c r="V127" t="str">
        <f t="shared" si="55"/>
        <v/>
      </c>
      <c r="W127" t="str">
        <f t="shared" si="56"/>
        <v>Sin función mapeada</v>
      </c>
      <c r="X127" t="s">
        <v>1331</v>
      </c>
    </row>
    <row r="128" spans="1:24" ht="15" customHeight="1" x14ac:dyDescent="0.2">
      <c r="A128" t="s">
        <v>1333</v>
      </c>
      <c r="B128" t="s">
        <v>1334</v>
      </c>
      <c r="C128" t="s">
        <v>1335</v>
      </c>
      <c r="D128" t="s">
        <v>313</v>
      </c>
      <c r="E128" t="s">
        <v>27</v>
      </c>
      <c r="F128" t="s">
        <v>552</v>
      </c>
      <c r="G128" t="s">
        <v>586</v>
      </c>
      <c r="H128" t="s">
        <v>282</v>
      </c>
      <c r="I128" t="str">
        <f t="shared" si="58"/>
        <v>Sí</v>
      </c>
      <c r="J128" t="s">
        <v>225</v>
      </c>
      <c r="K128">
        <f t="shared" si="44"/>
        <v>0</v>
      </c>
      <c r="L128">
        <f t="shared" si="45"/>
        <v>1</v>
      </c>
      <c r="M128">
        <f t="shared" si="46"/>
        <v>0</v>
      </c>
      <c r="N128">
        <f t="shared" si="47"/>
        <v>0</v>
      </c>
      <c r="O128">
        <f t="shared" si="48"/>
        <v>0</v>
      </c>
      <c r="P128">
        <f t="shared" si="49"/>
        <v>0</v>
      </c>
      <c r="Q128">
        <f t="shared" si="50"/>
        <v>0</v>
      </c>
      <c r="R128">
        <f t="shared" si="51"/>
        <v>0</v>
      </c>
      <c r="S128">
        <f t="shared" si="52"/>
        <v>0</v>
      </c>
      <c r="T128">
        <f t="shared" si="53"/>
        <v>0</v>
      </c>
      <c r="U128" t="str">
        <f t="shared" si="54"/>
        <v/>
      </c>
      <c r="V128" t="str">
        <f t="shared" si="55"/>
        <v/>
      </c>
      <c r="W128" t="str">
        <f t="shared" si="56"/>
        <v>Sin función mapeada</v>
      </c>
      <c r="X128" t="s">
        <v>1338</v>
      </c>
    </row>
    <row r="129" spans="1:24" ht="15" customHeight="1" x14ac:dyDescent="0.2">
      <c r="A129" t="s">
        <v>1340</v>
      </c>
      <c r="B129" t="s">
        <v>1341</v>
      </c>
      <c r="C129" t="s">
        <v>1342</v>
      </c>
      <c r="D129" t="s">
        <v>230</v>
      </c>
      <c r="E129" t="s">
        <v>30</v>
      </c>
      <c r="F129" t="s">
        <v>204</v>
      </c>
      <c r="G129" t="s">
        <v>271</v>
      </c>
      <c r="H129" t="s">
        <v>1343</v>
      </c>
      <c r="I129" t="str">
        <f t="shared" ref="I129:I149" si="59">IF(G140="","",IF(OR(G140="Tier 3"),"No",IF(AND(S140&lt;&gt;"",OR(ISNUMBER(SEARCH("OFAC",S140)),ISNUMBER(SEARCH("penal",S140)),ISNUMBER(SEARCH("rojo pendiente",S140)))),"Revisar","Sí")))</f>
        <v>Sí</v>
      </c>
      <c r="J129" t="s">
        <v>225</v>
      </c>
      <c r="K129">
        <f t="shared" si="44"/>
        <v>0</v>
      </c>
      <c r="L129">
        <f t="shared" si="45"/>
        <v>1</v>
      </c>
      <c r="M129">
        <f t="shared" si="46"/>
        <v>0</v>
      </c>
      <c r="N129">
        <f t="shared" si="47"/>
        <v>0</v>
      </c>
      <c r="O129">
        <f t="shared" si="48"/>
        <v>0</v>
      </c>
      <c r="P129">
        <f t="shared" si="49"/>
        <v>0</v>
      </c>
      <c r="Q129">
        <f t="shared" si="50"/>
        <v>0</v>
      </c>
      <c r="R129">
        <f t="shared" si="51"/>
        <v>0</v>
      </c>
      <c r="S129">
        <f t="shared" si="52"/>
        <v>0</v>
      </c>
      <c r="T129">
        <f t="shared" si="53"/>
        <v>0</v>
      </c>
      <c r="U129" t="str">
        <f t="shared" si="54"/>
        <v/>
      </c>
      <c r="V129" t="str">
        <f t="shared" si="55"/>
        <v/>
      </c>
      <c r="W129" t="str">
        <f t="shared" si="56"/>
        <v>Sin función mapeada</v>
      </c>
      <c r="X129" t="s">
        <v>1347</v>
      </c>
    </row>
    <row r="130" spans="1:24" ht="15" customHeight="1" x14ac:dyDescent="0.2">
      <c r="A130" t="s">
        <v>1349</v>
      </c>
      <c r="B130" t="s">
        <v>1350</v>
      </c>
      <c r="C130" t="s">
        <v>1351</v>
      </c>
      <c r="D130" t="s">
        <v>230</v>
      </c>
      <c r="E130" t="s">
        <v>36</v>
      </c>
      <c r="F130" t="s">
        <v>1252</v>
      </c>
      <c r="G130" t="s">
        <v>209</v>
      </c>
      <c r="H130" t="s">
        <v>269</v>
      </c>
      <c r="I130" t="str">
        <f t="shared" si="59"/>
        <v>Sí</v>
      </c>
      <c r="J130" t="s">
        <v>225</v>
      </c>
      <c r="K130">
        <f t="shared" ref="K130:K152" si="60">IF(E137="Sí",1,IF(E137="Parcial",0.5,0))+IF(F137="Sí",1,IF(F137="Parcial",0.5,0))+IF(G137="Sí",1,IF(G137="Parcial",0.5,0))+IF(H137="Sí",1,IF(H137="Parcial",0.5,0))</f>
        <v>0</v>
      </c>
      <c r="L130">
        <f t="shared" ref="L130:L152" si="61">IF(I137="Sí",1,IF(I137="Parcial",0.5,0))+IF(J137="Sí",1,IF(J137="Parcial",0.5,0))+IF(K137="Sí",1,IF(K137="Parcial",0.5,0))</f>
        <v>1</v>
      </c>
      <c r="M130">
        <f t="shared" ref="M130:M152" si="62">IF(L137="Sí",1,IF(L137="Parcial",0.5,0))+IF(M137="Sí",1,IF(M137="Parcial",0.5,0))+IF(N137="Sí",1,IF(N137="Parcial",0.5,0))+IF(O137="Sí",1,IF(O137="Parcial",0.5,0))</f>
        <v>0</v>
      </c>
      <c r="N130">
        <f t="shared" ref="N130:N152" si="63">IF(P137="Sí",1,IF(P137="Parcial",0.5,0))+IF(Q137="Sí",1,IF(Q137="Parcial",0.5,0))+IF(R137="Sí",1,IF(R137="Parcial",0.5,0))+IF(S137="Sí",1,IF(S137="Parcial",0.5,0))+IF(T137="Sí",1,IF(T137="Parcial",0.5,0))+IF(U137="Sí",1,IF(U137="Parcial",0.5,0))</f>
        <v>0</v>
      </c>
      <c r="O130">
        <f t="shared" ref="O130:O152" si="64">IF(V137="Sí",1,IF(V137="Parcial",0.5,0))+IF(W137="Sí",1,IF(W137="Parcial",0.5,0))+IF(X137="Sí",1,IF(X137="Parcial",0.5,0))+IF(Y137="Sí",1,IF(Y137="Parcial",0.5,0))</f>
        <v>0</v>
      </c>
      <c r="P130">
        <f t="shared" ref="P130:P152" si="65">IF(Z137="Sí",1,IF(Z137="Parcial",0.5,0))+IF(AA137="Sí",1,IF(AA137="Parcial",0.5,0))+IF(AB137="Sí",1,IF(AB137="Parcial",0.5,0))</f>
        <v>0</v>
      </c>
      <c r="Q130">
        <f t="shared" ref="Q130:Q152" si="66">IF(AC137="Sí",1,IF(AC137="Parcial",0.5,0))+IF(AD137="Sí",1,IF(AD137="Parcial",0.5,0))+IF(AE137="Sí",1,IF(AE137="Parcial",0.5,0))</f>
        <v>0</v>
      </c>
      <c r="R130">
        <f t="shared" ref="R130:R152" si="67">IF(AF137="Sí",1,IF(AF137="Parcial",0.5,0))+IF(AG137="Sí",1,IF(AG137="Parcial",0.5,0))+IF(AH137="Sí",1,IF(AH137="Parcial",0.5,0))</f>
        <v>0</v>
      </c>
      <c r="S130">
        <f t="shared" ref="S130:S152" si="68">IF(AI137="Sí",1,IF(AI137="Parcial",0.5,0))+IF(AJ137="Sí",1,IF(AJ137="Parcial",0.5,0))+IF(AK137="Sí",1,IF(AK137="Parcial",0.5,0))</f>
        <v>0</v>
      </c>
      <c r="T130">
        <f t="shared" ref="T130:T152" si="69">SUM(AL137,AM137,AN137,AO137,AP137,AQ137,AR137,AS137,AT137)</f>
        <v>0</v>
      </c>
      <c r="U130" t="str">
        <f t="shared" ref="U130:U152" si="70">IFERROR(IF(OR(A137="",AU137=0),"",AU137/(IF(AL137&gt;0,1,0)+IF(AM137&gt;0,1,0)+IF(AN137&gt;0,1,0)+IF(AO137&gt;0,1,0)+IF(AP137&gt;0,1,0)+IF(AQ137&gt;0,1,0)+IF(AR137&gt;0,1,0)+IF(AS137&gt;0,1,0)+IF(AT137&gt;0,1,0))),"")</f>
        <v/>
      </c>
      <c r="V130" t="str">
        <f t="shared" ref="V130:V152" si="71">IFERROR(IF(OR(A137="",AU137=""),"",IF(AND(MAX($AU$9:$AU$159)=0,MAX($AW$9:$AW$159)=0),"",0.5*(AU137/MAX($AU$9:$AU$159))+0.5*(AW137/MAX($AW$9:$AW$159)))),"")</f>
        <v/>
      </c>
      <c r="W130" t="str">
        <f t="shared" ref="W130:W152" si="72">IF(A137="","",IF((IF(AL137&gt;=1,1,0)+IF(AM137&gt;=1,1,0)+IF(AN137&gt;=1,1,0)+IF(AO137&gt;=1,1,0)+IF(AP137&gt;=1,1,0)+IF(AQ137&gt;=1,1,0)+IF(AR137&gt;=1,1,0)+IF(AS137&gt;=1,1,0)+IF(AT137&gt;=1,1,0))&gt;=5,"Diversificado (5+ verticales)",IF((IF(AL137&gt;=1,1,0)+IF(AM137&gt;=1,1,0)+IF(AN137&gt;=1,1,0)+IF(AO137&gt;=1,1,0)+IF(AP137&gt;=1,1,0)+IF(AQ137&gt;=1,1,0)+IF(AR137&gt;=1,1,0)+IF(AS137&gt;=1,1,0)+IF(AT137&gt;=1,1,0))&gt;=3,"Multi-capacidad (3-4 verticales)",IF((IF(AL137&gt;=1,1,0)+IF(AM137&gt;=1,1,0)+IF(AN137&gt;=1,1,0)+IF(AO137&gt;=1,1,0)+IF(AP137&gt;=1,1,0)+IF(AQ137&gt;=1,1,0)+IF(AR137&gt;=1,1,0)+IF(AS137&gt;=1,1,0)+IF(AT137&gt;=1,1,0))&gt;=1,"Especialista (1-2 verticales)","Sin función mapeada"))))</f>
        <v>Sin función mapeada</v>
      </c>
      <c r="X130" t="s">
        <v>1355</v>
      </c>
    </row>
    <row r="131" spans="1:24" ht="15" customHeight="1" x14ac:dyDescent="0.2">
      <c r="A131" t="s">
        <v>1357</v>
      </c>
      <c r="B131" t="s">
        <v>1358</v>
      </c>
      <c r="C131" t="s">
        <v>1359</v>
      </c>
      <c r="D131" t="s">
        <v>313</v>
      </c>
      <c r="E131" t="s">
        <v>36</v>
      </c>
      <c r="F131" t="s">
        <v>1252</v>
      </c>
      <c r="G131" t="s">
        <v>209</v>
      </c>
      <c r="H131" t="s">
        <v>206</v>
      </c>
      <c r="I131" t="str">
        <f t="shared" si="59"/>
        <v>Sí</v>
      </c>
      <c r="J131" t="s">
        <v>213</v>
      </c>
      <c r="K131">
        <f t="shared" si="60"/>
        <v>0</v>
      </c>
      <c r="L131">
        <f t="shared" si="61"/>
        <v>0</v>
      </c>
      <c r="M131">
        <f t="shared" si="62"/>
        <v>0</v>
      </c>
      <c r="N131">
        <f t="shared" si="63"/>
        <v>0</v>
      </c>
      <c r="O131">
        <f t="shared" si="64"/>
        <v>0</v>
      </c>
      <c r="P131">
        <f t="shared" si="65"/>
        <v>0</v>
      </c>
      <c r="Q131">
        <f t="shared" si="66"/>
        <v>0</v>
      </c>
      <c r="R131">
        <f t="shared" si="67"/>
        <v>0</v>
      </c>
      <c r="S131">
        <f t="shared" si="68"/>
        <v>0</v>
      </c>
      <c r="T131">
        <f t="shared" si="69"/>
        <v>0</v>
      </c>
      <c r="U131" t="str">
        <f t="shared" si="70"/>
        <v/>
      </c>
      <c r="V131" t="str">
        <f t="shared" si="71"/>
        <v/>
      </c>
      <c r="W131" t="str">
        <f t="shared" si="72"/>
        <v>Sin función mapeada</v>
      </c>
      <c r="X131" t="s">
        <v>1363</v>
      </c>
    </row>
    <row r="132" spans="1:24" ht="15" customHeight="1" x14ac:dyDescent="0.2">
      <c r="A132" t="s">
        <v>1365</v>
      </c>
      <c r="B132" t="s">
        <v>1366</v>
      </c>
      <c r="C132" t="s">
        <v>1367</v>
      </c>
      <c r="D132" t="s">
        <v>230</v>
      </c>
      <c r="E132" t="s">
        <v>36</v>
      </c>
      <c r="F132" t="s">
        <v>1219</v>
      </c>
      <c r="G132" t="s">
        <v>293</v>
      </c>
      <c r="H132" t="s">
        <v>269</v>
      </c>
      <c r="I132" t="str">
        <f t="shared" si="59"/>
        <v>Sí</v>
      </c>
      <c r="J132" t="s">
        <v>213</v>
      </c>
      <c r="K132">
        <f t="shared" si="60"/>
        <v>0</v>
      </c>
      <c r="L132">
        <f t="shared" si="61"/>
        <v>1</v>
      </c>
      <c r="M132">
        <f t="shared" si="62"/>
        <v>0</v>
      </c>
      <c r="N132">
        <f t="shared" si="63"/>
        <v>0</v>
      </c>
      <c r="O132">
        <f t="shared" si="64"/>
        <v>0</v>
      </c>
      <c r="P132">
        <f t="shared" si="65"/>
        <v>0</v>
      </c>
      <c r="Q132">
        <f t="shared" si="66"/>
        <v>0</v>
      </c>
      <c r="R132">
        <f t="shared" si="67"/>
        <v>0</v>
      </c>
      <c r="S132">
        <f t="shared" si="68"/>
        <v>0</v>
      </c>
      <c r="T132">
        <f t="shared" si="69"/>
        <v>0</v>
      </c>
      <c r="U132" t="str">
        <f t="shared" si="70"/>
        <v/>
      </c>
      <c r="V132" t="str">
        <f t="shared" si="71"/>
        <v/>
      </c>
      <c r="W132" t="str">
        <f t="shared" si="72"/>
        <v>Sin función mapeada</v>
      </c>
      <c r="X132" t="s">
        <v>1370</v>
      </c>
    </row>
    <row r="133" spans="1:24" ht="15" customHeight="1" x14ac:dyDescent="0.2">
      <c r="A133" t="s">
        <v>1372</v>
      </c>
      <c r="B133" t="s">
        <v>1373</v>
      </c>
      <c r="C133" t="s">
        <v>1374</v>
      </c>
      <c r="D133" t="s">
        <v>230</v>
      </c>
      <c r="E133" t="s">
        <v>42</v>
      </c>
      <c r="F133" t="s">
        <v>1375</v>
      </c>
      <c r="G133" t="s">
        <v>209</v>
      </c>
      <c r="H133" t="s">
        <v>218</v>
      </c>
      <c r="I133" t="str">
        <f t="shared" si="59"/>
        <v>Sí</v>
      </c>
      <c r="J133" t="s">
        <v>225</v>
      </c>
      <c r="K133">
        <f t="shared" si="60"/>
        <v>0</v>
      </c>
      <c r="L133">
        <f t="shared" si="61"/>
        <v>1</v>
      </c>
      <c r="M133">
        <f t="shared" si="62"/>
        <v>0</v>
      </c>
      <c r="N133">
        <f t="shared" si="63"/>
        <v>0</v>
      </c>
      <c r="O133">
        <f t="shared" si="64"/>
        <v>0</v>
      </c>
      <c r="P133">
        <f t="shared" si="65"/>
        <v>0</v>
      </c>
      <c r="Q133">
        <f t="shared" si="66"/>
        <v>0</v>
      </c>
      <c r="R133">
        <f t="shared" si="67"/>
        <v>0</v>
      </c>
      <c r="S133">
        <f t="shared" si="68"/>
        <v>0</v>
      </c>
      <c r="T133">
        <f t="shared" si="69"/>
        <v>0</v>
      </c>
      <c r="U133" t="str">
        <f t="shared" si="70"/>
        <v/>
      </c>
      <c r="V133" t="str">
        <f t="shared" si="71"/>
        <v/>
      </c>
      <c r="W133" t="str">
        <f t="shared" si="72"/>
        <v>Sin función mapeada</v>
      </c>
      <c r="X133" t="s">
        <v>1378</v>
      </c>
    </row>
    <row r="134" spans="1:24" ht="15" customHeight="1" x14ac:dyDescent="0.2">
      <c r="A134" t="s">
        <v>1381</v>
      </c>
      <c r="B134" t="s">
        <v>1382</v>
      </c>
      <c r="C134" t="s">
        <v>1383</v>
      </c>
      <c r="D134" t="s">
        <v>230</v>
      </c>
      <c r="E134" t="s">
        <v>24</v>
      </c>
      <c r="F134" t="s">
        <v>392</v>
      </c>
      <c r="G134" t="s">
        <v>394</v>
      </c>
      <c r="H134" t="s">
        <v>269</v>
      </c>
      <c r="I134" t="str">
        <f t="shared" si="59"/>
        <v>Sí</v>
      </c>
      <c r="J134" t="s">
        <v>225</v>
      </c>
      <c r="K134">
        <f t="shared" si="60"/>
        <v>0</v>
      </c>
      <c r="L134">
        <f t="shared" si="61"/>
        <v>1</v>
      </c>
      <c r="M134">
        <f t="shared" si="62"/>
        <v>0</v>
      </c>
      <c r="N134">
        <f t="shared" si="63"/>
        <v>0</v>
      </c>
      <c r="O134">
        <f t="shared" si="64"/>
        <v>0</v>
      </c>
      <c r="P134">
        <f t="shared" si="65"/>
        <v>0</v>
      </c>
      <c r="Q134">
        <f t="shared" si="66"/>
        <v>0</v>
      </c>
      <c r="R134">
        <f t="shared" si="67"/>
        <v>0</v>
      </c>
      <c r="S134">
        <f t="shared" si="68"/>
        <v>0</v>
      </c>
      <c r="T134">
        <f t="shared" si="69"/>
        <v>0</v>
      </c>
      <c r="U134" t="str">
        <f t="shared" si="70"/>
        <v/>
      </c>
      <c r="V134" t="str">
        <f t="shared" si="71"/>
        <v/>
      </c>
      <c r="W134" t="str">
        <f t="shared" si="72"/>
        <v>Sin función mapeada</v>
      </c>
      <c r="X134" t="s">
        <v>1387</v>
      </c>
    </row>
    <row r="135" spans="1:24" ht="15" customHeight="1" x14ac:dyDescent="0.2">
      <c r="A135" t="s">
        <v>1391</v>
      </c>
      <c r="B135" t="s">
        <v>1392</v>
      </c>
      <c r="C135" t="s">
        <v>1393</v>
      </c>
      <c r="D135" t="s">
        <v>205</v>
      </c>
      <c r="E135" t="s">
        <v>36</v>
      </c>
      <c r="F135" t="s">
        <v>1252</v>
      </c>
      <c r="G135" t="s">
        <v>209</v>
      </c>
      <c r="H135" t="s">
        <v>218</v>
      </c>
      <c r="I135" t="str">
        <f t="shared" si="59"/>
        <v>Sí</v>
      </c>
      <c r="J135" t="s">
        <v>225</v>
      </c>
      <c r="K135">
        <f t="shared" si="60"/>
        <v>0</v>
      </c>
      <c r="L135">
        <f t="shared" si="61"/>
        <v>0</v>
      </c>
      <c r="M135">
        <f t="shared" si="62"/>
        <v>0</v>
      </c>
      <c r="N135">
        <f t="shared" si="63"/>
        <v>0</v>
      </c>
      <c r="O135">
        <f t="shared" si="64"/>
        <v>0</v>
      </c>
      <c r="P135">
        <f t="shared" si="65"/>
        <v>0</v>
      </c>
      <c r="Q135">
        <f t="shared" si="66"/>
        <v>0</v>
      </c>
      <c r="R135">
        <f t="shared" si="67"/>
        <v>0</v>
      </c>
      <c r="S135">
        <f t="shared" si="68"/>
        <v>0</v>
      </c>
      <c r="T135">
        <f t="shared" si="69"/>
        <v>0</v>
      </c>
      <c r="U135" t="str">
        <f t="shared" si="70"/>
        <v/>
      </c>
      <c r="V135" t="str">
        <f t="shared" si="71"/>
        <v/>
      </c>
      <c r="W135" t="str">
        <f t="shared" si="72"/>
        <v>Sin función mapeada</v>
      </c>
      <c r="X135" t="s">
        <v>1397</v>
      </c>
    </row>
    <row r="136" spans="1:24" ht="15" customHeight="1" x14ac:dyDescent="0.2">
      <c r="A136" t="s">
        <v>1400</v>
      </c>
      <c r="B136" t="s">
        <v>1401</v>
      </c>
      <c r="C136" t="s">
        <v>1402</v>
      </c>
      <c r="D136" t="s">
        <v>230</v>
      </c>
      <c r="E136" t="s">
        <v>36</v>
      </c>
      <c r="F136" t="s">
        <v>1252</v>
      </c>
      <c r="G136" t="s">
        <v>209</v>
      </c>
      <c r="H136" t="s">
        <v>476</v>
      </c>
      <c r="I136" t="str">
        <f t="shared" si="59"/>
        <v>Sí</v>
      </c>
      <c r="J136" t="s">
        <v>225</v>
      </c>
      <c r="K136">
        <f t="shared" si="60"/>
        <v>0</v>
      </c>
      <c r="L136">
        <f t="shared" si="61"/>
        <v>0</v>
      </c>
      <c r="M136">
        <f t="shared" si="62"/>
        <v>0</v>
      </c>
      <c r="N136">
        <f t="shared" si="63"/>
        <v>0</v>
      </c>
      <c r="O136">
        <f t="shared" si="64"/>
        <v>0</v>
      </c>
      <c r="P136">
        <f t="shared" si="65"/>
        <v>0</v>
      </c>
      <c r="Q136">
        <f t="shared" si="66"/>
        <v>0</v>
      </c>
      <c r="R136">
        <f t="shared" si="67"/>
        <v>0</v>
      </c>
      <c r="S136">
        <f t="shared" si="68"/>
        <v>0</v>
      </c>
      <c r="T136">
        <f t="shared" si="69"/>
        <v>0</v>
      </c>
      <c r="U136" t="str">
        <f t="shared" si="70"/>
        <v/>
      </c>
      <c r="V136" t="str">
        <f t="shared" si="71"/>
        <v/>
      </c>
      <c r="W136" t="str">
        <f t="shared" si="72"/>
        <v>Sin función mapeada</v>
      </c>
      <c r="X136" t="s">
        <v>1406</v>
      </c>
    </row>
    <row r="137" spans="1:24" ht="15" customHeight="1" x14ac:dyDescent="0.2">
      <c r="A137" t="s">
        <v>1409</v>
      </c>
      <c r="B137" t="s">
        <v>1410</v>
      </c>
      <c r="C137" t="s">
        <v>1411</v>
      </c>
      <c r="D137" t="s">
        <v>313</v>
      </c>
      <c r="E137" t="s">
        <v>30</v>
      </c>
      <c r="F137" t="s">
        <v>204</v>
      </c>
      <c r="G137" t="s">
        <v>209</v>
      </c>
      <c r="H137" t="s">
        <v>303</v>
      </c>
      <c r="I137" t="str">
        <f t="shared" si="59"/>
        <v>Sí</v>
      </c>
      <c r="J137" t="s">
        <v>225</v>
      </c>
      <c r="K137">
        <f t="shared" si="60"/>
        <v>0</v>
      </c>
      <c r="L137">
        <f t="shared" si="61"/>
        <v>0</v>
      </c>
      <c r="M137">
        <f t="shared" si="62"/>
        <v>0</v>
      </c>
      <c r="N137">
        <f t="shared" si="63"/>
        <v>0</v>
      </c>
      <c r="O137">
        <f t="shared" si="64"/>
        <v>0</v>
      </c>
      <c r="P137">
        <f t="shared" si="65"/>
        <v>0</v>
      </c>
      <c r="Q137">
        <f t="shared" si="66"/>
        <v>0</v>
      </c>
      <c r="R137">
        <f t="shared" si="67"/>
        <v>0</v>
      </c>
      <c r="S137">
        <f t="shared" si="68"/>
        <v>0</v>
      </c>
      <c r="T137">
        <f t="shared" si="69"/>
        <v>0</v>
      </c>
      <c r="U137" t="str">
        <f t="shared" si="70"/>
        <v/>
      </c>
      <c r="V137" t="str">
        <f t="shared" si="71"/>
        <v/>
      </c>
      <c r="W137" t="str">
        <f t="shared" si="72"/>
        <v>Sin función mapeada</v>
      </c>
      <c r="X137" t="s">
        <v>1414</v>
      </c>
    </row>
    <row r="138" spans="1:24" ht="15" customHeight="1" x14ac:dyDescent="0.2">
      <c r="A138" t="s">
        <v>1416</v>
      </c>
      <c r="B138" t="s">
        <v>1417</v>
      </c>
      <c r="C138" t="s">
        <v>1418</v>
      </c>
      <c r="D138" t="s">
        <v>230</v>
      </c>
      <c r="E138" t="s">
        <v>27</v>
      </c>
      <c r="F138" t="s">
        <v>380</v>
      </c>
      <c r="G138" t="s">
        <v>209</v>
      </c>
      <c r="H138" t="s">
        <v>282</v>
      </c>
      <c r="I138" t="str">
        <f t="shared" si="59"/>
        <v/>
      </c>
      <c r="J138" t="s">
        <v>225</v>
      </c>
      <c r="K138">
        <f t="shared" si="60"/>
        <v>0</v>
      </c>
      <c r="L138">
        <f t="shared" si="61"/>
        <v>0</v>
      </c>
      <c r="M138">
        <f t="shared" si="62"/>
        <v>0</v>
      </c>
      <c r="N138">
        <f t="shared" si="63"/>
        <v>0</v>
      </c>
      <c r="O138">
        <f t="shared" si="64"/>
        <v>0</v>
      </c>
      <c r="P138">
        <f t="shared" si="65"/>
        <v>0</v>
      </c>
      <c r="Q138">
        <f t="shared" si="66"/>
        <v>0</v>
      </c>
      <c r="R138">
        <f t="shared" si="67"/>
        <v>0</v>
      </c>
      <c r="S138">
        <f t="shared" si="68"/>
        <v>0</v>
      </c>
      <c r="T138">
        <f t="shared" si="69"/>
        <v>0</v>
      </c>
      <c r="U138" t="str">
        <f t="shared" si="70"/>
        <v/>
      </c>
      <c r="V138" t="str">
        <f t="shared" si="71"/>
        <v/>
      </c>
      <c r="W138" t="str">
        <f t="shared" si="72"/>
        <v>Sin función mapeada</v>
      </c>
      <c r="X138" t="s">
        <v>1422</v>
      </c>
    </row>
    <row r="139" spans="1:24" ht="15" customHeight="1" x14ac:dyDescent="0.2">
      <c r="A139" t="s">
        <v>1426</v>
      </c>
      <c r="B139" t="s">
        <v>1427</v>
      </c>
      <c r="C139" t="s">
        <v>1428</v>
      </c>
      <c r="D139" t="s">
        <v>313</v>
      </c>
      <c r="E139" t="s">
        <v>24</v>
      </c>
      <c r="F139" t="s">
        <v>392</v>
      </c>
      <c r="G139" t="s">
        <v>394</v>
      </c>
      <c r="H139" t="s">
        <v>269</v>
      </c>
      <c r="I139" t="str">
        <f t="shared" si="59"/>
        <v>Sí</v>
      </c>
      <c r="J139" t="s">
        <v>225</v>
      </c>
      <c r="K139">
        <f t="shared" si="60"/>
        <v>0</v>
      </c>
      <c r="L139">
        <f t="shared" si="61"/>
        <v>0</v>
      </c>
      <c r="M139">
        <f t="shared" si="62"/>
        <v>0</v>
      </c>
      <c r="N139">
        <f t="shared" si="63"/>
        <v>0</v>
      </c>
      <c r="O139">
        <f t="shared" si="64"/>
        <v>0</v>
      </c>
      <c r="P139">
        <f t="shared" si="65"/>
        <v>0</v>
      </c>
      <c r="Q139">
        <f t="shared" si="66"/>
        <v>0</v>
      </c>
      <c r="R139">
        <f t="shared" si="67"/>
        <v>0</v>
      </c>
      <c r="S139">
        <f t="shared" si="68"/>
        <v>0</v>
      </c>
      <c r="T139">
        <f t="shared" si="69"/>
        <v>0</v>
      </c>
      <c r="U139" t="str">
        <f t="shared" si="70"/>
        <v/>
      </c>
      <c r="V139" t="str">
        <f t="shared" si="71"/>
        <v/>
      </c>
      <c r="W139" t="str">
        <f t="shared" si="72"/>
        <v>Sin función mapeada</v>
      </c>
      <c r="X139" t="s">
        <v>1432</v>
      </c>
    </row>
    <row r="140" spans="1:24" ht="15" customHeight="1" x14ac:dyDescent="0.2">
      <c r="A140" t="s">
        <v>1434</v>
      </c>
      <c r="B140" t="s">
        <v>1435</v>
      </c>
      <c r="C140" t="s">
        <v>1436</v>
      </c>
      <c r="D140" t="s">
        <v>313</v>
      </c>
      <c r="E140" t="s">
        <v>24</v>
      </c>
      <c r="F140" t="s">
        <v>392</v>
      </c>
      <c r="G140" t="s">
        <v>394</v>
      </c>
      <c r="H140" t="s">
        <v>269</v>
      </c>
      <c r="I140" t="str">
        <f t="shared" si="59"/>
        <v>Sí</v>
      </c>
      <c r="J140" t="s">
        <v>225</v>
      </c>
      <c r="K140">
        <f t="shared" si="60"/>
        <v>0</v>
      </c>
      <c r="L140">
        <f t="shared" si="61"/>
        <v>0</v>
      </c>
      <c r="M140">
        <f t="shared" si="62"/>
        <v>0</v>
      </c>
      <c r="N140">
        <f t="shared" si="63"/>
        <v>0</v>
      </c>
      <c r="O140">
        <f t="shared" si="64"/>
        <v>0</v>
      </c>
      <c r="P140">
        <f t="shared" si="65"/>
        <v>0</v>
      </c>
      <c r="Q140">
        <f t="shared" si="66"/>
        <v>0</v>
      </c>
      <c r="R140">
        <f t="shared" si="67"/>
        <v>0</v>
      </c>
      <c r="S140">
        <f t="shared" si="68"/>
        <v>0</v>
      </c>
      <c r="T140">
        <f t="shared" si="69"/>
        <v>0</v>
      </c>
      <c r="U140" t="str">
        <f t="shared" si="70"/>
        <v/>
      </c>
      <c r="V140" t="str">
        <f t="shared" si="71"/>
        <v/>
      </c>
      <c r="W140" t="str">
        <f t="shared" si="72"/>
        <v>Sin función mapeada</v>
      </c>
      <c r="X140" t="s">
        <v>1440</v>
      </c>
    </row>
    <row r="141" spans="1:24" ht="15" customHeight="1" x14ac:dyDescent="0.2">
      <c r="A141" t="s">
        <v>1442</v>
      </c>
      <c r="B141" t="s">
        <v>1443</v>
      </c>
      <c r="C141" t="s">
        <v>1444</v>
      </c>
      <c r="D141" t="s">
        <v>313</v>
      </c>
      <c r="E141" t="s">
        <v>30</v>
      </c>
      <c r="F141" t="s">
        <v>204</v>
      </c>
      <c r="G141" t="s">
        <v>209</v>
      </c>
      <c r="H141" t="s">
        <v>218</v>
      </c>
      <c r="I141" t="str">
        <f t="shared" si="59"/>
        <v>Sí</v>
      </c>
      <c r="J141" t="s">
        <v>225</v>
      </c>
      <c r="K141">
        <f t="shared" si="60"/>
        <v>0</v>
      </c>
      <c r="L141">
        <f t="shared" si="61"/>
        <v>0</v>
      </c>
      <c r="M141">
        <f t="shared" si="62"/>
        <v>0</v>
      </c>
      <c r="N141">
        <f t="shared" si="63"/>
        <v>0</v>
      </c>
      <c r="O141">
        <f t="shared" si="64"/>
        <v>0</v>
      </c>
      <c r="P141">
        <f t="shared" si="65"/>
        <v>0</v>
      </c>
      <c r="Q141">
        <f t="shared" si="66"/>
        <v>0</v>
      </c>
      <c r="R141">
        <f t="shared" si="67"/>
        <v>0</v>
      </c>
      <c r="S141">
        <f t="shared" si="68"/>
        <v>0</v>
      </c>
      <c r="T141">
        <f t="shared" si="69"/>
        <v>0</v>
      </c>
      <c r="U141" t="str">
        <f t="shared" si="70"/>
        <v/>
      </c>
      <c r="V141" t="str">
        <f t="shared" si="71"/>
        <v/>
      </c>
      <c r="W141" t="str">
        <f t="shared" si="72"/>
        <v>Sin función mapeada</v>
      </c>
      <c r="X141" t="s">
        <v>1447</v>
      </c>
    </row>
    <row r="142" spans="1:24" ht="15" customHeight="1" x14ac:dyDescent="0.2">
      <c r="A142" t="s">
        <v>1449</v>
      </c>
      <c r="B142" t="s">
        <v>1450</v>
      </c>
      <c r="C142" t="s">
        <v>1451</v>
      </c>
      <c r="D142" t="s">
        <v>313</v>
      </c>
      <c r="E142" t="s">
        <v>24</v>
      </c>
      <c r="F142" t="s">
        <v>392</v>
      </c>
      <c r="G142" t="s">
        <v>394</v>
      </c>
      <c r="H142" t="s">
        <v>269</v>
      </c>
      <c r="I142" t="str">
        <f t="shared" si="59"/>
        <v/>
      </c>
      <c r="J142" t="s">
        <v>225</v>
      </c>
      <c r="K142">
        <f t="shared" si="60"/>
        <v>0</v>
      </c>
      <c r="L142">
        <f t="shared" si="61"/>
        <v>0</v>
      </c>
      <c r="M142">
        <f t="shared" si="62"/>
        <v>0</v>
      </c>
      <c r="N142">
        <f t="shared" si="63"/>
        <v>0</v>
      </c>
      <c r="O142">
        <f t="shared" si="64"/>
        <v>0</v>
      </c>
      <c r="P142">
        <f t="shared" si="65"/>
        <v>0</v>
      </c>
      <c r="Q142">
        <f t="shared" si="66"/>
        <v>0</v>
      </c>
      <c r="R142">
        <f t="shared" si="67"/>
        <v>0</v>
      </c>
      <c r="S142">
        <f t="shared" si="68"/>
        <v>0</v>
      </c>
      <c r="T142">
        <f t="shared" si="69"/>
        <v>0</v>
      </c>
      <c r="U142" t="str">
        <f t="shared" si="70"/>
        <v/>
      </c>
      <c r="V142" t="str">
        <f t="shared" si="71"/>
        <v/>
      </c>
      <c r="W142" t="str">
        <f t="shared" si="72"/>
        <v>Sin función mapeada</v>
      </c>
      <c r="X142" t="s">
        <v>1455</v>
      </c>
    </row>
    <row r="143" spans="1:24" ht="15" customHeight="1" x14ac:dyDescent="0.2">
      <c r="A143" t="s">
        <v>1457</v>
      </c>
      <c r="B143" t="s">
        <v>1458</v>
      </c>
      <c r="C143" t="s">
        <v>1459</v>
      </c>
      <c r="D143" t="s">
        <v>313</v>
      </c>
      <c r="E143" t="s">
        <v>42</v>
      </c>
      <c r="F143" t="s">
        <v>1375</v>
      </c>
      <c r="G143" t="s">
        <v>293</v>
      </c>
      <c r="H143" t="s">
        <v>476</v>
      </c>
      <c r="I143" t="str">
        <f t="shared" si="59"/>
        <v/>
      </c>
      <c r="J143" t="s">
        <v>225</v>
      </c>
      <c r="K143">
        <f t="shared" si="60"/>
        <v>0</v>
      </c>
      <c r="L143">
        <f t="shared" si="61"/>
        <v>1</v>
      </c>
      <c r="M143">
        <f t="shared" si="62"/>
        <v>0</v>
      </c>
      <c r="N143">
        <f t="shared" si="63"/>
        <v>0</v>
      </c>
      <c r="O143">
        <f t="shared" si="64"/>
        <v>0</v>
      </c>
      <c r="P143">
        <f t="shared" si="65"/>
        <v>0</v>
      </c>
      <c r="Q143">
        <f t="shared" si="66"/>
        <v>0</v>
      </c>
      <c r="R143">
        <f t="shared" si="67"/>
        <v>0</v>
      </c>
      <c r="S143">
        <f t="shared" si="68"/>
        <v>0</v>
      </c>
      <c r="T143">
        <f t="shared" si="69"/>
        <v>0</v>
      </c>
      <c r="U143" t="str">
        <f t="shared" si="70"/>
        <v/>
      </c>
      <c r="V143" t="str">
        <f t="shared" si="71"/>
        <v/>
      </c>
      <c r="W143" t="str">
        <f t="shared" si="72"/>
        <v>Sin función mapeada</v>
      </c>
      <c r="X143" t="s">
        <v>1462</v>
      </c>
    </row>
    <row r="144" spans="1:24" ht="15" customHeight="1" x14ac:dyDescent="0.2">
      <c r="A144" t="s">
        <v>1464</v>
      </c>
      <c r="B144" t="s">
        <v>1465</v>
      </c>
      <c r="C144" t="s">
        <v>1466</v>
      </c>
      <c r="D144" t="s">
        <v>230</v>
      </c>
      <c r="E144" t="s">
        <v>24</v>
      </c>
      <c r="F144" t="s">
        <v>475</v>
      </c>
      <c r="G144" t="s">
        <v>271</v>
      </c>
      <c r="H144" t="s">
        <v>269</v>
      </c>
      <c r="I144" t="str">
        <f t="shared" si="59"/>
        <v/>
      </c>
      <c r="J144" t="s">
        <v>225</v>
      </c>
      <c r="K144">
        <f t="shared" si="60"/>
        <v>0</v>
      </c>
      <c r="L144">
        <f t="shared" si="61"/>
        <v>1</v>
      </c>
      <c r="M144">
        <f t="shared" si="62"/>
        <v>0</v>
      </c>
      <c r="N144">
        <f t="shared" si="63"/>
        <v>0</v>
      </c>
      <c r="O144">
        <f t="shared" si="64"/>
        <v>0</v>
      </c>
      <c r="P144">
        <f t="shared" si="65"/>
        <v>0</v>
      </c>
      <c r="Q144">
        <f t="shared" si="66"/>
        <v>0</v>
      </c>
      <c r="R144">
        <f t="shared" si="67"/>
        <v>0</v>
      </c>
      <c r="S144">
        <f t="shared" si="68"/>
        <v>0</v>
      </c>
      <c r="T144">
        <f t="shared" si="69"/>
        <v>0</v>
      </c>
      <c r="U144" t="str">
        <f t="shared" si="70"/>
        <v/>
      </c>
      <c r="V144" t="str">
        <f t="shared" si="71"/>
        <v/>
      </c>
      <c r="W144" t="str">
        <f t="shared" si="72"/>
        <v>Sin función mapeada</v>
      </c>
      <c r="X144" t="s">
        <v>1470</v>
      </c>
    </row>
    <row r="145" spans="1:24" ht="15" customHeight="1" x14ac:dyDescent="0.2">
      <c r="A145" t="s">
        <v>1474</v>
      </c>
      <c r="B145" t="s">
        <v>1475</v>
      </c>
      <c r="C145" t="s">
        <v>1476</v>
      </c>
      <c r="D145" t="s">
        <v>230</v>
      </c>
      <c r="E145" t="s">
        <v>30</v>
      </c>
      <c r="F145" t="s">
        <v>204</v>
      </c>
      <c r="G145" t="s">
        <v>209</v>
      </c>
      <c r="H145" t="s">
        <v>269</v>
      </c>
      <c r="I145" t="str">
        <f t="shared" si="59"/>
        <v/>
      </c>
      <c r="J145" t="s">
        <v>213</v>
      </c>
      <c r="K145">
        <f t="shared" si="60"/>
        <v>0</v>
      </c>
      <c r="L145">
        <f t="shared" si="61"/>
        <v>1</v>
      </c>
      <c r="M145">
        <f t="shared" si="62"/>
        <v>0</v>
      </c>
      <c r="N145">
        <f t="shared" si="63"/>
        <v>0</v>
      </c>
      <c r="O145">
        <f t="shared" si="64"/>
        <v>0</v>
      </c>
      <c r="P145">
        <f t="shared" si="65"/>
        <v>0</v>
      </c>
      <c r="Q145">
        <f t="shared" si="66"/>
        <v>0</v>
      </c>
      <c r="R145">
        <f t="shared" si="67"/>
        <v>0</v>
      </c>
      <c r="S145">
        <f t="shared" si="68"/>
        <v>0</v>
      </c>
      <c r="T145">
        <f t="shared" si="69"/>
        <v>0</v>
      </c>
      <c r="U145" t="str">
        <f t="shared" si="70"/>
        <v/>
      </c>
      <c r="V145" t="str">
        <f t="shared" si="71"/>
        <v/>
      </c>
      <c r="W145" t="str">
        <f t="shared" si="72"/>
        <v>Sin función mapeada</v>
      </c>
      <c r="X145" t="s">
        <v>1480</v>
      </c>
    </row>
    <row r="146" spans="1:24" ht="15" customHeight="1" x14ac:dyDescent="0.2">
      <c r="A146" t="s">
        <v>1483</v>
      </c>
      <c r="B146" t="s">
        <v>1484</v>
      </c>
      <c r="C146" t="s">
        <v>1485</v>
      </c>
      <c r="D146" t="s">
        <v>230</v>
      </c>
      <c r="E146" t="s">
        <v>30</v>
      </c>
      <c r="F146" t="s">
        <v>204</v>
      </c>
      <c r="G146" t="s">
        <v>394</v>
      </c>
      <c r="H146" t="s">
        <v>303</v>
      </c>
      <c r="I146" t="str">
        <f t="shared" si="59"/>
        <v/>
      </c>
      <c r="J146" t="s">
        <v>225</v>
      </c>
      <c r="K146">
        <f t="shared" si="60"/>
        <v>0</v>
      </c>
      <c r="L146">
        <f t="shared" si="61"/>
        <v>0</v>
      </c>
      <c r="M146">
        <f t="shared" si="62"/>
        <v>0</v>
      </c>
      <c r="N146">
        <f t="shared" si="63"/>
        <v>0</v>
      </c>
      <c r="O146">
        <f t="shared" si="64"/>
        <v>0</v>
      </c>
      <c r="P146">
        <f t="shared" si="65"/>
        <v>0</v>
      </c>
      <c r="Q146">
        <f t="shared" si="66"/>
        <v>0</v>
      </c>
      <c r="R146">
        <f t="shared" si="67"/>
        <v>0</v>
      </c>
      <c r="S146">
        <f t="shared" si="68"/>
        <v>0</v>
      </c>
      <c r="T146">
        <f t="shared" si="69"/>
        <v>0</v>
      </c>
      <c r="U146" t="str">
        <f t="shared" si="70"/>
        <v/>
      </c>
      <c r="V146" t="str">
        <f t="shared" si="71"/>
        <v/>
      </c>
      <c r="W146" t="str">
        <f t="shared" si="72"/>
        <v/>
      </c>
      <c r="X146" t="s">
        <v>1488</v>
      </c>
    </row>
    <row r="147" spans="1:24" ht="15" customHeight="1" x14ac:dyDescent="0.2">
      <c r="A147" t="s">
        <v>1491</v>
      </c>
      <c r="B147" t="s">
        <v>1492</v>
      </c>
      <c r="C147" t="s">
        <v>1493</v>
      </c>
      <c r="D147" t="s">
        <v>205</v>
      </c>
      <c r="E147" t="s">
        <v>36</v>
      </c>
      <c r="F147" t="s">
        <v>1219</v>
      </c>
      <c r="G147" t="s">
        <v>293</v>
      </c>
      <c r="H147" t="s">
        <v>303</v>
      </c>
      <c r="I147" t="str">
        <f t="shared" si="59"/>
        <v/>
      </c>
      <c r="J147" t="s">
        <v>225</v>
      </c>
      <c r="K147">
        <f t="shared" si="60"/>
        <v>0</v>
      </c>
      <c r="L147">
        <f t="shared" si="61"/>
        <v>0</v>
      </c>
      <c r="M147">
        <f t="shared" si="62"/>
        <v>0</v>
      </c>
      <c r="N147">
        <f t="shared" si="63"/>
        <v>0</v>
      </c>
      <c r="O147">
        <f t="shared" si="64"/>
        <v>0</v>
      </c>
      <c r="P147">
        <f t="shared" si="65"/>
        <v>0</v>
      </c>
      <c r="Q147">
        <f t="shared" si="66"/>
        <v>0</v>
      </c>
      <c r="R147">
        <f t="shared" si="67"/>
        <v>0</v>
      </c>
      <c r="S147">
        <f t="shared" si="68"/>
        <v>0</v>
      </c>
      <c r="T147">
        <f t="shared" si="69"/>
        <v>0</v>
      </c>
      <c r="U147" t="str">
        <f t="shared" si="70"/>
        <v/>
      </c>
      <c r="V147" t="str">
        <f t="shared" si="71"/>
        <v/>
      </c>
      <c r="W147" t="str">
        <f t="shared" si="72"/>
        <v/>
      </c>
      <c r="X147" t="s">
        <v>1497</v>
      </c>
    </row>
    <row r="148" spans="1:24" ht="15" customHeight="1" x14ac:dyDescent="0.2">
      <c r="A148" t="s">
        <v>1500</v>
      </c>
      <c r="B148" t="s">
        <v>1501</v>
      </c>
      <c r="C148" t="s">
        <v>1502</v>
      </c>
      <c r="D148" t="s">
        <v>230</v>
      </c>
      <c r="E148" t="s">
        <v>24</v>
      </c>
      <c r="F148" t="s">
        <v>617</v>
      </c>
      <c r="G148" t="s">
        <v>360</v>
      </c>
      <c r="H148" t="s">
        <v>269</v>
      </c>
      <c r="I148" t="str">
        <f t="shared" si="59"/>
        <v/>
      </c>
      <c r="J148" t="s">
        <v>225</v>
      </c>
      <c r="K148">
        <f t="shared" si="60"/>
        <v>0</v>
      </c>
      <c r="L148">
        <f t="shared" si="61"/>
        <v>0</v>
      </c>
      <c r="M148">
        <f t="shared" si="62"/>
        <v>0</v>
      </c>
      <c r="N148">
        <f t="shared" si="63"/>
        <v>0</v>
      </c>
      <c r="O148">
        <f t="shared" si="64"/>
        <v>0</v>
      </c>
      <c r="P148">
        <f t="shared" si="65"/>
        <v>0</v>
      </c>
      <c r="Q148">
        <f t="shared" si="66"/>
        <v>0</v>
      </c>
      <c r="R148">
        <f t="shared" si="67"/>
        <v>0</v>
      </c>
      <c r="S148">
        <f t="shared" si="68"/>
        <v>0</v>
      </c>
      <c r="T148">
        <f t="shared" si="69"/>
        <v>0</v>
      </c>
      <c r="U148" t="str">
        <f t="shared" si="70"/>
        <v/>
      </c>
      <c r="V148" t="str">
        <f t="shared" si="71"/>
        <v/>
      </c>
      <c r="W148" t="str">
        <f t="shared" si="72"/>
        <v/>
      </c>
      <c r="X148" t="s">
        <v>1506</v>
      </c>
    </row>
    <row r="149" spans="1:24" ht="15" customHeight="1" x14ac:dyDescent="0.2">
      <c r="A149" t="s">
        <v>1510</v>
      </c>
      <c r="B149" t="s">
        <v>1511</v>
      </c>
      <c r="C149" t="s">
        <v>1512</v>
      </c>
      <c r="D149" t="s">
        <v>205</v>
      </c>
      <c r="E149" t="s">
        <v>27</v>
      </c>
      <c r="F149" t="s">
        <v>217</v>
      </c>
      <c r="H149" t="s">
        <v>303</v>
      </c>
      <c r="I149" t="str">
        <f t="shared" si="59"/>
        <v/>
      </c>
      <c r="J149" t="s">
        <v>225</v>
      </c>
      <c r="K149">
        <f t="shared" si="60"/>
        <v>0</v>
      </c>
      <c r="L149">
        <f t="shared" si="61"/>
        <v>0</v>
      </c>
      <c r="M149">
        <f t="shared" si="62"/>
        <v>0</v>
      </c>
      <c r="N149">
        <f t="shared" si="63"/>
        <v>0</v>
      </c>
      <c r="O149">
        <f t="shared" si="64"/>
        <v>0</v>
      </c>
      <c r="P149">
        <f t="shared" si="65"/>
        <v>0</v>
      </c>
      <c r="Q149">
        <f t="shared" si="66"/>
        <v>0</v>
      </c>
      <c r="R149">
        <f t="shared" si="67"/>
        <v>0</v>
      </c>
      <c r="S149">
        <f t="shared" si="68"/>
        <v>0</v>
      </c>
      <c r="T149">
        <f t="shared" si="69"/>
        <v>0</v>
      </c>
      <c r="U149" t="str">
        <f t="shared" si="70"/>
        <v/>
      </c>
      <c r="V149" t="str">
        <f t="shared" si="71"/>
        <v/>
      </c>
      <c r="W149" t="str">
        <f t="shared" si="72"/>
        <v/>
      </c>
      <c r="X149" t="s">
        <v>1516</v>
      </c>
    </row>
    <row r="150" spans="1:24" ht="15" customHeight="1" x14ac:dyDescent="0.2">
      <c r="A150" t="s">
        <v>1519</v>
      </c>
      <c r="B150" t="s">
        <v>1520</v>
      </c>
      <c r="C150" t="s">
        <v>1521</v>
      </c>
      <c r="D150" t="s">
        <v>230</v>
      </c>
      <c r="E150" t="s">
        <v>48</v>
      </c>
      <c r="F150" t="s">
        <v>561</v>
      </c>
      <c r="G150" t="s">
        <v>1524</v>
      </c>
      <c r="H150" t="s">
        <v>269</v>
      </c>
      <c r="I150" t="s">
        <v>1530</v>
      </c>
      <c r="J150" t="s">
        <v>225</v>
      </c>
      <c r="K150">
        <f t="shared" si="60"/>
        <v>0</v>
      </c>
      <c r="L150">
        <f t="shared" si="61"/>
        <v>0</v>
      </c>
      <c r="M150">
        <f t="shared" si="62"/>
        <v>0</v>
      </c>
      <c r="N150">
        <f t="shared" si="63"/>
        <v>0</v>
      </c>
      <c r="O150">
        <f t="shared" si="64"/>
        <v>0</v>
      </c>
      <c r="P150">
        <f t="shared" si="65"/>
        <v>0</v>
      </c>
      <c r="Q150">
        <f t="shared" si="66"/>
        <v>0</v>
      </c>
      <c r="R150">
        <f t="shared" si="67"/>
        <v>0</v>
      </c>
      <c r="S150">
        <f t="shared" si="68"/>
        <v>0</v>
      </c>
      <c r="T150">
        <f t="shared" si="69"/>
        <v>0</v>
      </c>
      <c r="U150" t="str">
        <f t="shared" si="70"/>
        <v/>
      </c>
      <c r="V150" t="str">
        <f t="shared" si="71"/>
        <v/>
      </c>
      <c r="W150" t="str">
        <f t="shared" si="72"/>
        <v/>
      </c>
      <c r="X150" t="s">
        <v>1527</v>
      </c>
    </row>
    <row r="151" spans="1:24" ht="15" customHeight="1" x14ac:dyDescent="0.2">
      <c r="A151" t="s">
        <v>1531</v>
      </c>
      <c r="B151" t="s">
        <v>1532</v>
      </c>
      <c r="C151" t="s">
        <v>1533</v>
      </c>
      <c r="D151" t="s">
        <v>230</v>
      </c>
      <c r="E151" t="s">
        <v>24</v>
      </c>
      <c r="F151" t="s">
        <v>475</v>
      </c>
      <c r="G151" t="s">
        <v>1538</v>
      </c>
      <c r="H151" t="s">
        <v>1535</v>
      </c>
      <c r="I151" t="s">
        <v>1530</v>
      </c>
      <c r="J151" t="s">
        <v>225</v>
      </c>
      <c r="K151">
        <f t="shared" si="60"/>
        <v>0</v>
      </c>
      <c r="L151">
        <f t="shared" si="61"/>
        <v>0</v>
      </c>
      <c r="M151">
        <f t="shared" si="62"/>
        <v>0</v>
      </c>
      <c r="N151">
        <f t="shared" si="63"/>
        <v>0</v>
      </c>
      <c r="O151">
        <f t="shared" si="64"/>
        <v>0</v>
      </c>
      <c r="P151">
        <f t="shared" si="65"/>
        <v>0</v>
      </c>
      <c r="Q151">
        <f t="shared" si="66"/>
        <v>0</v>
      </c>
      <c r="R151">
        <f t="shared" si="67"/>
        <v>0</v>
      </c>
      <c r="S151">
        <f t="shared" si="68"/>
        <v>0</v>
      </c>
      <c r="T151">
        <f t="shared" si="69"/>
        <v>0</v>
      </c>
      <c r="U151" t="str">
        <f t="shared" si="70"/>
        <v/>
      </c>
      <c r="V151" t="str">
        <f t="shared" si="71"/>
        <v/>
      </c>
      <c r="W151" t="str">
        <f t="shared" si="72"/>
        <v/>
      </c>
      <c r="X151" t="s">
        <v>1541</v>
      </c>
    </row>
    <row r="152" spans="1:24" ht="15" customHeight="1" x14ac:dyDescent="0.2">
      <c r="A152" t="s">
        <v>1545</v>
      </c>
      <c r="B152" t="s">
        <v>1546</v>
      </c>
      <c r="C152" t="s">
        <v>1547</v>
      </c>
      <c r="D152" t="s">
        <v>205</v>
      </c>
      <c r="E152" t="s">
        <v>24</v>
      </c>
      <c r="F152" t="s">
        <v>617</v>
      </c>
      <c r="G152" t="s">
        <v>1549</v>
      </c>
      <c r="H152" t="s">
        <v>269</v>
      </c>
      <c r="I152" t="s">
        <v>1530</v>
      </c>
      <c r="J152" t="s">
        <v>225</v>
      </c>
      <c r="K152">
        <f t="shared" si="60"/>
        <v>0</v>
      </c>
      <c r="L152">
        <f t="shared" si="61"/>
        <v>0</v>
      </c>
      <c r="M152">
        <f t="shared" si="62"/>
        <v>0</v>
      </c>
      <c r="N152">
        <f t="shared" si="63"/>
        <v>0</v>
      </c>
      <c r="O152">
        <f t="shared" si="64"/>
        <v>0</v>
      </c>
      <c r="P152">
        <f t="shared" si="65"/>
        <v>0</v>
      </c>
      <c r="Q152">
        <f t="shared" si="66"/>
        <v>0</v>
      </c>
      <c r="R152">
        <f t="shared" si="67"/>
        <v>0</v>
      </c>
      <c r="S152">
        <f t="shared" si="68"/>
        <v>0</v>
      </c>
      <c r="T152">
        <f t="shared" si="69"/>
        <v>0</v>
      </c>
      <c r="U152" t="str">
        <f t="shared" si="70"/>
        <v/>
      </c>
      <c r="V152" t="str">
        <f t="shared" si="71"/>
        <v/>
      </c>
      <c r="W152" t="str">
        <f t="shared" si="72"/>
        <v/>
      </c>
      <c r="X152" t="s">
        <v>1552</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22</vt:i4>
      </vt:variant>
      <vt:variant>
        <vt:lpstr>Named Ranges</vt:lpstr>
      </vt:variant>
      <vt:variant>
        <vt:i4>20</vt:i4>
      </vt:variant>
    </vt:vector>
  </HeadingPairs>
  <TitlesOfParts>
    <vt:vector size="42" baseType="lpstr">
      <vt:lpstr>DASHBOARD</vt:lpstr>
      <vt:lpstr>PIEDRAS ANGULARES</vt:lpstr>
      <vt:lpstr>DICCIONARIO</vt:lpstr>
      <vt:lpstr>UNIVERSO MAESTRO</vt:lpstr>
      <vt:lpstr>MAPA DE CONEXIONES</vt:lpstr>
      <vt:lpstr>POI MAESTRO</vt:lpstr>
      <vt:lpstr>AMPLITUD FUNCIONAL</vt:lpstr>
      <vt:lpstr>CLUSTERS EJECUTIVOS</vt:lpstr>
      <vt:lpstr>REGLAS METODOLÓGICAS</vt:lpstr>
      <vt:lpstr>CHANGELOG</vt:lpstr>
      <vt:lpstr>_LISTAS</vt:lpstr>
      <vt:lpstr>_PENDIENTES</vt:lpstr>
      <vt:lpstr>FICHAS_V1</vt:lpstr>
      <vt:lpstr>FICHAS_V2</vt:lpstr>
      <vt:lpstr>FICHAS_V3</vt:lpstr>
      <vt:lpstr>FICHAS_V4</vt:lpstr>
      <vt:lpstr>FICHAS_V5</vt:lpstr>
      <vt:lpstr>FICHAS_V6</vt:lpstr>
      <vt:lpstr>FICHAS_V7</vt:lpstr>
      <vt:lpstr>FICHAS_V8</vt:lpstr>
      <vt:lpstr>FICHAS_V9</vt:lpstr>
      <vt:lpstr>_DASH_DATA</vt:lpstr>
      <vt:lpstr>L_CATEGORIAS</vt:lpstr>
      <vt:lpstr>L_CERTEZA</vt:lpstr>
      <vt:lpstr>L_DIRECCION</vt:lpstr>
      <vt:lpstr>L_ESTADO</vt:lpstr>
      <vt:lpstr>L_FUNCION</vt:lpstr>
      <vt:lpstr>L_HOJAS</vt:lpstr>
      <vt:lpstr>L_NIVEL_REL</vt:lpstr>
      <vt:lpstr>L_OBLIGATORIO</vt:lpstr>
      <vt:lpstr>L_PAIS</vt:lpstr>
      <vt:lpstr>L_SEGMENTO</vt:lpstr>
      <vt:lpstr>L_SPN</vt:lpstr>
      <vt:lpstr>L_TIER</vt:lpstr>
      <vt:lpstr>L_TIPO_ACTOR</vt:lpstr>
      <vt:lpstr>L_TIPO_CAMBIO</vt:lpstr>
      <vt:lpstr>L_TIPO_RELACION</vt:lpstr>
      <vt:lpstr>L_TIPOS_DATO</vt:lpstr>
      <vt:lpstr>L_VERTICAL</vt:lpstr>
      <vt:lpstr>L_VIS_POI</vt:lpstr>
      <vt:lpstr>DASHBOARD!Print_Area</vt:lpstr>
      <vt:lpstr>'PIEDRAS ANGULARES'!Print_Area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Nicolás Pizarro Suárez Barriga</cp:lastModifiedBy>
  <cp:revision>0</cp:revision>
  <dcterms:created xsi:type="dcterms:W3CDTF">2026-05-08T05:24:13Z</dcterms:created>
  <dcterms:modified xsi:type="dcterms:W3CDTF">2026-05-11T08:31:45Z</dcterms:modified>
  <dc:language>en-US</dc:language>
</cp:coreProperties>
</file>